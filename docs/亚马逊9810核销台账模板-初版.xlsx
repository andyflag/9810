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核销总表" sheetId="2" state="visible" r:id="rId4"/>
    <sheet name="①出口报关" sheetId="3" state="visible" r:id="rId5"/>
    <sheet name="②销售核销" sheetId="4" state="visible" r:id="rId6"/>
    <sheet name="③回款收汇" sheetId="5" state="visible" r:id="rId7"/>
    <sheet name="④退税核算" sheetId="6" state="visible" r:id="rId8"/>
    <sheet name="⑤库存异常" sheetId="7" state="visible" r:id="rId9"/>
    <sheet name="⑥单证留存" sheetId="8" state="visible" r:id="rId10"/>
    <sheet name="参数表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报关单号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Noto Sans CJK SC"/>
            <family val="2"/>
          </rPr>
          <t xml:space="preserve">项号。整本台账靠这个编号把报关、销售、回款、退税串起来。</t>
        </r>
      </text>
    </comment>
    <comment ref="D3" authorId="0">
      <text>
        <r>
          <rPr>
            <sz val="10"/>
            <rFont val="Noto Sans CJK SC"/>
            <family val="2"/>
          </rPr>
          <t xml:space="preserve">取报关单上的出口日期。收汇截止日按它的次年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Noto Sans CJK SC"/>
            <family val="2"/>
          </rPr>
          <t xml:space="preserve">日计算。</t>
        </r>
      </text>
    </comment>
    <comment ref="F3" authorId="0">
      <text>
        <r>
          <rPr>
            <sz val="10"/>
            <rFont val="Noto Sans CJK SC"/>
            <family val="2"/>
          </rPr>
          <t xml:space="preserve">亚马逊货件编号（如 </t>
        </r>
        <r>
          <rPr>
            <sz val="10"/>
            <rFont val="Arial"/>
            <family val="2"/>
          </rPr>
          <t xml:space="preserve">FBA1XXXXXXX</t>
        </r>
        <r>
          <rPr>
            <sz val="10"/>
            <rFont val="Noto Sans CJK SC"/>
            <family val="2"/>
          </rPr>
          <t xml:space="preserve">）。报关时需向海关传输订仓单电子数据（海关总署公告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年第</t>
        </r>
        <r>
          <rPr>
            <sz val="10"/>
            <rFont val="Arial"/>
            <family val="2"/>
          </rPr>
          <t xml:space="preserve">167</t>
        </r>
        <r>
          <rPr>
            <sz val="10"/>
            <rFont val="Noto Sans CJK SC"/>
            <family val="2"/>
          </rPr>
          <t xml:space="preserve">号）。</t>
        </r>
      </text>
    </comment>
    <comment ref="U3" authorId="0">
      <text>
        <r>
          <rPr>
            <sz val="10"/>
            <rFont val="Noto Sans CJK SC"/>
            <family val="2"/>
          </rPr>
          <t xml:space="preserve">按参数表的企业类型自动取：外贸企业取进项发票不含税金额；生产企业取</t>
        </r>
        <r>
          <rPr>
            <sz val="10"/>
            <rFont val="Arial"/>
            <family val="2"/>
          </rPr>
          <t xml:space="preserve">FOB</t>
        </r>
        <r>
          <rPr>
            <sz val="10"/>
            <rFont val="Noto Sans CJK SC"/>
            <family val="2"/>
          </rPr>
          <t xml:space="preserve">人民币金额。</t>
        </r>
      </text>
    </comment>
    <comment ref="Y3" authorId="0">
      <text>
        <r>
          <rPr>
            <sz val="10"/>
            <rFont val="Noto Sans CJK SC"/>
            <family val="2"/>
          </rPr>
          <t xml:space="preserve">取亚马逊货件页面的「已收到」数量。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" authorId="0">
      <text>
        <r>
          <rPr>
            <sz val="10"/>
            <rFont val="Noto Sans CJK SC"/>
            <family val="2"/>
          </rPr>
          <t xml:space="preserve">把这批销量分配到哪一票报关单（报关单号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Noto Sans CJK SC"/>
            <family val="2"/>
          </rPr>
          <t xml:space="preserve">项号）。同一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Noto Sans CJK SC"/>
            <family val="2"/>
          </rPr>
          <t xml:space="preserve">有多票时，按出口日期先进先出：先分给最早那票，卖完再分下一票。</t>
        </r>
      </text>
    </comment>
    <comment ref="K3" authorId="0">
      <text>
        <r>
          <rPr>
            <sz val="10"/>
            <rFont val="Noto Sans CJK SC"/>
            <family val="2"/>
          </rPr>
          <t xml:space="preserve">这部分销量分摊的佣金、配送费、仓储费、广告费、退款等合计。同一结算报告下各行分摊合计应等于该报告的扣费总额。</t>
        </r>
      </text>
    </comment>
    <comment ref="M3" authorId="0">
      <text>
        <r>
          <rPr>
            <sz val="10"/>
            <rFont val="Noto Sans CJK SC"/>
            <family val="2"/>
          </rPr>
          <t xml:space="preserve">对应结算报告在「③回款收汇」填了收汇入境日期，即显示已收汇。</t>
        </r>
      </text>
    </comment>
    <comment ref="N3" authorId="0">
      <text>
        <r>
          <rPr>
            <sz val="10"/>
            <rFont val="Noto Sans CJK SC"/>
            <family val="2"/>
          </rPr>
          <t xml:space="preserve">可取结算期末日或当月最后一笔订单发货日，全表口径保持一致。</t>
        </r>
      </text>
    </comment>
    <comment ref="O3" authorId="0">
      <text>
        <r>
          <rPr>
            <sz val="10"/>
            <rFont val="Noto Sans CJK SC"/>
            <family val="2"/>
          </rPr>
          <t xml:space="preserve">预退税货物：实现销售后</t>
        </r>
        <r>
          <rPr>
            <sz val="10"/>
            <rFont val="Arial"/>
            <family val="2"/>
          </rPr>
          <t xml:space="preserve">15</t>
        </r>
        <r>
          <rPr>
            <sz val="10"/>
            <rFont val="Noto Sans CJK SC"/>
            <family val="2"/>
          </rPr>
          <t xml:space="preserve">日内留存销售佐证（结算报告、销售明细账、记账凭证等）。税务总局公告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Noto Sans CJK SC"/>
            <family val="2"/>
          </rPr>
          <t xml:space="preserve">年第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号。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3" authorId="0">
      <text>
        <r>
          <rPr>
            <sz val="10"/>
            <rFont val="Noto Sans CJK SC"/>
            <family val="2"/>
          </rPr>
          <t xml:space="preserve">应为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。不为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说明这份结算报告的净额还没在「②销售核销」里全部分配到报关单。</t>
        </r>
      </text>
    </comment>
    <comment ref="R3" authorId="0">
      <text>
        <r>
          <rPr>
            <sz val="10"/>
            <rFont val="Noto Sans CJK SC"/>
            <family val="2"/>
          </rPr>
          <t xml:space="preserve">资金进入境内银行账户的日期。退税要求在报关出口次年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Noto Sans CJK SC"/>
            <family val="2"/>
          </rPr>
          <t xml:space="preserve">日前收汇（税务总局公告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Noto Sans CJK SC"/>
            <family val="2"/>
          </rPr>
          <t xml:space="preserve">年第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号第</t>
        </r>
        <r>
          <rPr>
            <sz val="10"/>
            <rFont val="Arial"/>
            <family val="2"/>
          </rPr>
          <t xml:space="preserve">48</t>
        </r>
        <r>
          <rPr>
            <sz val="10"/>
            <rFont val="Noto Sans CJK SC"/>
            <family val="2"/>
          </rPr>
          <t xml:space="preserve">条）。</t>
        </r>
      </text>
    </comment>
    <comment ref="X3" authorId="0">
      <text>
        <r>
          <rPr>
            <sz val="10"/>
            <rFont val="Noto Sans CJK SC"/>
            <family val="2"/>
          </rPr>
          <t xml:space="preserve">银行办理跨境电商收汇，涉外收支申报交易附言应注明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Noto Sans CJK SC"/>
            <family val="2"/>
          </rPr>
          <t xml:space="preserve">跨境电商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Noto Sans CJK SC"/>
            <family val="2"/>
          </rPr>
          <t xml:space="preserve">（汇发〔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Noto Sans CJK SC"/>
            <family val="2"/>
          </rPr>
          <t xml:space="preserve">〕</t>
        </r>
        <r>
          <rPr>
            <sz val="10"/>
            <rFont val="Arial"/>
            <family val="2"/>
          </rPr>
          <t xml:space="preserve">47</t>
        </r>
        <r>
          <rPr>
            <sz val="10"/>
            <rFont val="Noto Sans CJK SC"/>
            <family val="2"/>
          </rPr>
          <t xml:space="preserve">号第五条）。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Noto Sans CJK SC"/>
            <family val="2"/>
          </rPr>
          <t xml:space="preserve">已售部分按现行规定申报；未售部分可申报预退税，申报明细表「退（免）税业务类型」填 </t>
        </r>
        <r>
          <rPr>
            <sz val="10"/>
            <rFont val="Arial"/>
            <family val="2"/>
          </rPr>
          <t xml:space="preserve">HWC-YT</t>
        </r>
        <r>
          <rPr>
            <sz val="10"/>
            <rFont val="Noto Sans CJK SC"/>
            <family val="2"/>
          </rPr>
          <t xml:space="preserve">（税务总局公告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Noto Sans CJK SC"/>
            <family val="2"/>
          </rPr>
          <t xml:space="preserve">年第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号）。同一项号可拆成两行分别申报。</t>
        </r>
      </text>
    </comment>
    <comment ref="G3" authorId="0">
      <text>
        <r>
          <rPr>
            <sz val="10"/>
            <rFont val="Noto Sans CJK SC"/>
            <family val="2"/>
          </rPr>
          <t xml:space="preserve">生产企业用单独的申报序号、外贸企业用单独的关联号申报预退税。</t>
        </r>
      </text>
    </comment>
    <comment ref="J3" authorId="0">
      <text>
        <r>
          <rPr>
            <sz val="10"/>
            <rFont val="Noto Sans CJK SC"/>
            <family val="2"/>
          </rPr>
          <t xml:space="preserve">核算期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税务办结次月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日至次年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Noto Sans CJK SC"/>
            <family val="2"/>
          </rPr>
          <t xml:space="preserve">日。生产企业须在次年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Noto Sans CJK SC"/>
            <family val="2"/>
          </rPr>
          <t xml:space="preserve">月增值税申报期截止日前办理，比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Noto Sans CJK SC"/>
            <family val="2"/>
          </rPr>
          <t xml:space="preserve">日早，建议提前安排。</t>
        </r>
      </text>
    </comment>
    <comment ref="L3" authorId="0">
      <text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该编号累计净售出 − 已按「已售」申报的数量，最多不超过本行申报数量。</t>
        </r>
      </text>
    </comment>
    <comment ref="M3" authorId="0">
      <text>
        <r>
          <rPr>
            <sz val="10"/>
            <rFont val="Noto Sans CJK SC"/>
            <family val="2"/>
          </rPr>
          <t xml:space="preserve">按「申报退税额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 xml:space="preserve">申报数量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Noto Sans CJK SC"/>
            <family val="2"/>
          </rPr>
          <t xml:space="preserve">已售数量」估算，仅供参考。</t>
        </r>
      </text>
    </comment>
    <comment ref="N3" authorId="0">
      <text>
        <r>
          <rPr>
            <sz val="10"/>
            <rFont val="Noto Sans CJK SC"/>
            <family val="2"/>
          </rPr>
          <t xml:space="preserve">核算时按实际销售情况计算后填入。</t>
        </r>
      </text>
    </comment>
    <comment ref="T3" authorId="0">
      <text>
        <r>
          <rPr>
            <sz val="10"/>
            <rFont val="Noto Sans CJK SC"/>
            <family val="2"/>
          </rPr>
          <t xml:space="preserve">报关出口之日的次年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Noto Sans CJK SC"/>
            <family val="2"/>
          </rPr>
          <t xml:space="preserve">日前收汇（税务总局公告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Noto Sans CJK SC"/>
            <family val="2"/>
          </rPr>
          <t xml:space="preserve">年第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号第</t>
        </r>
        <r>
          <rPr>
            <sz val="10"/>
            <rFont val="Arial"/>
            <family val="2"/>
          </rPr>
          <t xml:space="preserve">48</t>
        </r>
        <r>
          <rPr>
            <sz val="10"/>
            <rFont val="Noto Sans CJK SC"/>
            <family val="2"/>
          </rPr>
          <t xml:space="preserve">条）。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Noto Sans CJK SC"/>
            <family val="2"/>
          </rPr>
          <t xml:space="preserve">已退税的货物发生退运、不再适用退税等情形，应在发生当月或次月用负数冲减原申报（税务总局公告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Noto Sans CJK SC"/>
            <family val="2"/>
          </rPr>
          <t xml:space="preserve">年第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号第</t>
        </r>
        <r>
          <rPr>
            <sz val="10"/>
            <rFont val="Arial"/>
            <family val="2"/>
          </rPr>
          <t xml:space="preserve">29</t>
        </r>
        <r>
          <rPr>
            <sz val="10"/>
            <rFont val="Noto Sans CJK SC"/>
            <family val="2"/>
          </rPr>
          <t xml:space="preserve">条）。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Noto Sans CJK SC"/>
            <family val="2"/>
          </rPr>
          <t xml:space="preserve">申报出口退（免）税后</t>
        </r>
        <r>
          <rPr>
            <sz val="10"/>
            <rFont val="Arial"/>
            <family val="2"/>
          </rPr>
          <t xml:space="preserve">15</t>
        </r>
        <r>
          <rPr>
            <sz val="10"/>
            <rFont val="Noto Sans CJK SC"/>
            <family val="2"/>
          </rPr>
          <t xml:space="preserve">日内留存备案单证，并按申报时间顺序编制目录（税务总局公告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Noto Sans CJK SC"/>
            <family val="2"/>
          </rPr>
          <t xml:space="preserve">年第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号第</t>
        </r>
        <r>
          <rPr>
            <sz val="10"/>
            <rFont val="Arial"/>
            <family val="2"/>
          </rPr>
          <t xml:space="preserve">45</t>
        </r>
        <r>
          <rPr>
            <sz val="10"/>
            <rFont val="Noto Sans CJK SC"/>
            <family val="2"/>
          </rPr>
          <t xml:space="preserve">条）。</t>
        </r>
      </text>
    </comment>
    <comment ref="P3" authorId="0">
      <text>
        <r>
          <rPr>
            <sz val="10"/>
            <rFont val="Noto Sans CJK SC"/>
            <family val="2"/>
          </rPr>
          <t xml:space="preserve">「未留存」和空白计为缺。销售佐证、收汇凭证随销售陆续补齐的，选「陆续留存中」。</t>
        </r>
      </text>
    </comment>
    <comment ref="R3" authorId="0">
      <text>
        <r>
          <rPr>
            <sz val="10"/>
            <rFont val="Noto Sans CJK SC"/>
            <family val="2"/>
          </rPr>
          <t xml:space="preserve">备案单证除另有规定外保存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年（税务总局公告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Noto Sans CJK SC"/>
            <family val="2"/>
          </rPr>
          <t xml:space="preserve">年第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号第</t>
        </r>
        <r>
          <rPr>
            <sz val="10"/>
            <rFont val="Arial"/>
            <family val="2"/>
          </rPr>
          <t xml:space="preserve">45</t>
        </r>
        <r>
          <rPr>
            <sz val="10"/>
            <rFont val="Noto Sans CJK SC"/>
            <family val="2"/>
          </rPr>
          <t xml:space="preserve">条），这里按申报日起算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年提示。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Noto Sans CJK SC"/>
            <family val="2"/>
          </rPr>
          <t xml:space="preserve">外贸企业：预计退税额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进项发票不含税金额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Noto Sans CJK SC"/>
            <family val="2"/>
          </rPr>
          <t xml:space="preserve">退税率
生产企业：预计退税额 </t>
        </r>
        <r>
          <rPr>
            <sz val="10"/>
            <rFont val="Arial"/>
            <family val="2"/>
          </rPr>
          <t xml:space="preserve">= FOB</t>
        </r>
        <r>
          <rPr>
            <sz val="10"/>
            <rFont val="Noto Sans CJK SC"/>
            <family val="2"/>
          </rPr>
          <t xml:space="preserve">人民币金额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Noto Sans CJK SC"/>
            <family val="2"/>
          </rPr>
          <t xml:space="preserve">退税率（免抵退实际以申报系统计算为准）</t>
        </r>
      </text>
    </comment>
  </commentList>
</comments>
</file>

<file path=xl/sharedStrings.xml><?xml version="1.0" encoding="utf-8"?>
<sst xmlns="http://schemas.openxmlformats.org/spreadsheetml/2006/main" count="477" uniqueCount="381">
  <si>
    <r>
      <rPr>
        <b val="true"/>
        <sz val="22"/>
        <color rgb="FF1F3A5F"/>
        <rFont val="Noto Sans CJK SC"/>
        <family val="2"/>
      </rPr>
      <t xml:space="preserve">亚马逊 </t>
    </r>
    <r>
      <rPr>
        <b val="true"/>
        <sz val="22"/>
        <color rgb="FF1F3A5F"/>
        <rFont val="Microsoft YaHei"/>
        <family val="0"/>
        <charset val="1"/>
      </rPr>
      <t xml:space="preserve">FBA · 9810 </t>
    </r>
    <r>
      <rPr>
        <b val="true"/>
        <sz val="22"/>
        <color rgb="FF1F3A5F"/>
        <rFont val="Noto Sans CJK SC"/>
        <family val="2"/>
      </rPr>
      <t xml:space="preserve">出口海外仓 核销台账</t>
    </r>
  </si>
  <si>
    <r>
      <rPr>
        <sz val="11"/>
        <color rgb="FF6B7785"/>
        <rFont val="Noto Sans CJK SC"/>
        <family val="2"/>
      </rPr>
      <t xml:space="preserve">用一个「核销编号」（报关单号</t>
    </r>
    <r>
      <rPr>
        <sz val="11"/>
        <color rgb="FF6B7785"/>
        <rFont val="Microsoft YaHei"/>
        <family val="0"/>
        <charset val="1"/>
      </rPr>
      <t xml:space="preserve">-</t>
    </r>
    <r>
      <rPr>
        <sz val="11"/>
        <color rgb="FF6B7785"/>
        <rFont val="Noto Sans CJK SC"/>
        <family val="2"/>
      </rPr>
      <t xml:space="preserve">项号）把一批货从报关出口、亚马逊入仓、销售、回款收汇，一直到退税核算串起来，逐项销账。每批货走到哪一步、还剩多少没卖、钱回没回、退税要不要核算，都在「核销总表」一眼看清。</t>
    </r>
  </si>
  <si>
    <t xml:space="preserve">一、整体流程</t>
  </si>
  <si>
    <r>
      <rPr>
        <b val="true"/>
        <sz val="12"/>
        <color rgb="FFFFFFFF"/>
        <rFont val="Noto Sans CJK SC"/>
        <family val="2"/>
      </rPr>
      <t xml:space="preserve">① 报关出口
</t>
    </r>
    <r>
      <rPr>
        <b val="true"/>
        <sz val="12"/>
        <color rgb="FFFFFFFF"/>
        <rFont val="Microsoft YaHei"/>
        <family val="0"/>
        <charset val="1"/>
      </rPr>
      <t xml:space="preserve">9810</t>
    </r>
    <r>
      <rPr>
        <b val="true"/>
        <sz val="12"/>
        <color rgb="FFFFFFFF"/>
        <rFont val="Noto Sans CJK SC"/>
        <family val="2"/>
      </rPr>
      <t xml:space="preserve">报关单</t>
    </r>
  </si>
  <si>
    <r>
      <rPr>
        <b val="true"/>
        <sz val="12"/>
        <color rgb="FFFFFFFF"/>
        <rFont val="Noto Sans CJK SC"/>
        <family val="2"/>
      </rPr>
      <t xml:space="preserve">② 亚马逊入仓
</t>
    </r>
    <r>
      <rPr>
        <b val="true"/>
        <sz val="12"/>
        <color rgb="FFFFFFFF"/>
        <rFont val="Microsoft YaHei"/>
        <family val="0"/>
        <charset val="1"/>
      </rPr>
      <t xml:space="preserve">FBA</t>
    </r>
    <r>
      <rPr>
        <b val="true"/>
        <sz val="12"/>
        <color rgb="FFFFFFFF"/>
        <rFont val="Noto Sans CJK SC"/>
        <family val="2"/>
      </rPr>
      <t xml:space="preserve">签收</t>
    </r>
  </si>
  <si>
    <t xml:space="preserve">③ 销售核销
按月分配到报关单</t>
  </si>
  <si>
    <t xml:space="preserve">④ 回款收汇
结算→境内入账</t>
  </si>
  <si>
    <t xml:space="preserve">⑤ 退税与核算
预退税到期核算</t>
  </si>
  <si>
    <t xml:space="preserve">填在「①出口报关」</t>
  </si>
  <si>
    <t xml:space="preserve">填在「②销售核销」
异常记「⑤库存异常」</t>
  </si>
  <si>
    <t xml:space="preserve">填在「③回款收汇」</t>
  </si>
  <si>
    <t xml:space="preserve">填在「④退税核算」
单证记「⑥单证留存」</t>
  </si>
  <si>
    <t xml:space="preserve">二、各表怎么用</t>
  </si>
  <si>
    <t xml:space="preserve">表名</t>
  </si>
  <si>
    <t xml:space="preserve">记什么</t>
  </si>
  <si>
    <t xml:space="preserve">一行代表</t>
  </si>
  <si>
    <t xml:space="preserve">多久更新</t>
  </si>
  <si>
    <t xml:space="preserve">数据从哪来</t>
  </si>
  <si>
    <t xml:space="preserve">核销总表</t>
  </si>
  <si>
    <t xml:space="preserve">每批货走到哪一步、有没有风险</t>
  </si>
  <si>
    <t xml:space="preserve">一个核销编号</t>
  </si>
  <si>
    <t xml:space="preserve">自动，无需填写</t>
  </si>
  <si>
    <t xml:space="preserve">汇总下面各表</t>
  </si>
  <si>
    <t xml:space="preserve">①出口报关</t>
  </si>
  <si>
    <r>
      <rPr>
        <sz val="11"/>
        <color rgb="FF1C2533"/>
        <rFont val="Noto Sans CJK SC"/>
        <family val="2"/>
      </rPr>
      <t xml:space="preserve">报关单、</t>
    </r>
    <r>
      <rPr>
        <sz val="11"/>
        <color rgb="FF1C2533"/>
        <rFont val="Microsoft YaHei"/>
        <family val="0"/>
        <charset val="1"/>
      </rPr>
      <t xml:space="preserve">FBA</t>
    </r>
    <r>
      <rPr>
        <sz val="11"/>
        <color rgb="FF1C2533"/>
        <rFont val="Noto Sans CJK SC"/>
        <family val="2"/>
      </rPr>
      <t xml:space="preserve">货件、进项发票、亚马逊签收</t>
    </r>
  </si>
  <si>
    <t xml:space="preserve">报关单的一个项号</t>
  </si>
  <si>
    <t xml:space="preserve">每票报关后</t>
  </si>
  <si>
    <t xml:space="preserve">报关单、亚马逊货件页面、进项发票</t>
  </si>
  <si>
    <t xml:space="preserve">②销售核销</t>
  </si>
  <si>
    <t xml:space="preserve">每月卖了多少、退回多少、属于哪票报关单</t>
  </si>
  <si>
    <r>
      <rPr>
        <sz val="11"/>
        <color rgb="FF1C2533"/>
        <rFont val="Noto Sans CJK SC"/>
        <family val="2"/>
      </rPr>
      <t xml:space="preserve">一个月</t>
    </r>
    <r>
      <rPr>
        <sz val="11"/>
        <color rgb="FF1C2533"/>
        <rFont val="Microsoft YaHei"/>
        <family val="0"/>
        <charset val="1"/>
      </rPr>
      <t xml:space="preserve">×</t>
    </r>
    <r>
      <rPr>
        <sz val="11"/>
        <color rgb="FF1C2533"/>
        <rFont val="Noto Sans CJK SC"/>
        <family val="2"/>
      </rPr>
      <t xml:space="preserve">一个</t>
    </r>
    <r>
      <rPr>
        <sz val="11"/>
        <color rgb="FF1C2533"/>
        <rFont val="Microsoft YaHei"/>
        <family val="0"/>
        <charset val="1"/>
      </rPr>
      <t xml:space="preserve">SKU×</t>
    </r>
    <r>
      <rPr>
        <sz val="11"/>
        <color rgb="FF1C2533"/>
        <rFont val="Noto Sans CJK SC"/>
        <family val="2"/>
      </rPr>
      <t xml:space="preserve">一个核销编号</t>
    </r>
  </si>
  <si>
    <t xml:space="preserve">每月结算报告出来后</t>
  </si>
  <si>
    <t xml:space="preserve">结算报告、库存分类账</t>
  </si>
  <si>
    <t xml:space="preserve">③回款收汇</t>
  </si>
  <si>
    <t xml:space="preserve">每份结算报告的扣费、净额、到账、结汇</t>
  </si>
  <si>
    <t xml:space="preserve">一份结算报告</t>
  </si>
  <si>
    <r>
      <rPr>
        <sz val="11"/>
        <color rgb="FF1C2533"/>
        <rFont val="Noto Sans CJK SC"/>
        <family val="2"/>
      </rPr>
      <t xml:space="preserve">每次回款</t>
    </r>
    <r>
      <rPr>
        <sz val="11"/>
        <color rgb="FF1C2533"/>
        <rFont val="Microsoft YaHei"/>
        <family val="0"/>
        <charset val="1"/>
      </rPr>
      <t xml:space="preserve">/</t>
    </r>
    <r>
      <rPr>
        <sz val="11"/>
        <color rgb="FF1C2533"/>
        <rFont val="Noto Sans CJK SC"/>
        <family val="2"/>
      </rPr>
      <t xml:space="preserve">提现</t>
    </r>
  </si>
  <si>
    <t xml:space="preserve">结算报告、收款平台提现记录、银行水单</t>
  </si>
  <si>
    <t xml:space="preserve">④退税核算</t>
  </si>
  <si>
    <t xml:space="preserve">退税申报、预退税核算期限与结果</t>
  </si>
  <si>
    <t xml:space="preserve">一次退税申报</t>
  </si>
  <si>
    <r>
      <rPr>
        <sz val="11"/>
        <color rgb="FF1C2533"/>
        <rFont val="Noto Sans CJK SC"/>
        <family val="2"/>
      </rPr>
      <t xml:space="preserve">每次申报</t>
    </r>
    <r>
      <rPr>
        <sz val="11"/>
        <color rgb="FF1C2533"/>
        <rFont val="Microsoft YaHei"/>
        <family val="0"/>
        <charset val="1"/>
      </rPr>
      <t xml:space="preserve">/</t>
    </r>
    <r>
      <rPr>
        <sz val="11"/>
        <color rgb="FF1C2533"/>
        <rFont val="Noto Sans CJK SC"/>
        <family val="2"/>
      </rPr>
      <t xml:space="preserve">核算</t>
    </r>
  </si>
  <si>
    <t xml:space="preserve">电子税务局或国际贸易单一窗口</t>
  </si>
  <si>
    <t xml:space="preserve">⑤库存异常</t>
  </si>
  <si>
    <t xml:space="preserve">弃置、丢失赔偿、移除、退运回国</t>
  </si>
  <si>
    <t xml:space="preserve">一次异常</t>
  </si>
  <si>
    <t xml:space="preserve">发生时</t>
  </si>
  <si>
    <t xml:space="preserve">库存分类账、赔偿报告、移除订单</t>
  </si>
  <si>
    <t xml:space="preserve">⑥单证留存</t>
  </si>
  <si>
    <t xml:space="preserve">备案单证是否收齐、放在哪</t>
  </si>
  <si>
    <t xml:space="preserve">一张报关单</t>
  </si>
  <si>
    <r>
      <rPr>
        <sz val="11"/>
        <color rgb="FF1C2533"/>
        <rFont val="Noto Sans CJK SC"/>
        <family val="2"/>
      </rPr>
      <t xml:space="preserve">退税申报后</t>
    </r>
    <r>
      <rPr>
        <sz val="11"/>
        <color rgb="FF1C2533"/>
        <rFont val="Microsoft YaHei"/>
        <family val="0"/>
        <charset val="1"/>
      </rPr>
      <t xml:space="preserve">15</t>
    </r>
    <r>
      <rPr>
        <sz val="11"/>
        <color rgb="FF1C2533"/>
        <rFont val="Noto Sans CJK SC"/>
        <family val="2"/>
      </rPr>
      <t xml:space="preserve">日内</t>
    </r>
  </si>
  <si>
    <t xml:space="preserve">公司文件夹</t>
  </si>
  <si>
    <t xml:space="preserve">参数表</t>
  </si>
  <si>
    <r>
      <rPr>
        <sz val="11"/>
        <color rgb="FF1C2533"/>
        <rFont val="Noto Sans CJK SC"/>
        <family val="2"/>
      </rPr>
      <t xml:space="preserve">企业类型、</t>
    </r>
    <r>
      <rPr>
        <sz val="11"/>
        <color rgb="FF1C2533"/>
        <rFont val="Microsoft YaHei"/>
        <family val="0"/>
        <charset val="1"/>
      </rPr>
      <t xml:space="preserve">SKU</t>
    </r>
    <r>
      <rPr>
        <sz val="11"/>
        <color rgb="FF1C2533"/>
        <rFont val="Noto Sans CJK SC"/>
        <family val="2"/>
      </rPr>
      <t xml:space="preserve">档案、下拉选项</t>
    </r>
  </si>
  <si>
    <r>
      <rPr>
        <sz val="11"/>
        <color rgb="FF1C2533"/>
        <rFont val="Noto Sans CJK SC"/>
        <family val="2"/>
      </rPr>
      <t xml:space="preserve">一个</t>
    </r>
    <r>
      <rPr>
        <sz val="11"/>
        <color rgb="FF1C2533"/>
        <rFont val="Microsoft YaHei"/>
        <family val="0"/>
        <charset val="1"/>
      </rPr>
      <t xml:space="preserve">SKU</t>
    </r>
  </si>
  <si>
    <t xml:space="preserve">新品上架时</t>
  </si>
  <si>
    <t xml:space="preserve">内部资料</t>
  </si>
  <si>
    <r>
      <rPr>
        <b val="true"/>
        <sz val="14"/>
        <color rgb="FF1F3A5F"/>
        <rFont val="Noto Sans CJK SC"/>
        <family val="2"/>
      </rPr>
      <t xml:space="preserve">三、关键期限（截至</t>
    </r>
    <r>
      <rPr>
        <b val="true"/>
        <sz val="14"/>
        <color rgb="FF1F3A5F"/>
        <rFont val="Microsoft YaHei"/>
        <family val="0"/>
        <charset val="1"/>
      </rPr>
      <t xml:space="preserve">2026</t>
    </r>
    <r>
      <rPr>
        <b val="true"/>
        <sz val="14"/>
        <color rgb="FF1F3A5F"/>
        <rFont val="Noto Sans CJK SC"/>
        <family val="2"/>
      </rPr>
      <t xml:space="preserve">年</t>
    </r>
    <r>
      <rPr>
        <b val="true"/>
        <sz val="14"/>
        <color rgb="FF1F3A5F"/>
        <rFont val="Microsoft YaHei"/>
        <family val="0"/>
        <charset val="1"/>
      </rPr>
      <t xml:space="preserve">10</t>
    </r>
    <r>
      <rPr>
        <b val="true"/>
        <sz val="14"/>
        <color rgb="FF1F3A5F"/>
        <rFont val="Noto Sans CJK SC"/>
        <family val="2"/>
      </rPr>
      <t xml:space="preserve">月的现行规定）</t>
    </r>
  </si>
  <si>
    <t xml:space="preserve">事项</t>
  </si>
  <si>
    <t xml:space="preserve">期限</t>
  </si>
  <si>
    <t xml:space="preserve">依据</t>
  </si>
  <si>
    <t xml:space="preserve">报关时向海关传输订仓单电子数据；海外仓不用再向海关备案</t>
  </si>
  <si>
    <t xml:space="preserve">每次报关</t>
  </si>
  <si>
    <r>
      <rPr>
        <sz val="11"/>
        <color rgb="FF1C2533"/>
        <rFont val="Noto Sans CJK SC"/>
        <family val="2"/>
      </rPr>
      <t xml:space="preserve">海关总署公告</t>
    </r>
    <r>
      <rPr>
        <sz val="11"/>
        <color rgb="FF1C2533"/>
        <rFont val="Microsoft YaHei"/>
        <family val="0"/>
        <charset val="1"/>
      </rPr>
      <t xml:space="preserve">2024</t>
    </r>
    <r>
      <rPr>
        <sz val="11"/>
        <color rgb="FF1C2533"/>
        <rFont val="Noto Sans CJK SC"/>
        <family val="2"/>
      </rPr>
      <t xml:space="preserve">年第</t>
    </r>
    <r>
      <rPr>
        <sz val="11"/>
        <color rgb="FF1C2533"/>
        <rFont val="Microsoft YaHei"/>
        <family val="0"/>
        <charset val="1"/>
      </rPr>
      <t xml:space="preserve">167</t>
    </r>
    <r>
      <rPr>
        <sz val="11"/>
        <color rgb="FF1C2533"/>
        <rFont val="Noto Sans CJK SC"/>
        <family val="2"/>
      </rPr>
      <t xml:space="preserve">号（</t>
    </r>
    <r>
      <rPr>
        <sz val="11"/>
        <color rgb="FF1C2533"/>
        <rFont val="Microsoft YaHei"/>
        <family val="0"/>
        <charset val="1"/>
      </rPr>
      <t xml:space="preserve">2024</t>
    </r>
    <r>
      <rPr>
        <sz val="11"/>
        <color rgb="FF1C2533"/>
        <rFont val="Noto Sans CJK SC"/>
        <family val="2"/>
      </rPr>
      <t xml:space="preserve">年</t>
    </r>
    <r>
      <rPr>
        <sz val="11"/>
        <color rgb="FF1C2533"/>
        <rFont val="Microsoft YaHei"/>
        <family val="0"/>
        <charset val="1"/>
      </rPr>
      <t xml:space="preserve">12</t>
    </r>
    <r>
      <rPr>
        <sz val="11"/>
        <color rgb="FF1C2533"/>
        <rFont val="Noto Sans CJK SC"/>
        <family val="2"/>
      </rPr>
      <t xml:space="preserve">月</t>
    </r>
    <r>
      <rPr>
        <sz val="11"/>
        <color rgb="FF1C2533"/>
        <rFont val="Microsoft YaHei"/>
        <family val="0"/>
        <charset val="1"/>
      </rPr>
      <t xml:space="preserve">15</t>
    </r>
    <r>
      <rPr>
        <sz val="11"/>
        <color rgb="FF1C2533"/>
        <rFont val="Noto Sans CJK SC"/>
        <family val="2"/>
      </rPr>
      <t xml:space="preserve">日起）</t>
    </r>
  </si>
  <si>
    <r>
      <rPr>
        <b val="true"/>
        <sz val="11"/>
        <color rgb="FF1C2533"/>
        <rFont val="Noto Sans CJK SC"/>
        <family val="2"/>
      </rPr>
      <t xml:space="preserve">未卖出的货可先申报「预退税」，申报表业务类型填 </t>
    </r>
    <r>
      <rPr>
        <b val="true"/>
        <sz val="11"/>
        <color rgb="FF1C2533"/>
        <rFont val="Microsoft YaHei"/>
        <family val="0"/>
        <charset val="1"/>
      </rPr>
      <t xml:space="preserve">HWC-YT</t>
    </r>
    <r>
      <rPr>
        <b val="true"/>
        <sz val="11"/>
        <color rgb="FF1C2533"/>
        <rFont val="Noto Sans CJK SC"/>
        <family val="2"/>
      </rPr>
      <t xml:space="preserve">；已卖出的按现行规定申报</t>
    </r>
  </si>
  <si>
    <t xml:space="preserve">报关离境后即可申报</t>
  </si>
  <si>
    <r>
      <rPr>
        <sz val="11"/>
        <color rgb="FF1C2533"/>
        <rFont val="Noto Sans CJK SC"/>
        <family val="2"/>
      </rPr>
      <t xml:space="preserve">税务总局公告</t>
    </r>
    <r>
      <rPr>
        <sz val="11"/>
        <color rgb="FF1C2533"/>
        <rFont val="Microsoft YaHei"/>
        <family val="0"/>
        <charset val="1"/>
      </rPr>
      <t xml:space="preserve">2025</t>
    </r>
    <r>
      <rPr>
        <sz val="11"/>
        <color rgb="FF1C2533"/>
        <rFont val="Noto Sans CJK SC"/>
        <family val="2"/>
      </rPr>
      <t xml:space="preserve">年第</t>
    </r>
    <r>
      <rPr>
        <sz val="11"/>
        <color rgb="FF1C2533"/>
        <rFont val="Microsoft YaHei"/>
        <family val="0"/>
        <charset val="1"/>
      </rPr>
      <t xml:space="preserve">3</t>
    </r>
    <r>
      <rPr>
        <sz val="11"/>
        <color rgb="FF1C2533"/>
        <rFont val="Noto Sans CJK SC"/>
        <family val="2"/>
      </rPr>
      <t xml:space="preserve">号</t>
    </r>
  </si>
  <si>
    <t xml:space="preserve">退税申报后留存备案单证（合同或订仓单、运输单据、委托报关单据等），按申报时间编目录</t>
  </si>
  <si>
    <r>
      <rPr>
        <sz val="11"/>
        <color rgb="FF1C2533"/>
        <rFont val="Noto Sans CJK SC"/>
        <family val="2"/>
      </rPr>
      <t xml:space="preserve">申报后</t>
    </r>
    <r>
      <rPr>
        <sz val="11"/>
        <color rgb="FF1C2533"/>
        <rFont val="Microsoft YaHei"/>
        <family val="0"/>
        <charset val="1"/>
      </rPr>
      <t xml:space="preserve">15</t>
    </r>
    <r>
      <rPr>
        <sz val="11"/>
        <color rgb="FF1C2533"/>
        <rFont val="Noto Sans CJK SC"/>
        <family val="2"/>
      </rPr>
      <t xml:space="preserve">日内留存；保存</t>
    </r>
    <r>
      <rPr>
        <sz val="11"/>
        <color rgb="FF1C2533"/>
        <rFont val="Microsoft YaHei"/>
        <family val="0"/>
        <charset val="1"/>
      </rPr>
      <t xml:space="preserve">10</t>
    </r>
    <r>
      <rPr>
        <sz val="11"/>
        <color rgb="FF1C2533"/>
        <rFont val="Noto Sans CJK SC"/>
        <family val="2"/>
      </rPr>
      <t xml:space="preserve">年</t>
    </r>
  </si>
  <si>
    <r>
      <rPr>
        <sz val="11"/>
        <color rgb="FF1C2533"/>
        <rFont val="Noto Sans CJK SC"/>
        <family val="2"/>
      </rPr>
      <t xml:space="preserve">税务总局公告</t>
    </r>
    <r>
      <rPr>
        <sz val="11"/>
        <color rgb="FF1C2533"/>
        <rFont val="Microsoft YaHei"/>
        <family val="0"/>
        <charset val="1"/>
      </rPr>
      <t xml:space="preserve">2026</t>
    </r>
    <r>
      <rPr>
        <sz val="11"/>
        <color rgb="FF1C2533"/>
        <rFont val="Noto Sans CJK SC"/>
        <family val="2"/>
      </rPr>
      <t xml:space="preserve">年第</t>
    </r>
    <r>
      <rPr>
        <sz val="11"/>
        <color rgb="FF1C2533"/>
        <rFont val="Microsoft YaHei"/>
        <family val="0"/>
        <charset val="1"/>
      </rPr>
      <t xml:space="preserve">5</t>
    </r>
    <r>
      <rPr>
        <sz val="11"/>
        <color rgb="FF1C2533"/>
        <rFont val="Noto Sans CJK SC"/>
        <family val="2"/>
      </rPr>
      <t xml:space="preserve">号 第</t>
    </r>
    <r>
      <rPr>
        <sz val="11"/>
        <color rgb="FF1C2533"/>
        <rFont val="Microsoft YaHei"/>
        <family val="0"/>
        <charset val="1"/>
      </rPr>
      <t xml:space="preserve">45</t>
    </r>
    <r>
      <rPr>
        <sz val="11"/>
        <color rgb="FF1C2533"/>
        <rFont val="Noto Sans CJK SC"/>
        <family val="2"/>
      </rPr>
      <t xml:space="preserve">条</t>
    </r>
  </si>
  <si>
    <t xml:space="preserve">预退税的货卖出后，留存销售佐证（结算报告、销售明细账、记账凭证等）</t>
  </si>
  <si>
    <r>
      <rPr>
        <sz val="11"/>
        <color rgb="FF1C2533"/>
        <rFont val="Noto Sans CJK SC"/>
        <family val="2"/>
      </rPr>
      <t xml:space="preserve">实现销售后</t>
    </r>
    <r>
      <rPr>
        <sz val="11"/>
        <color rgb="FF1C2533"/>
        <rFont val="Microsoft YaHei"/>
        <family val="0"/>
        <charset val="1"/>
      </rPr>
      <t xml:space="preserve">15</t>
    </r>
    <r>
      <rPr>
        <sz val="11"/>
        <color rgb="FF1C2533"/>
        <rFont val="Noto Sans CJK SC"/>
        <family val="2"/>
      </rPr>
      <t xml:space="preserve">日内</t>
    </r>
  </si>
  <si>
    <t xml:space="preserve">预退税核算</t>
  </si>
  <si>
    <r>
      <rPr>
        <sz val="11"/>
        <color rgb="FF1C2533"/>
        <rFont val="Noto Sans CJK SC"/>
        <family val="2"/>
      </rPr>
      <t xml:space="preserve">税务办结次月</t>
    </r>
    <r>
      <rPr>
        <sz val="11"/>
        <color rgb="FF1C2533"/>
        <rFont val="Microsoft YaHei"/>
        <family val="0"/>
        <charset val="1"/>
      </rPr>
      <t xml:space="preserve">1</t>
    </r>
    <r>
      <rPr>
        <sz val="11"/>
        <color rgb="FF1C2533"/>
        <rFont val="Noto Sans CJK SC"/>
        <family val="2"/>
      </rPr>
      <t xml:space="preserve">日至次年</t>
    </r>
    <r>
      <rPr>
        <sz val="11"/>
        <color rgb="FF1C2533"/>
        <rFont val="Microsoft YaHei"/>
        <family val="0"/>
        <charset val="1"/>
      </rPr>
      <t xml:space="preserve">4</t>
    </r>
    <r>
      <rPr>
        <sz val="11"/>
        <color rgb="FF1C2533"/>
        <rFont val="Noto Sans CJK SC"/>
        <family val="2"/>
      </rPr>
      <t xml:space="preserve">月</t>
    </r>
    <r>
      <rPr>
        <sz val="11"/>
        <color rgb="FF1C2533"/>
        <rFont val="Microsoft YaHei"/>
        <family val="0"/>
        <charset val="1"/>
      </rPr>
      <t xml:space="preserve">30</t>
    </r>
    <r>
      <rPr>
        <sz val="11"/>
        <color rgb="FF1C2533"/>
        <rFont val="Noto Sans CJK SC"/>
        <family val="2"/>
      </rPr>
      <t xml:space="preserve">日；生产企业最迟在次年</t>
    </r>
    <r>
      <rPr>
        <sz val="11"/>
        <color rgb="FF1C2533"/>
        <rFont val="Microsoft YaHei"/>
        <family val="0"/>
        <charset val="1"/>
      </rPr>
      <t xml:space="preserve">4</t>
    </r>
    <r>
      <rPr>
        <sz val="11"/>
        <color rgb="FF1C2533"/>
        <rFont val="Noto Sans CJK SC"/>
        <family val="2"/>
      </rPr>
      <t xml:space="preserve">月增值税申报期截止日前</t>
    </r>
  </si>
  <si>
    <t xml:space="preserve">核算时还没卖出</t>
  </si>
  <si>
    <t xml:space="preserve">全额缴回预退税；卖出后再按现行规定重新申报</t>
  </si>
  <si>
    <t xml:space="preserve">到期没核算</t>
  </si>
  <si>
    <t xml:space="preserve">税务机关追回已退的预退税</t>
  </si>
  <si>
    <t xml:space="preserve">收汇</t>
  </si>
  <si>
    <r>
      <rPr>
        <sz val="11"/>
        <color rgb="FF1C2533"/>
        <rFont val="Noto Sans CJK SC"/>
        <family val="2"/>
      </rPr>
      <t xml:space="preserve">报关出口之日的次年</t>
    </r>
    <r>
      <rPr>
        <sz val="11"/>
        <color rgb="FF1C2533"/>
        <rFont val="Microsoft YaHei"/>
        <family val="0"/>
        <charset val="1"/>
      </rPr>
      <t xml:space="preserve">4</t>
    </r>
    <r>
      <rPr>
        <sz val="11"/>
        <color rgb="FF1C2533"/>
        <rFont val="Noto Sans CJK SC"/>
        <family val="2"/>
      </rPr>
      <t xml:space="preserve">月</t>
    </r>
    <r>
      <rPr>
        <sz val="11"/>
        <color rgb="FF1C2533"/>
        <rFont val="Microsoft YaHei"/>
        <family val="0"/>
        <charset val="1"/>
      </rPr>
      <t xml:space="preserve">30</t>
    </r>
    <r>
      <rPr>
        <sz val="11"/>
        <color rgb="FF1C2533"/>
        <rFont val="Noto Sans CJK SC"/>
        <family val="2"/>
      </rPr>
      <t xml:space="preserve">日前（符合视同收汇情形的留存举证材料）</t>
    </r>
  </si>
  <si>
    <r>
      <rPr>
        <sz val="11"/>
        <color rgb="FF1C2533"/>
        <rFont val="Noto Sans CJK SC"/>
        <family val="2"/>
      </rPr>
      <t xml:space="preserve">税务总局公告</t>
    </r>
    <r>
      <rPr>
        <sz val="11"/>
        <color rgb="FF1C2533"/>
        <rFont val="Microsoft YaHei"/>
        <family val="0"/>
        <charset val="1"/>
      </rPr>
      <t xml:space="preserve">2026</t>
    </r>
    <r>
      <rPr>
        <sz val="11"/>
        <color rgb="FF1C2533"/>
        <rFont val="Noto Sans CJK SC"/>
        <family val="2"/>
      </rPr>
      <t xml:space="preserve">年第</t>
    </r>
    <r>
      <rPr>
        <sz val="11"/>
        <color rgb="FF1C2533"/>
        <rFont val="Microsoft YaHei"/>
        <family val="0"/>
        <charset val="1"/>
      </rPr>
      <t xml:space="preserve">5</t>
    </r>
    <r>
      <rPr>
        <sz val="11"/>
        <color rgb="FF1C2533"/>
        <rFont val="Noto Sans CJK SC"/>
        <family val="2"/>
      </rPr>
      <t xml:space="preserve">号 第</t>
    </r>
    <r>
      <rPr>
        <sz val="11"/>
        <color rgb="FF1C2533"/>
        <rFont val="Microsoft YaHei"/>
        <family val="0"/>
        <charset val="1"/>
      </rPr>
      <t xml:space="preserve">48</t>
    </r>
    <r>
      <rPr>
        <sz val="11"/>
        <color rgb="FF1C2533"/>
        <rFont val="Noto Sans CJK SC"/>
        <family val="2"/>
      </rPr>
      <t xml:space="preserve">条</t>
    </r>
  </si>
  <si>
    <t xml:space="preserve">已退税的货发生退回、不再适用退税等</t>
  </si>
  <si>
    <t xml:space="preserve">发生当月或次月用负数冲减原申报</t>
  </si>
  <si>
    <r>
      <rPr>
        <sz val="11"/>
        <color rgb="FF1C2533"/>
        <rFont val="Noto Sans CJK SC"/>
        <family val="2"/>
      </rPr>
      <t xml:space="preserve">税务总局公告</t>
    </r>
    <r>
      <rPr>
        <sz val="11"/>
        <color rgb="FF1C2533"/>
        <rFont val="Microsoft YaHei"/>
        <family val="0"/>
        <charset val="1"/>
      </rPr>
      <t xml:space="preserve">2026</t>
    </r>
    <r>
      <rPr>
        <sz val="11"/>
        <color rgb="FF1C2533"/>
        <rFont val="Noto Sans CJK SC"/>
        <family val="2"/>
      </rPr>
      <t xml:space="preserve">年第</t>
    </r>
    <r>
      <rPr>
        <sz val="11"/>
        <color rgb="FF1C2533"/>
        <rFont val="Microsoft YaHei"/>
        <family val="0"/>
        <charset val="1"/>
      </rPr>
      <t xml:space="preserve">5</t>
    </r>
    <r>
      <rPr>
        <sz val="11"/>
        <color rgb="FF1C2533"/>
        <rFont val="Noto Sans CJK SC"/>
        <family val="2"/>
      </rPr>
      <t xml:space="preserve">号 第</t>
    </r>
    <r>
      <rPr>
        <sz val="11"/>
        <color rgb="FF1C2533"/>
        <rFont val="Microsoft YaHei"/>
        <family val="0"/>
        <charset val="1"/>
      </rPr>
      <t xml:space="preserve">29</t>
    </r>
    <r>
      <rPr>
        <sz val="11"/>
        <color rgb="FF1C2533"/>
        <rFont val="Noto Sans CJK SC"/>
        <family val="2"/>
      </rPr>
      <t xml:space="preserve">条</t>
    </r>
  </si>
  <si>
    <t xml:space="preserve">四、回款要注意</t>
  </si>
  <si>
    <r>
      <rPr>
        <sz val="11"/>
        <color rgb="FF1C2533"/>
        <rFont val="Microsoft YaHei"/>
        <family val="0"/>
        <charset val="1"/>
      </rPr>
      <t xml:space="preserve">1. </t>
    </r>
    <r>
      <rPr>
        <sz val="11"/>
        <color rgb="FF1C2533"/>
        <rFont val="Noto Sans CJK SC"/>
        <family val="2"/>
      </rPr>
      <t xml:space="preserve">亚马逊打款是扣完佣金、配送费、仓储费、广告费后的净额。「③回款收汇」把毛额、各项扣费、净额分开记，需要时可以还原成毛额。</t>
    </r>
  </si>
  <si>
    <r>
      <rPr>
        <sz val="11"/>
        <color rgb="FF1C2533"/>
        <rFont val="Microsoft YaHei"/>
        <family val="0"/>
        <charset val="1"/>
      </rPr>
      <t xml:space="preserve">2. </t>
    </r>
    <r>
      <rPr>
        <sz val="11"/>
        <color rgb="FF1C2533"/>
        <rFont val="Noto Sans CJK SC"/>
        <family val="2"/>
      </rPr>
      <t xml:space="preserve">过去明确允许跨境电商把境外仓储、物流、税费与货款轧差结算、海外仓按实际销售收汇的文件（汇发〔</t>
    </r>
    <r>
      <rPr>
        <sz val="11"/>
        <color rgb="FF1C2533"/>
        <rFont val="Microsoft YaHei"/>
        <family val="0"/>
        <charset val="1"/>
      </rPr>
      <t xml:space="preserve">2020</t>
    </r>
    <r>
      <rPr>
        <sz val="11"/>
        <color rgb="FF1C2533"/>
        <rFont val="Noto Sans CJK SC"/>
        <family val="2"/>
      </rPr>
      <t xml:space="preserve">〕</t>
    </r>
    <r>
      <rPr>
        <sz val="11"/>
        <color rgb="FF1C2533"/>
        <rFont val="Microsoft YaHei"/>
        <family val="0"/>
        <charset val="1"/>
      </rPr>
      <t xml:space="preserve">11</t>
    </r>
    <r>
      <rPr>
        <sz val="11"/>
        <color rgb="FF1C2533"/>
        <rFont val="Noto Sans CJK SC"/>
        <family val="2"/>
      </rPr>
      <t xml:space="preserve">号），已在</t>
    </r>
    <r>
      <rPr>
        <sz val="11"/>
        <color rgb="FF1C2533"/>
        <rFont val="Microsoft YaHei"/>
        <family val="0"/>
        <charset val="1"/>
      </rPr>
      <t xml:space="preserve">2025</t>
    </r>
    <r>
      <rPr>
        <sz val="11"/>
        <color rgb="FF1C2533"/>
        <rFont val="Noto Sans CJK SC"/>
        <family val="2"/>
      </rPr>
      <t xml:space="preserve">年</t>
    </r>
    <r>
      <rPr>
        <sz val="11"/>
        <color rgb="FF1C2533"/>
        <rFont val="Microsoft YaHei"/>
        <family val="0"/>
        <charset val="1"/>
      </rPr>
      <t xml:space="preserve">10</t>
    </r>
    <r>
      <rPr>
        <sz val="11"/>
        <color rgb="FF1C2533"/>
        <rFont val="Noto Sans CJK SC"/>
        <family val="2"/>
      </rPr>
      <t xml:space="preserve">月被汇发〔</t>
    </r>
    <r>
      <rPr>
        <sz val="11"/>
        <color rgb="FF1C2533"/>
        <rFont val="Microsoft YaHei"/>
        <family val="0"/>
        <charset val="1"/>
      </rPr>
      <t xml:space="preserve">2025</t>
    </r>
    <r>
      <rPr>
        <sz val="11"/>
        <color rgb="FF1C2533"/>
        <rFont val="Noto Sans CJK SC"/>
        <family val="2"/>
      </rPr>
      <t xml:space="preserve">〕</t>
    </r>
    <r>
      <rPr>
        <sz val="11"/>
        <color rgb="FF1C2533"/>
        <rFont val="Microsoft YaHei"/>
        <family val="0"/>
        <charset val="1"/>
      </rPr>
      <t xml:space="preserve">47</t>
    </r>
    <r>
      <rPr>
        <sz val="11"/>
        <color rgb="FF1C2533"/>
        <rFont val="Noto Sans CJK SC"/>
        <family val="2"/>
      </rPr>
      <t xml:space="preserve">号废止。新文件明确写到的轧差路径是外贸综合服务企业代办、试点地区优质企业等情形。按净额办理收汇前，先和收款银行确认口径。</t>
    </r>
  </si>
  <si>
    <r>
      <rPr>
        <sz val="11"/>
        <color rgb="FF1C2533"/>
        <rFont val="Microsoft YaHei"/>
        <family val="0"/>
        <charset val="1"/>
      </rPr>
      <t xml:space="preserve">3. </t>
    </r>
    <r>
      <rPr>
        <sz val="11"/>
        <color rgb="FF1C2533"/>
        <rFont val="Noto Sans CJK SC"/>
        <family val="2"/>
      </rPr>
      <t xml:space="preserve">银行办理跨境电商收汇时，涉外收支申报附言应注明「跨境电商」（汇发〔</t>
    </r>
    <r>
      <rPr>
        <sz val="11"/>
        <color rgb="FF1C2533"/>
        <rFont val="Microsoft YaHei"/>
        <family val="0"/>
        <charset val="1"/>
      </rPr>
      <t xml:space="preserve">2025</t>
    </r>
    <r>
      <rPr>
        <sz val="11"/>
        <color rgb="FF1C2533"/>
        <rFont val="Noto Sans CJK SC"/>
        <family val="2"/>
      </rPr>
      <t xml:space="preserve">〕</t>
    </r>
    <r>
      <rPr>
        <sz val="11"/>
        <color rgb="FF1C2533"/>
        <rFont val="Microsoft YaHei"/>
        <family val="0"/>
        <charset val="1"/>
      </rPr>
      <t xml:space="preserve">47</t>
    </r>
    <r>
      <rPr>
        <sz val="11"/>
        <color rgb="FF1C2533"/>
        <rFont val="Noto Sans CJK SC"/>
        <family val="2"/>
      </rPr>
      <t xml:space="preserve">号第五条）。</t>
    </r>
  </si>
  <si>
    <r>
      <rPr>
        <sz val="11"/>
        <color rgb="FF1C2533"/>
        <rFont val="Microsoft YaHei"/>
        <family val="0"/>
        <charset val="1"/>
      </rPr>
      <t xml:space="preserve">4. </t>
    </r>
    <r>
      <rPr>
        <sz val="11"/>
        <color rgb="FF1C2533"/>
        <rFont val="Noto Sans CJK SC"/>
        <family val="2"/>
      </rPr>
      <t xml:space="preserve">退税申报时一般不用报送收汇材料，但要留存备查；在报关出口次年</t>
    </r>
    <r>
      <rPr>
        <sz val="11"/>
        <color rgb="FF1C2533"/>
        <rFont val="Microsoft YaHei"/>
        <family val="0"/>
        <charset val="1"/>
      </rPr>
      <t xml:space="preserve">4</t>
    </r>
    <r>
      <rPr>
        <sz val="11"/>
        <color rgb="FF1C2533"/>
        <rFont val="Noto Sans CJK SC"/>
        <family val="2"/>
      </rPr>
      <t xml:space="preserve">月</t>
    </r>
    <r>
      <rPr>
        <sz val="11"/>
        <color rgb="FF1C2533"/>
        <rFont val="Microsoft YaHei"/>
        <family val="0"/>
        <charset val="1"/>
      </rPr>
      <t xml:space="preserve">30</t>
    </r>
    <r>
      <rPr>
        <sz val="11"/>
        <color rgb="FF1C2533"/>
        <rFont val="Noto Sans CJK SC"/>
        <family val="2"/>
      </rPr>
      <t xml:space="preserve">日之后才申报、或企业为四类管理的，需要报送（税务总局公告</t>
    </r>
    <r>
      <rPr>
        <sz val="11"/>
        <color rgb="FF1C2533"/>
        <rFont val="Microsoft YaHei"/>
        <family val="0"/>
        <charset val="1"/>
      </rPr>
      <t xml:space="preserve">2026</t>
    </r>
    <r>
      <rPr>
        <sz val="11"/>
        <color rgb="FF1C2533"/>
        <rFont val="Noto Sans CJK SC"/>
        <family val="2"/>
      </rPr>
      <t xml:space="preserve">年第</t>
    </r>
    <r>
      <rPr>
        <sz val="11"/>
        <color rgb="FF1C2533"/>
        <rFont val="Microsoft YaHei"/>
        <family val="0"/>
        <charset val="1"/>
      </rPr>
      <t xml:space="preserve">5</t>
    </r>
    <r>
      <rPr>
        <sz val="11"/>
        <color rgb="FF1C2533"/>
        <rFont val="Noto Sans CJK SC"/>
        <family val="2"/>
      </rPr>
      <t xml:space="preserve">号第</t>
    </r>
    <r>
      <rPr>
        <sz val="11"/>
        <color rgb="FF1C2533"/>
        <rFont val="Microsoft YaHei"/>
        <family val="0"/>
        <charset val="1"/>
      </rPr>
      <t xml:space="preserve">49</t>
    </r>
    <r>
      <rPr>
        <sz val="11"/>
        <color rgb="FF1C2533"/>
        <rFont val="Noto Sans CJK SC"/>
        <family val="2"/>
      </rPr>
      <t xml:space="preserve">条）。</t>
    </r>
  </si>
  <si>
    <t xml:space="preserve">五、填写规则</t>
  </si>
  <si>
    <r>
      <rPr>
        <sz val="11"/>
        <color rgb="FF1C2533"/>
        <rFont val="Microsoft YaHei"/>
        <family val="0"/>
        <charset val="1"/>
      </rPr>
      <t xml:space="preserve">1. </t>
    </r>
    <r>
      <rPr>
        <sz val="11"/>
        <color rgb="FF1C2533"/>
        <rFont val="Noto Sans CJK SC"/>
        <family val="2"/>
      </rPr>
      <t xml:space="preserve">先到「参数表」选企业类型，并建好</t>
    </r>
    <r>
      <rPr>
        <sz val="11"/>
        <color rgb="FF1C2533"/>
        <rFont val="Microsoft YaHei"/>
        <family val="0"/>
        <charset val="1"/>
      </rPr>
      <t xml:space="preserve">SKU</t>
    </r>
    <r>
      <rPr>
        <sz val="11"/>
        <color rgb="FF1C2533"/>
        <rFont val="Noto Sans CJK SC"/>
        <family val="2"/>
      </rPr>
      <t xml:space="preserve">档案。外贸企业的预计退税额按进项发票不含税金额计算，生产企业按</t>
    </r>
    <r>
      <rPr>
        <sz val="11"/>
        <color rgb="FF1C2533"/>
        <rFont val="Microsoft YaHei"/>
        <family val="0"/>
        <charset val="1"/>
      </rPr>
      <t xml:space="preserve">FOB</t>
    </r>
    <r>
      <rPr>
        <sz val="11"/>
        <color rgb="FF1C2533"/>
        <rFont val="Noto Sans CJK SC"/>
        <family val="2"/>
      </rPr>
      <t xml:space="preserve">人民币金额估算（免抵退的实际金额以申报系统为准）。</t>
    </r>
  </si>
  <si>
    <r>
      <rPr>
        <sz val="11"/>
        <color rgb="FF1C2533"/>
        <rFont val="Microsoft YaHei"/>
        <family val="0"/>
        <charset val="1"/>
      </rPr>
      <t xml:space="preserve">2. </t>
    </r>
    <r>
      <rPr>
        <sz val="11"/>
        <color rgb="FF1C2533"/>
        <rFont val="Noto Sans CJK SC"/>
        <family val="2"/>
      </rPr>
      <t xml:space="preserve">白底格子手填；浅蓝色格子是公式，不要改动。表头带「（自动）」的列都是公式。</t>
    </r>
  </si>
  <si>
    <r>
      <rPr>
        <sz val="11"/>
        <color rgb="FF1C2533"/>
        <rFont val="Microsoft YaHei"/>
        <family val="0"/>
        <charset val="1"/>
      </rPr>
      <t xml:space="preserve">3. </t>
    </r>
    <r>
      <rPr>
        <sz val="11"/>
        <color rgb="FF1C2533"/>
        <rFont val="Noto Sans CJK SC"/>
        <family val="2"/>
      </rPr>
      <t xml:space="preserve">同一</t>
    </r>
    <r>
      <rPr>
        <sz val="11"/>
        <color rgb="FF1C2533"/>
        <rFont val="Microsoft YaHei"/>
        <family val="0"/>
        <charset val="1"/>
      </rPr>
      <t xml:space="preserve">SKU</t>
    </r>
    <r>
      <rPr>
        <sz val="11"/>
        <color rgb="FF1C2533"/>
        <rFont val="Noto Sans CJK SC"/>
        <family val="2"/>
      </rPr>
      <t xml:space="preserve">有多票报关单时，销量按出口日期「先进先出」：先分配给最早那票，卖完再分下一票。「核销总表」的在仓未售数可以帮你判断还剩哪票。</t>
    </r>
  </si>
  <si>
    <r>
      <rPr>
        <sz val="11"/>
        <color rgb="FF1C2533"/>
        <rFont val="Microsoft YaHei"/>
        <family val="0"/>
        <charset val="1"/>
      </rPr>
      <t xml:space="preserve">4. </t>
    </r>
    <r>
      <rPr>
        <sz val="11"/>
        <color rgb="FF1C2533"/>
        <rFont val="Noto Sans CJK SC"/>
        <family val="2"/>
      </rPr>
      <t xml:space="preserve">一份结算报告的净额要全部分配到报关单，「③回款收汇」的分摊差异为 </t>
    </r>
    <r>
      <rPr>
        <sz val="11"/>
        <color rgb="FF1C2533"/>
        <rFont val="Microsoft YaHei"/>
        <family val="0"/>
        <charset val="1"/>
      </rPr>
      <t xml:space="preserve">0 </t>
    </r>
    <r>
      <rPr>
        <sz val="11"/>
        <color rgb="FF1C2533"/>
        <rFont val="Noto Sans CJK SC"/>
        <family val="2"/>
      </rPr>
      <t xml:space="preserve">才算分完。</t>
    </r>
  </si>
  <si>
    <r>
      <rPr>
        <sz val="11"/>
        <color rgb="FF1C2533"/>
        <rFont val="Microsoft YaHei"/>
        <family val="0"/>
        <charset val="1"/>
      </rPr>
      <t xml:space="preserve">5. </t>
    </r>
    <r>
      <rPr>
        <sz val="11"/>
        <color rgb="FF1C2533"/>
        <rFont val="Noto Sans CJK SC"/>
        <family val="2"/>
      </rPr>
      <t xml:space="preserve">买家退货回到可售库存，记在「②销售核销」的退货数量；不可售弃置、丢失赔偿、移除、退运回国等，记在「⑤库存异常」。</t>
    </r>
  </si>
  <si>
    <r>
      <rPr>
        <sz val="11"/>
        <color rgb="FF1C2533"/>
        <rFont val="Microsoft YaHei"/>
        <family val="0"/>
        <charset val="1"/>
      </rPr>
      <t xml:space="preserve">6. </t>
    </r>
    <r>
      <rPr>
        <sz val="11"/>
        <color rgb="FF1C2533"/>
        <rFont val="Noto Sans CJK SC"/>
        <family val="2"/>
      </rPr>
      <t xml:space="preserve">各表中备注为「示例」的行用于演示公式效果，正式使用前请删除这些行的手填内容（浅蓝色公式格保留）。</t>
    </r>
  </si>
  <si>
    <r>
      <rPr>
        <sz val="11"/>
        <color rgb="FF1C2533"/>
        <rFont val="Microsoft YaHei"/>
        <family val="0"/>
        <charset val="1"/>
      </rPr>
      <t xml:space="preserve">7. </t>
    </r>
    <r>
      <rPr>
        <sz val="11"/>
        <color rgb="FF1C2533"/>
        <rFont val="Noto Sans CJK SC"/>
        <family val="2"/>
      </rPr>
      <t xml:space="preserve">表格预留：出口报关</t>
    </r>
    <r>
      <rPr>
        <sz val="11"/>
        <color rgb="FF1C2533"/>
        <rFont val="Microsoft YaHei"/>
        <family val="0"/>
        <charset val="1"/>
      </rPr>
      <t xml:space="preserve">300</t>
    </r>
    <r>
      <rPr>
        <sz val="11"/>
        <color rgb="FF1C2533"/>
        <rFont val="Noto Sans CJK SC"/>
        <family val="2"/>
      </rPr>
      <t xml:space="preserve">行、销售核销</t>
    </r>
    <r>
      <rPr>
        <sz val="11"/>
        <color rgb="FF1C2533"/>
        <rFont val="Microsoft YaHei"/>
        <family val="0"/>
        <charset val="1"/>
      </rPr>
      <t xml:space="preserve">600</t>
    </r>
    <r>
      <rPr>
        <sz val="11"/>
        <color rgb="FF1C2533"/>
        <rFont val="Noto Sans CJK SC"/>
        <family val="2"/>
      </rPr>
      <t xml:space="preserve">行、回款收汇</t>
    </r>
    <r>
      <rPr>
        <sz val="11"/>
        <color rgb="FF1C2533"/>
        <rFont val="Microsoft YaHei"/>
        <family val="0"/>
        <charset val="1"/>
      </rPr>
      <t xml:space="preserve">200</t>
    </r>
    <r>
      <rPr>
        <sz val="11"/>
        <color rgb="FF1C2533"/>
        <rFont val="Noto Sans CJK SC"/>
        <family val="2"/>
      </rPr>
      <t xml:space="preserve">行，不够时选中最后一行向下拖动复制即可。</t>
    </r>
  </si>
  <si>
    <t xml:space="preserve">六、颜色说明</t>
  </si>
  <si>
    <t xml:space="preserve">表头</t>
  </si>
  <si>
    <t xml:space="preserve">手填列的表头</t>
  </si>
  <si>
    <t xml:space="preserve">表头（自动）</t>
  </si>
  <si>
    <t xml:space="preserve">公式列的表头</t>
  </si>
  <si>
    <t xml:space="preserve">浅蓝色格子</t>
  </si>
  <si>
    <t xml:space="preserve">自动计算，不要改动</t>
  </si>
  <si>
    <t xml:space="preserve">白色格子</t>
  </si>
  <si>
    <t xml:space="preserve">需要手填</t>
  </si>
  <si>
    <t xml:space="preserve">红色</t>
  </si>
  <si>
    <t xml:space="preserve">已逾期、超期、缺单证、有差异，优先处理</t>
  </si>
  <si>
    <t xml:space="preserve">橙色</t>
  </si>
  <si>
    <t xml:space="preserve">临近截止、待处理、需要调整申报</t>
  </si>
  <si>
    <t xml:space="preserve">绿色</t>
  </si>
  <si>
    <t xml:space="preserve">已完成、齐全、按时、正常</t>
  </si>
  <si>
    <r>
      <rPr>
        <sz val="10"/>
        <color rgb="FF6B7785"/>
        <rFont val="Noto Sans CJK SC"/>
        <family val="2"/>
      </rPr>
      <t xml:space="preserve">政策依据按截至</t>
    </r>
    <r>
      <rPr>
        <sz val="10"/>
        <color rgb="FF6B7785"/>
        <rFont val="Microsoft YaHei"/>
        <family val="0"/>
        <charset val="1"/>
      </rPr>
      <t xml:space="preserve">2026</t>
    </r>
    <r>
      <rPr>
        <sz val="10"/>
        <color rgb="FF6B7785"/>
        <rFont val="Noto Sans CJK SC"/>
        <family val="2"/>
      </rPr>
      <t xml:space="preserve">年</t>
    </r>
    <r>
      <rPr>
        <sz val="10"/>
        <color rgb="FF6B7785"/>
        <rFont val="Microsoft YaHei"/>
        <family val="0"/>
        <charset val="1"/>
      </rPr>
      <t xml:space="preserve">10</t>
    </r>
    <r>
      <rPr>
        <sz val="10"/>
        <color rgb="FF6B7785"/>
        <rFont val="Noto Sans CJK SC"/>
        <family val="2"/>
      </rPr>
      <t xml:space="preserve">月公开的文件整理：海关总署公告</t>
    </r>
    <r>
      <rPr>
        <sz val="10"/>
        <color rgb="FF6B7785"/>
        <rFont val="Microsoft YaHei"/>
        <family val="0"/>
        <charset val="1"/>
      </rPr>
      <t xml:space="preserve">2020</t>
    </r>
    <r>
      <rPr>
        <sz val="10"/>
        <color rgb="FF6B7785"/>
        <rFont val="Noto Sans CJK SC"/>
        <family val="2"/>
      </rPr>
      <t xml:space="preserve">年第</t>
    </r>
    <r>
      <rPr>
        <sz val="10"/>
        <color rgb="FF6B7785"/>
        <rFont val="Microsoft YaHei"/>
        <family val="0"/>
        <charset val="1"/>
      </rPr>
      <t xml:space="preserve">75</t>
    </r>
    <r>
      <rPr>
        <sz val="10"/>
        <color rgb="FF6B7785"/>
        <rFont val="Noto Sans CJK SC"/>
        <family val="2"/>
      </rPr>
      <t xml:space="preserve">号、</t>
    </r>
    <r>
      <rPr>
        <sz val="10"/>
        <color rgb="FF6B7785"/>
        <rFont val="Microsoft YaHei"/>
        <family val="0"/>
        <charset val="1"/>
      </rPr>
      <t xml:space="preserve">2024</t>
    </r>
    <r>
      <rPr>
        <sz val="10"/>
        <color rgb="FF6B7785"/>
        <rFont val="Noto Sans CJK SC"/>
        <family val="2"/>
      </rPr>
      <t xml:space="preserve">年第</t>
    </r>
    <r>
      <rPr>
        <sz val="10"/>
        <color rgb="FF6B7785"/>
        <rFont val="Microsoft YaHei"/>
        <family val="0"/>
        <charset val="1"/>
      </rPr>
      <t xml:space="preserve">167</t>
    </r>
    <r>
      <rPr>
        <sz val="10"/>
        <color rgb="FF6B7785"/>
        <rFont val="Noto Sans CJK SC"/>
        <family val="2"/>
      </rPr>
      <t xml:space="preserve">号；税务总局公告</t>
    </r>
    <r>
      <rPr>
        <sz val="10"/>
        <color rgb="FF6B7785"/>
        <rFont val="Microsoft YaHei"/>
        <family val="0"/>
        <charset val="1"/>
      </rPr>
      <t xml:space="preserve">2025</t>
    </r>
    <r>
      <rPr>
        <sz val="10"/>
        <color rgb="FF6B7785"/>
        <rFont val="Noto Sans CJK SC"/>
        <family val="2"/>
      </rPr>
      <t xml:space="preserve">年第</t>
    </r>
    <r>
      <rPr>
        <sz val="10"/>
        <color rgb="FF6B7785"/>
        <rFont val="Microsoft YaHei"/>
        <family val="0"/>
        <charset val="1"/>
      </rPr>
      <t xml:space="preserve">3</t>
    </r>
    <r>
      <rPr>
        <sz val="10"/>
        <color rgb="FF6B7785"/>
        <rFont val="Noto Sans CJK SC"/>
        <family val="2"/>
      </rPr>
      <t xml:space="preserve">号、</t>
    </r>
    <r>
      <rPr>
        <sz val="10"/>
        <color rgb="FF6B7785"/>
        <rFont val="Microsoft YaHei"/>
        <family val="0"/>
        <charset val="1"/>
      </rPr>
      <t xml:space="preserve">2026</t>
    </r>
    <r>
      <rPr>
        <sz val="10"/>
        <color rgb="FF6B7785"/>
        <rFont val="Noto Sans CJK SC"/>
        <family val="2"/>
      </rPr>
      <t xml:space="preserve">年第</t>
    </r>
    <r>
      <rPr>
        <sz val="10"/>
        <color rgb="FF6B7785"/>
        <rFont val="Microsoft YaHei"/>
        <family val="0"/>
        <charset val="1"/>
      </rPr>
      <t xml:space="preserve">5</t>
    </r>
    <r>
      <rPr>
        <sz val="10"/>
        <color rgb="FF6B7785"/>
        <rFont val="Noto Sans CJK SC"/>
        <family val="2"/>
      </rPr>
      <t xml:space="preserve">号；汇发〔</t>
    </r>
    <r>
      <rPr>
        <sz val="10"/>
        <color rgb="FF6B7785"/>
        <rFont val="Microsoft YaHei"/>
        <family val="0"/>
        <charset val="1"/>
      </rPr>
      <t xml:space="preserve">2025</t>
    </r>
    <r>
      <rPr>
        <sz val="10"/>
        <color rgb="FF6B7785"/>
        <rFont val="Noto Sans CJK SC"/>
        <family val="2"/>
      </rPr>
      <t xml:space="preserve">〕</t>
    </r>
    <r>
      <rPr>
        <sz val="10"/>
        <color rgb="FF6B7785"/>
        <rFont val="Microsoft YaHei"/>
        <family val="0"/>
        <charset val="1"/>
      </rPr>
      <t xml:space="preserve">47</t>
    </r>
    <r>
      <rPr>
        <sz val="10"/>
        <color rgb="FF6B7785"/>
        <rFont val="Noto Sans CJK SC"/>
        <family val="2"/>
      </rPr>
      <t xml:space="preserve">号。具体执行以主管税务机关、海关、外汇局和收款银行的口径为准。</t>
    </r>
  </si>
  <si>
    <r>
      <rPr>
        <sz val="10"/>
        <color rgb="FF6B7785"/>
        <rFont val="Noto Sans CJK SC"/>
        <family val="2"/>
      </rPr>
      <t xml:space="preserve">每个核销编号（报关单号</t>
    </r>
    <r>
      <rPr>
        <sz val="10"/>
        <color rgb="FF6B7785"/>
        <rFont val="Microsoft YaHei"/>
        <family val="0"/>
        <charset val="1"/>
      </rPr>
      <t xml:space="preserve">-</t>
    </r>
    <r>
      <rPr>
        <sz val="10"/>
        <color rgb="FF6B7785"/>
        <rFont val="Noto Sans CJK SC"/>
        <family val="2"/>
      </rPr>
      <t xml:space="preserve">项号）一行，全部自动计算，无需手填。先看最右列「需要关注」，红色优先处理。</t>
    </r>
  </si>
  <si>
    <t xml:space="preserve">报关项数</t>
  </si>
  <si>
    <t xml:space="preserve">报关总数量</t>
  </si>
  <si>
    <t xml:space="preserve">累计净售出</t>
  </si>
  <si>
    <t xml:space="preserve">在仓未售</t>
  </si>
  <si>
    <t xml:space="preserve">已申报退税额（元）</t>
  </si>
  <si>
    <t xml:space="preserve">其中预退税额（元）</t>
  </si>
  <si>
    <t xml:space="preserve">预退税待核算（项）</t>
  </si>
  <si>
    <r>
      <rPr>
        <sz val="10"/>
        <color rgb="FF6B7785"/>
        <rFont val="Noto Sans CJK SC"/>
        <family val="2"/>
      </rPr>
      <t xml:space="preserve">已逾期</t>
    </r>
    <r>
      <rPr>
        <sz val="10"/>
        <color rgb="FF6B7785"/>
        <rFont val="Microsoft YaHei"/>
        <family val="0"/>
        <charset val="1"/>
      </rPr>
      <t xml:space="preserve">/</t>
    </r>
    <r>
      <rPr>
        <sz val="10"/>
        <color rgb="FF6B7785"/>
        <rFont val="Noto Sans CJK SC"/>
        <family val="2"/>
      </rPr>
      <t xml:space="preserve">超期（项）</t>
    </r>
  </si>
  <si>
    <t xml:space="preserve">单证不齐（项）</t>
  </si>
  <si>
    <t xml:space="preserve">核销编号</t>
  </si>
  <si>
    <t xml:space="preserve">SKU</t>
  </si>
  <si>
    <t xml:space="preserve">品名</t>
  </si>
  <si>
    <t xml:space="preserve">出口日期</t>
  </si>
  <si>
    <t xml:space="preserve">报关数量</t>
  </si>
  <si>
    <t xml:space="preserve">签收数量</t>
  </si>
  <si>
    <t xml:space="preserve">入仓差异</t>
  </si>
  <si>
    <t xml:space="preserve">异常减少</t>
  </si>
  <si>
    <t xml:space="preserve">销售进度</t>
  </si>
  <si>
    <t xml:space="preserve">累计净回款（原币）</t>
  </si>
  <si>
    <t xml:space="preserve">其中已收汇（原币）</t>
  </si>
  <si>
    <t xml:space="preserve">收汇截止日</t>
  </si>
  <si>
    <t xml:space="preserve">收汇状态</t>
  </si>
  <si>
    <t xml:space="preserve">核算期末</t>
  </si>
  <si>
    <t xml:space="preserve">核算状态</t>
  </si>
  <si>
    <t xml:space="preserve">单证情况</t>
  </si>
  <si>
    <t xml:space="preserve">需要关注</t>
  </si>
  <si>
    <t xml:space="preserve">① 出口报关（含亚马逊入仓签收）</t>
  </si>
  <si>
    <t xml:space="preserve">每个报关单项号一行。白底格子手填，浅蓝色格子自动计算。签收数量取自亚马逊货件页面「已收到」数量。</t>
  </si>
  <si>
    <t xml:space="preserve">核销编号（自动）</t>
  </si>
  <si>
    <t xml:space="preserve">报关单号</t>
  </si>
  <si>
    <t xml:space="preserve">项号</t>
  </si>
  <si>
    <t xml:space="preserve">监管方式</t>
  </si>
  <si>
    <r>
      <rPr>
        <b val="true"/>
        <sz val="11"/>
        <color rgb="FFFFFFFF"/>
        <rFont val="Microsoft YaHei"/>
        <family val="0"/>
        <charset val="1"/>
      </rPr>
      <t xml:space="preserve">FBA</t>
    </r>
    <r>
      <rPr>
        <b val="true"/>
        <sz val="11"/>
        <color rgb="FFFFFFFF"/>
        <rFont val="Noto Sans CJK SC"/>
        <family val="2"/>
      </rPr>
      <t xml:space="preserve">货件号（订仓单号）</t>
    </r>
  </si>
  <si>
    <t xml:space="preserve">站点</t>
  </si>
  <si>
    <t xml:space="preserve">目的仓代码</t>
  </si>
  <si>
    <t xml:space="preserve">品名（自动）</t>
  </si>
  <si>
    <r>
      <rPr>
        <b val="true"/>
        <sz val="11"/>
        <color rgb="FFFFFFFF"/>
        <rFont val="Microsoft YaHei"/>
        <family val="0"/>
        <charset val="1"/>
      </rPr>
      <t xml:space="preserve">HS</t>
    </r>
    <r>
      <rPr>
        <b val="true"/>
        <sz val="11"/>
        <color rgb="FFFFFFFF"/>
        <rFont val="Noto Sans CJK SC"/>
        <family val="2"/>
      </rPr>
      <t xml:space="preserve">编码（自动）</t>
    </r>
  </si>
  <si>
    <t xml:space="preserve">单位（自动）</t>
  </si>
  <si>
    <t xml:space="preserve">币种</t>
  </si>
  <si>
    <r>
      <rPr>
        <b val="true"/>
        <sz val="11"/>
        <color rgb="FFFFFFFF"/>
        <rFont val="Microsoft YaHei"/>
        <family val="0"/>
        <charset val="1"/>
      </rPr>
      <t xml:space="preserve">FOB</t>
    </r>
    <r>
      <rPr>
        <b val="true"/>
        <sz val="11"/>
        <color rgb="FFFFFFFF"/>
        <rFont val="Noto Sans CJK SC"/>
        <family val="2"/>
      </rPr>
      <t xml:space="preserve">总价（原币）</t>
    </r>
  </si>
  <si>
    <t xml:space="preserve">报关汇率</t>
  </si>
  <si>
    <r>
      <rPr>
        <b val="true"/>
        <sz val="11"/>
        <color rgb="FFFFFFFF"/>
        <rFont val="Microsoft YaHei"/>
        <family val="0"/>
        <charset val="1"/>
      </rPr>
      <t xml:space="preserve">FOB</t>
    </r>
    <r>
      <rPr>
        <b val="true"/>
        <sz val="11"/>
        <color rgb="FFFFFFFF"/>
        <rFont val="Noto Sans CJK SC"/>
        <family val="2"/>
      </rPr>
      <t xml:space="preserve">总价（元）（自动）</t>
    </r>
  </si>
  <si>
    <t xml:space="preserve">进项发票号码</t>
  </si>
  <si>
    <t xml:space="preserve">进项发票不含税金额（元）</t>
  </si>
  <si>
    <t xml:space="preserve">退税率（自动）</t>
  </si>
  <si>
    <t xml:space="preserve">退税计税依据（元）（自动）</t>
  </si>
  <si>
    <t xml:space="preserve">预计退税额（元）（自动）</t>
  </si>
  <si>
    <t xml:space="preserve">头程物流商</t>
  </si>
  <si>
    <r>
      <rPr>
        <b val="true"/>
        <sz val="11"/>
        <color rgb="FFFFFFFF"/>
        <rFont val="Noto Sans CJK SC"/>
        <family val="2"/>
      </rPr>
      <t xml:space="preserve">提单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运单号</t>
    </r>
  </si>
  <si>
    <t xml:space="preserve">亚马逊签收数量</t>
  </si>
  <si>
    <t xml:space="preserve">签收完成日期</t>
  </si>
  <si>
    <t xml:space="preserve">入仓差异（自动）</t>
  </si>
  <si>
    <r>
      <rPr>
        <b val="true"/>
        <sz val="11"/>
        <color rgb="FFFFFFFF"/>
        <rFont val="Noto Sans CJK SC"/>
        <family val="2"/>
      </rPr>
      <t xml:space="preserve">差异处理（索赔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补发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说明）</t>
    </r>
  </si>
  <si>
    <t xml:space="preserve">备注</t>
  </si>
  <si>
    <t xml:space="preserve">530120260000000001</t>
  </si>
  <si>
    <t xml:space="preserve">9810</t>
  </si>
  <si>
    <t xml:space="preserve">FBA19DEMO001</t>
  </si>
  <si>
    <r>
      <rPr>
        <sz val="11"/>
        <color rgb="FF1C2533"/>
        <rFont val="Noto Sans CJK SC"/>
        <family val="2"/>
      </rPr>
      <t xml:space="preserve">美国</t>
    </r>
    <r>
      <rPr>
        <sz val="11"/>
        <color rgb="FF1C2533"/>
        <rFont val="Microsoft YaHei"/>
        <family val="0"/>
        <charset val="1"/>
      </rPr>
      <t xml:space="preserve">US</t>
    </r>
  </si>
  <si>
    <t xml:space="preserve">ONT8</t>
  </si>
  <si>
    <t xml:space="preserve">DEMO-A01</t>
  </si>
  <si>
    <t xml:space="preserve">USD</t>
  </si>
  <si>
    <r>
      <rPr>
        <sz val="11"/>
        <color rgb="FF1C2533"/>
        <rFont val="Noto Sans CJK SC"/>
        <family val="2"/>
      </rPr>
      <t xml:space="preserve">示例发票</t>
    </r>
    <r>
      <rPr>
        <sz val="11"/>
        <color rgb="FF1C2533"/>
        <rFont val="Microsoft YaHei"/>
        <family val="0"/>
        <charset val="1"/>
      </rPr>
      <t xml:space="preserve">001</t>
    </r>
  </si>
  <si>
    <t xml:space="preserve">示例货代</t>
  </si>
  <si>
    <r>
      <rPr>
        <sz val="11"/>
        <color rgb="FF1C2533"/>
        <rFont val="Noto Sans CJK SC"/>
        <family val="2"/>
      </rPr>
      <t xml:space="preserve">示例提单</t>
    </r>
    <r>
      <rPr>
        <sz val="11"/>
        <color rgb="FF1C2533"/>
        <rFont val="Microsoft YaHei"/>
        <family val="0"/>
        <charset val="1"/>
      </rPr>
      <t xml:space="preserve">001</t>
    </r>
  </si>
  <si>
    <r>
      <rPr>
        <sz val="11"/>
        <color rgb="FF1C2533"/>
        <rFont val="Microsoft YaHei"/>
        <family val="0"/>
        <charset val="1"/>
      </rPr>
      <t xml:space="preserve">4</t>
    </r>
    <r>
      <rPr>
        <sz val="11"/>
        <color rgb="FF1C2533"/>
        <rFont val="Noto Sans CJK SC"/>
        <family val="2"/>
      </rPr>
      <t xml:space="preserve">件已提交入仓索赔</t>
    </r>
  </si>
  <si>
    <t xml:space="preserve">示例</t>
  </si>
  <si>
    <t xml:space="preserve">DEMO-B02</t>
  </si>
  <si>
    <r>
      <rPr>
        <sz val="11"/>
        <color rgb="FF1C2533"/>
        <rFont val="Noto Sans CJK SC"/>
        <family val="2"/>
      </rPr>
      <t xml:space="preserve">示例发票</t>
    </r>
    <r>
      <rPr>
        <sz val="11"/>
        <color rgb="FF1C2533"/>
        <rFont val="Microsoft YaHei"/>
        <family val="0"/>
        <charset val="1"/>
      </rPr>
      <t xml:space="preserve">002</t>
    </r>
  </si>
  <si>
    <t xml:space="preserve">② 销售核销（把每月销量分配到报关单）</t>
  </si>
  <si>
    <r>
      <rPr>
        <sz val="10"/>
        <color rgb="FF6B7785"/>
        <rFont val="Noto Sans CJK SC"/>
        <family val="2"/>
      </rPr>
      <t xml:space="preserve">按结算报告每月填写：一个月 </t>
    </r>
    <r>
      <rPr>
        <sz val="10"/>
        <color rgb="FF6B7785"/>
        <rFont val="Microsoft YaHei"/>
        <family val="0"/>
        <charset val="1"/>
      </rPr>
      <t xml:space="preserve">× </t>
    </r>
    <r>
      <rPr>
        <sz val="10"/>
        <color rgb="FF6B7785"/>
        <rFont val="Noto Sans CJK SC"/>
        <family val="2"/>
      </rPr>
      <t xml:space="preserve">一个</t>
    </r>
    <r>
      <rPr>
        <sz val="10"/>
        <color rgb="FF6B7785"/>
        <rFont val="Microsoft YaHei"/>
        <family val="0"/>
        <charset val="1"/>
      </rPr>
      <t xml:space="preserve">SKU × </t>
    </r>
    <r>
      <rPr>
        <sz val="10"/>
        <color rgb="FF6B7785"/>
        <rFont val="Noto Sans CJK SC"/>
        <family val="2"/>
      </rPr>
      <t xml:space="preserve">一个核销编号 一行。同一</t>
    </r>
    <r>
      <rPr>
        <sz val="10"/>
        <color rgb="FF6B7785"/>
        <rFont val="Microsoft YaHei"/>
        <family val="0"/>
        <charset val="1"/>
      </rPr>
      <t xml:space="preserve">SKU</t>
    </r>
    <r>
      <rPr>
        <sz val="10"/>
        <color rgb="FF6B7785"/>
        <rFont val="Noto Sans CJK SC"/>
        <family val="2"/>
      </rPr>
      <t xml:space="preserve">有多票报关单时，先分配给出口日期最早的那票（先进先出），卖完再分下一票。</t>
    </r>
  </si>
  <si>
    <t xml:space="preserve">销售月份</t>
  </si>
  <si>
    <r>
      <rPr>
        <b val="true"/>
        <sz val="11"/>
        <color rgb="FFFFFFFF"/>
        <rFont val="Noto Sans CJK SC"/>
        <family val="2"/>
      </rPr>
      <t xml:space="preserve">结算报告编号（</t>
    </r>
    <r>
      <rPr>
        <b val="true"/>
        <sz val="11"/>
        <color rgb="FFFFFFFF"/>
        <rFont val="Microsoft YaHei"/>
        <family val="0"/>
        <charset val="1"/>
      </rPr>
      <t xml:space="preserve">Settlement ID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</si>
  <si>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归属核销编号</t>
  </si>
  <si>
    <r>
      <rPr>
        <b val="true"/>
        <sz val="11"/>
        <color rgb="FFFFFFFF"/>
        <rFont val="Microsoft YaHei"/>
        <family val="0"/>
        <charset val="1"/>
      </rPr>
      <t xml:space="preserve">SKU</t>
    </r>
    <r>
      <rPr>
        <b val="true"/>
        <sz val="11"/>
        <color rgb="FFFFFFFF"/>
        <rFont val="Noto Sans CJK SC"/>
        <family val="2"/>
      </rPr>
      <t xml:space="preserve">核对（自动）</t>
    </r>
  </si>
  <si>
    <t xml:space="preserve">售出数量</t>
  </si>
  <si>
    <t xml:space="preserve">买家退货数量（回到可售）</t>
  </si>
  <si>
    <t xml:space="preserve">净售出数量（自动）</t>
  </si>
  <si>
    <t xml:space="preserve">商品销售额（原币）</t>
  </si>
  <si>
    <t xml:space="preserve">平台扣费分摊（原币）</t>
  </si>
  <si>
    <t xml:space="preserve">净回款（原币）（自动）</t>
  </si>
  <si>
    <t xml:space="preserve">收汇状态（自动）</t>
  </si>
  <si>
    <t xml:space="preserve">实现销售日期</t>
  </si>
  <si>
    <t xml:space="preserve">销售佐证留存日期</t>
  </si>
  <si>
    <t xml:space="preserve">佐证留存（自动）</t>
  </si>
  <si>
    <r>
      <rPr>
        <sz val="11"/>
        <color rgb="FF1C2533"/>
        <rFont val="Noto Sans CJK SC"/>
        <family val="2"/>
      </rPr>
      <t xml:space="preserve">示例结算</t>
    </r>
    <r>
      <rPr>
        <sz val="11"/>
        <color rgb="FF1C2533"/>
        <rFont val="Microsoft YaHei"/>
        <family val="0"/>
        <charset val="1"/>
      </rPr>
      <t xml:space="preserve">001</t>
    </r>
  </si>
  <si>
    <t xml:space="preserve">530120260000000001-1</t>
  </si>
  <si>
    <t xml:space="preserve">530120260000000001-2</t>
  </si>
  <si>
    <r>
      <rPr>
        <sz val="11"/>
        <color rgb="FF1C2533"/>
        <rFont val="Noto Sans CJK SC"/>
        <family val="2"/>
      </rPr>
      <t xml:space="preserve">示例结算</t>
    </r>
    <r>
      <rPr>
        <sz val="11"/>
        <color rgb="FF1C2533"/>
        <rFont val="Microsoft YaHei"/>
        <family val="0"/>
        <charset val="1"/>
      </rPr>
      <t xml:space="preserve">002</t>
    </r>
  </si>
  <si>
    <t xml:space="preserve">示例：佐证留存超期</t>
  </si>
  <si>
    <t xml:space="preserve">③ 回款收汇（每份结算报告一行）</t>
  </si>
  <si>
    <r>
      <rPr>
        <sz val="10"/>
        <color rgb="FF6B7785"/>
        <rFont val="Noto Sans CJK SC"/>
        <family val="2"/>
      </rPr>
      <t xml:space="preserve">毛额、各项扣费、净额分开记，方便按毛额还原。结算净额需全部分配到「②销售核销」，分摊差异为 </t>
    </r>
    <r>
      <rPr>
        <sz val="10"/>
        <color rgb="FF6B7785"/>
        <rFont val="Microsoft YaHei"/>
        <family val="0"/>
        <charset val="1"/>
      </rPr>
      <t xml:space="preserve">0 </t>
    </r>
    <r>
      <rPr>
        <sz val="10"/>
        <color rgb="FF6B7785"/>
        <rFont val="Noto Sans CJK SC"/>
        <family val="2"/>
      </rPr>
      <t xml:space="preserve">才算分完；收汇以资金进入境内银行账户为准。</t>
    </r>
  </si>
  <si>
    <t xml:space="preserve">结算期间（起）</t>
  </si>
  <si>
    <t xml:space="preserve">结算期间（止）</t>
  </si>
  <si>
    <t xml:space="preserve">商品销售额</t>
  </si>
  <si>
    <t xml:space="preserve">平台佣金</t>
  </si>
  <si>
    <r>
      <rPr>
        <b val="true"/>
        <sz val="11"/>
        <color rgb="FFFFFFFF"/>
        <rFont val="Microsoft YaHei"/>
        <family val="0"/>
        <charset val="1"/>
      </rPr>
      <t xml:space="preserve">FBA</t>
    </r>
    <r>
      <rPr>
        <b val="true"/>
        <sz val="11"/>
        <color rgb="FFFFFFFF"/>
        <rFont val="Noto Sans CJK SC"/>
        <family val="2"/>
      </rPr>
      <t xml:space="preserve">配送费</t>
    </r>
  </si>
  <si>
    <t xml:space="preserve">仓储费</t>
  </si>
  <si>
    <t xml:space="preserve">广告费</t>
  </si>
  <si>
    <t xml:space="preserve">退款</t>
  </si>
  <si>
    <t xml:space="preserve">其他扣费</t>
  </si>
  <si>
    <t xml:space="preserve">结算净额（自动）</t>
  </si>
  <si>
    <t xml:space="preserve">已分摊到报关单（自动）</t>
  </si>
  <si>
    <t xml:space="preserve">分摊差异（自动）</t>
  </si>
  <si>
    <t xml:space="preserve">收款渠道</t>
  </si>
  <si>
    <t xml:space="preserve">到达收款账户日期</t>
  </si>
  <si>
    <t xml:space="preserve">收汇入境日期（境内银行入账）</t>
  </si>
  <si>
    <t xml:space="preserve">境内入账银行</t>
  </si>
  <si>
    <t xml:space="preserve">入境金额（原币）</t>
  </si>
  <si>
    <t xml:space="preserve">结汇日期</t>
  </si>
  <si>
    <t xml:space="preserve">结汇汇率</t>
  </si>
  <si>
    <t xml:space="preserve">结汇金额（元）（自动）</t>
  </si>
  <si>
    <r>
      <rPr>
        <b val="true"/>
        <sz val="11"/>
        <color rgb="FFFFFFFF"/>
        <rFont val="Noto Sans CJK SC"/>
        <family val="2"/>
      </rPr>
      <t xml:space="preserve">申报附言注明</t>
    </r>
    <r>
      <rPr>
        <b val="true"/>
        <sz val="11"/>
        <color rgb="FFFFFFFF"/>
        <rFont val="Microsoft YaHei"/>
        <family val="0"/>
        <charset val="1"/>
      </rPr>
      <t xml:space="preserve">"</t>
    </r>
    <r>
      <rPr>
        <b val="true"/>
        <sz val="11"/>
        <color rgb="FFFFFFFF"/>
        <rFont val="Noto Sans CJK SC"/>
        <family val="2"/>
      </rPr>
      <t xml:space="preserve">跨境电商</t>
    </r>
    <r>
      <rPr>
        <b val="true"/>
        <sz val="11"/>
        <color rgb="FFFFFFFF"/>
        <rFont val="Microsoft YaHei"/>
        <family val="0"/>
        <charset val="1"/>
      </rPr>
      <t xml:space="preserve">"</t>
    </r>
  </si>
  <si>
    <r>
      <rPr>
        <b val="true"/>
        <sz val="11"/>
        <color rgb="FFFFFFFF"/>
        <rFont val="Noto Sans CJK SC"/>
        <family val="2"/>
      </rPr>
      <t xml:space="preserve">收汇凭证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水单号</t>
    </r>
  </si>
  <si>
    <r>
      <rPr>
        <sz val="11"/>
        <color rgb="FF1C2533"/>
        <rFont val="Noto Sans CJK SC"/>
        <family val="2"/>
      </rPr>
      <t xml:space="preserve">派安盈</t>
    </r>
    <r>
      <rPr>
        <sz val="11"/>
        <color rgb="FF1C2533"/>
        <rFont val="Microsoft YaHei"/>
        <family val="0"/>
        <charset val="1"/>
      </rPr>
      <t xml:space="preserve">Payoneer</t>
    </r>
  </si>
  <si>
    <t xml:space="preserve">示例银行</t>
  </si>
  <si>
    <t xml:space="preserve">是</t>
  </si>
  <si>
    <r>
      <rPr>
        <sz val="11"/>
        <color rgb="FF1C2533"/>
        <rFont val="Noto Sans CJK SC"/>
        <family val="2"/>
      </rPr>
      <t xml:space="preserve">示例水单</t>
    </r>
    <r>
      <rPr>
        <sz val="11"/>
        <color rgb="FF1C2533"/>
        <rFont val="Microsoft YaHei"/>
        <family val="0"/>
        <charset val="1"/>
      </rPr>
      <t xml:space="preserve">001</t>
    </r>
  </si>
  <si>
    <t xml:space="preserve">示例：尚未提现回境内</t>
  </si>
  <si>
    <t xml:space="preserve">④ 退税申报与预退税核算</t>
  </si>
  <si>
    <r>
      <rPr>
        <sz val="10"/>
        <color rgb="FF6B7785"/>
        <rFont val="Noto Sans CJK SC"/>
        <family val="2"/>
      </rPr>
      <t xml:space="preserve">每次退税申报一行。未售货物申报预退税（</t>
    </r>
    <r>
      <rPr>
        <sz val="10"/>
        <color rgb="FF6B7785"/>
        <rFont val="Microsoft YaHei"/>
        <family val="0"/>
        <charset val="1"/>
      </rPr>
      <t xml:space="preserve">HWC-YT</t>
    </r>
    <r>
      <rPr>
        <sz val="10"/>
        <color rgb="FF6B7785"/>
        <rFont val="Noto Sans CJK SC"/>
        <family val="2"/>
      </rPr>
      <t xml:space="preserve">）后，须在核算期末前按实际销售核算；到期不核算，税务机关会追回已退税款。</t>
    </r>
  </si>
  <si>
    <r>
      <rPr>
        <b val="true"/>
        <sz val="11"/>
        <color rgb="FFFFFFFF"/>
        <rFont val="Microsoft YaHei"/>
        <family val="0"/>
        <charset val="1"/>
      </rPr>
      <t xml:space="preserve">SKU</t>
    </r>
    <r>
      <rPr>
        <b val="true"/>
        <sz val="11"/>
        <color rgb="FFFFFFFF"/>
        <rFont val="Noto Sans CJK SC"/>
        <family val="2"/>
      </rPr>
      <t xml:space="preserve">（自动）</t>
    </r>
  </si>
  <si>
    <t xml:space="preserve">出口日期（自动）</t>
  </si>
  <si>
    <t xml:space="preserve">申报方式</t>
  </si>
  <si>
    <t xml:space="preserve">申报数量</t>
  </si>
  <si>
    <t xml:space="preserve">申报日期</t>
  </si>
  <si>
    <r>
      <rPr>
        <b val="true"/>
        <sz val="11"/>
        <color rgb="FFFFFFFF"/>
        <rFont val="Noto Sans CJK SC"/>
        <family val="2"/>
      </rPr>
      <t xml:space="preserve">申报序号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关联号</t>
    </r>
  </si>
  <si>
    <t xml:space="preserve">申报退税额（元）</t>
  </si>
  <si>
    <t xml:space="preserve">税务办结日期</t>
  </si>
  <si>
    <t xml:space="preserve">核算期末（自动）</t>
  </si>
  <si>
    <t xml:space="preserve">剩余天数（自动）</t>
  </si>
  <si>
    <t xml:space="preserve">预退部分已实现销售数量（自动）</t>
  </si>
  <si>
    <t xml:space="preserve">参考应退税额（元）（自动）</t>
  </si>
  <si>
    <t xml:space="preserve">实际应退税额（元）</t>
  </si>
  <si>
    <t xml:space="preserve">差额（元）（自动）</t>
  </si>
  <si>
    <t xml:space="preserve">若现在核算应如何处理（自动）</t>
  </si>
  <si>
    <t xml:space="preserve">核算办理日期</t>
  </si>
  <si>
    <t xml:space="preserve">核算结果</t>
  </si>
  <si>
    <t xml:space="preserve">状态（自动）</t>
  </si>
  <si>
    <t xml:space="preserve">收汇截止日（自动）</t>
  </si>
  <si>
    <r>
      <rPr>
        <sz val="11"/>
        <color rgb="FF1C2533"/>
        <rFont val="Noto Sans CJK SC"/>
        <family val="2"/>
      </rPr>
      <t xml:space="preserve">未售</t>
    </r>
    <r>
      <rPr>
        <sz val="11"/>
        <color rgb="FF1C2533"/>
        <rFont val="Microsoft YaHei"/>
        <family val="0"/>
        <charset val="1"/>
      </rPr>
      <t xml:space="preserve">-</t>
    </r>
    <r>
      <rPr>
        <sz val="11"/>
        <color rgb="FF1C2533"/>
        <rFont val="Noto Sans CJK SC"/>
        <family val="2"/>
      </rPr>
      <t xml:space="preserve">海外仓预退（</t>
    </r>
    <r>
      <rPr>
        <sz val="11"/>
        <color rgb="FF1C2533"/>
        <rFont val="Microsoft YaHei"/>
        <family val="0"/>
        <charset val="1"/>
      </rPr>
      <t xml:space="preserve">HWC-YT</t>
    </r>
    <r>
      <rPr>
        <sz val="11"/>
        <color rgb="FF1C2533"/>
        <rFont val="Noto Sans CJK SC"/>
        <family val="2"/>
      </rPr>
      <t xml:space="preserve">）</t>
    </r>
  </si>
  <si>
    <r>
      <rPr>
        <sz val="11"/>
        <color rgb="FF1C2533"/>
        <rFont val="Noto Sans CJK SC"/>
        <family val="2"/>
      </rPr>
      <t xml:space="preserve">示例</t>
    </r>
    <r>
      <rPr>
        <sz val="11"/>
        <color rgb="FF1C2533"/>
        <rFont val="Microsoft YaHei"/>
        <family val="0"/>
        <charset val="1"/>
      </rPr>
      <t xml:space="preserve">YT001</t>
    </r>
  </si>
  <si>
    <t xml:space="preserve">⑤ 库存异常（弃置、丢失赔偿、移除、退运）</t>
  </si>
  <si>
    <t xml:space="preserve">买家退货回到可售库存不在这里记（记在「②销售核销」的退货数量）。入仓签收差异记在「①出口报关」。已退税货物退运或不再适用退税的，发生当月或次月负数冲减。</t>
  </si>
  <si>
    <t xml:space="preserve">发生日期</t>
  </si>
  <si>
    <t xml:space="preserve">异常类型</t>
  </si>
  <si>
    <t xml:space="preserve">数量</t>
  </si>
  <si>
    <t xml:space="preserve">金额（原币，赔偿额或货值）</t>
  </si>
  <si>
    <r>
      <rPr>
        <b val="true"/>
        <sz val="11"/>
        <color rgb="FFFFFFFF"/>
        <rFont val="Noto Sans CJK SC"/>
        <family val="2"/>
      </rPr>
      <t xml:space="preserve">亚马逊单据号（移除订单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赔偿编号）</t>
    </r>
  </si>
  <si>
    <t xml:space="preserve">退税冲减状态</t>
  </si>
  <si>
    <t xml:space="preserve">处理说明</t>
  </si>
  <si>
    <r>
      <rPr>
        <sz val="11"/>
        <color rgb="FF1C2533"/>
        <rFont val="Noto Sans CJK SC"/>
        <family val="2"/>
      </rPr>
      <t xml:space="preserve">买家退货不可售</t>
    </r>
    <r>
      <rPr>
        <sz val="11"/>
        <color rgb="FF1C2533"/>
        <rFont val="Microsoft YaHei"/>
        <family val="0"/>
        <charset val="1"/>
      </rPr>
      <t xml:space="preserve">-</t>
    </r>
    <r>
      <rPr>
        <sz val="11"/>
        <color rgb="FF1C2533"/>
        <rFont val="Noto Sans CJK SC"/>
        <family val="2"/>
      </rPr>
      <t xml:space="preserve">弃置</t>
    </r>
  </si>
  <si>
    <r>
      <rPr>
        <sz val="11"/>
        <color rgb="FF1C2533"/>
        <rFont val="Noto Sans CJK SC"/>
        <family val="2"/>
      </rPr>
      <t xml:space="preserve">示例移除单</t>
    </r>
    <r>
      <rPr>
        <sz val="11"/>
        <color rgb="FF1C2533"/>
        <rFont val="Microsoft YaHei"/>
        <family val="0"/>
        <charset val="1"/>
      </rPr>
      <t xml:space="preserve">001</t>
    </r>
  </si>
  <si>
    <t xml:space="preserve">待处理</t>
  </si>
  <si>
    <t xml:space="preserve">示例：买家退回不可售，已申请弃置，与财务确认退税处理</t>
  </si>
  <si>
    <t xml:space="preserve">⑥ 备案单证留存目录（每张报关单一行）</t>
  </si>
  <si>
    <r>
      <rPr>
        <sz val="10"/>
        <color rgb="FF6B7785"/>
        <rFont val="Noto Sans CJK SC"/>
        <family val="2"/>
      </rPr>
      <t xml:space="preserve">退税申报后</t>
    </r>
    <r>
      <rPr>
        <sz val="10"/>
        <color rgb="FF6B7785"/>
        <rFont val="Microsoft YaHei"/>
        <family val="0"/>
        <charset val="1"/>
      </rPr>
      <t xml:space="preserve">15</t>
    </r>
    <r>
      <rPr>
        <sz val="10"/>
        <color rgb="FF6B7785"/>
        <rFont val="Noto Sans CJK SC"/>
        <family val="2"/>
      </rPr>
      <t xml:space="preserve">日内留存备案单证并按申报时间顺序编目录，保存</t>
    </r>
    <r>
      <rPr>
        <sz val="10"/>
        <color rgb="FF6B7785"/>
        <rFont val="Microsoft YaHei"/>
        <family val="0"/>
        <charset val="1"/>
      </rPr>
      <t xml:space="preserve">10</t>
    </r>
    <r>
      <rPr>
        <sz val="10"/>
        <color rgb="FF6B7785"/>
        <rFont val="Noto Sans CJK SC"/>
        <family val="2"/>
      </rPr>
      <t xml:space="preserve">年。无法取得出口合同的，可用亚马逊订仓单</t>
    </r>
    <r>
      <rPr>
        <sz val="10"/>
        <color rgb="FF6B7785"/>
        <rFont val="Microsoft YaHei"/>
        <family val="0"/>
        <charset val="1"/>
      </rPr>
      <t xml:space="preserve">/</t>
    </r>
    <r>
      <rPr>
        <sz val="10"/>
        <color rgb="FF6B7785"/>
        <rFont val="Noto Sans CJK SC"/>
        <family val="2"/>
      </rPr>
      <t xml:space="preserve">货件确认等海外仓使用资料替代。</t>
    </r>
  </si>
  <si>
    <t xml:space="preserve">退税申报日期</t>
  </si>
  <si>
    <t xml:space="preserve">留存截止日（自动）</t>
  </si>
  <si>
    <t xml:space="preserve">购销合同（或订仓单）</t>
  </si>
  <si>
    <r>
      <rPr>
        <b val="true"/>
        <sz val="11"/>
        <color rgb="FFFFFFFF"/>
        <rFont val="Noto Sans CJK SC"/>
        <family val="2"/>
      </rPr>
      <t xml:space="preserve">海外仓使用证明（</t>
    </r>
    <r>
      <rPr>
        <b val="true"/>
        <sz val="11"/>
        <color rgb="FFFFFFFF"/>
        <rFont val="Microsoft YaHei"/>
        <family val="0"/>
        <charset val="1"/>
      </rPr>
      <t xml:space="preserve">FBA</t>
    </r>
    <r>
      <rPr>
        <b val="true"/>
        <sz val="11"/>
        <color rgb="FFFFFFFF"/>
        <rFont val="Noto Sans CJK SC"/>
        <family val="2"/>
      </rPr>
      <t xml:space="preserve">货件确认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仓储协议）</t>
    </r>
  </si>
  <si>
    <r>
      <rPr>
        <b val="true"/>
        <sz val="11"/>
        <color rgb="FFFFFFFF"/>
        <rFont val="Noto Sans CJK SC"/>
        <family val="2"/>
      </rPr>
      <t xml:space="preserve">运输单据（提单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运单）</t>
    </r>
  </si>
  <si>
    <t xml:space="preserve">国际货代费用发票</t>
  </si>
  <si>
    <t xml:space="preserve">委托报关协议</t>
  </si>
  <si>
    <t xml:space="preserve">代理报关服务费发票</t>
  </si>
  <si>
    <t xml:space="preserve">进项增值税专用发票</t>
  </si>
  <si>
    <r>
      <rPr>
        <b val="true"/>
        <sz val="11"/>
        <color rgb="FFFFFFFF"/>
        <rFont val="Noto Sans CJK SC"/>
        <family val="2"/>
      </rPr>
      <t xml:space="preserve">销售佐证（结算报告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销售明细账）</t>
    </r>
  </si>
  <si>
    <r>
      <rPr>
        <b val="true"/>
        <sz val="11"/>
        <color rgb="FFFFFFFF"/>
        <rFont val="Noto Sans CJK SC"/>
        <family val="2"/>
      </rPr>
      <t xml:space="preserve">收汇凭证（银行水单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结汇凭证）</t>
    </r>
  </si>
  <si>
    <t xml:space="preserve">存放方式</t>
  </si>
  <si>
    <r>
      <rPr>
        <b val="true"/>
        <sz val="11"/>
        <color rgb="FFFFFFFF"/>
        <rFont val="Noto Sans CJK SC"/>
        <family val="2"/>
      </rPr>
      <t xml:space="preserve">存放位置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文件夹</t>
    </r>
  </si>
  <si>
    <t xml:space="preserve">实际完成留存日期</t>
  </si>
  <si>
    <t xml:space="preserve">齐全情况（自动）</t>
  </si>
  <si>
    <t xml:space="preserve">是否按时（自动）</t>
  </si>
  <si>
    <t xml:space="preserve">建议保存至（自动）</t>
  </si>
  <si>
    <t xml:space="preserve">已留存</t>
  </si>
  <si>
    <t xml:space="preserve">陆续留存中</t>
  </si>
  <si>
    <t xml:space="preserve">数字化</t>
  </si>
  <si>
    <r>
      <rPr>
        <sz val="11"/>
        <color rgb="FF1C2533"/>
        <rFont val="Noto Sans CJK SC"/>
        <family val="2"/>
      </rPr>
      <t xml:space="preserve">共享盘</t>
    </r>
    <r>
      <rPr>
        <sz val="11"/>
        <color rgb="FF1C2533"/>
        <rFont val="Microsoft YaHei"/>
        <family val="0"/>
        <charset val="1"/>
      </rPr>
      <t xml:space="preserve">/9810</t>
    </r>
    <r>
      <rPr>
        <sz val="11"/>
        <color rgb="FF1C2533"/>
        <rFont val="Noto Sans CJK SC"/>
        <family val="2"/>
      </rPr>
      <t xml:space="preserve">台账</t>
    </r>
    <r>
      <rPr>
        <sz val="11"/>
        <color rgb="FF1C2533"/>
        <rFont val="Microsoft YaHei"/>
        <family val="0"/>
        <charset val="1"/>
      </rPr>
      <t xml:space="preserve">/2026/530120260000000001</t>
    </r>
  </si>
  <si>
    <r>
      <rPr>
        <sz val="10"/>
        <color rgb="FF6B7785"/>
        <rFont val="Noto Sans CJK SC"/>
        <family val="2"/>
      </rPr>
      <t xml:space="preserve">先选企业类型，再建 </t>
    </r>
    <r>
      <rPr>
        <sz val="10"/>
        <color rgb="FF6B7785"/>
        <rFont val="Microsoft YaHei"/>
        <family val="0"/>
        <charset val="1"/>
      </rPr>
      <t xml:space="preserve">SKU </t>
    </r>
    <r>
      <rPr>
        <sz val="10"/>
        <color rgb="FF6B7785"/>
        <rFont val="Noto Sans CJK SC"/>
        <family val="2"/>
      </rPr>
      <t xml:space="preserve">档案（新品上架时补充）。右侧下拉选项可在各列空白处增补。</t>
    </r>
  </si>
  <si>
    <t xml:space="preserve">企业基本信息</t>
  </si>
  <si>
    <t xml:space="preserve">企业名称</t>
  </si>
  <si>
    <r>
      <rPr>
        <sz val="11"/>
        <color rgb="FF1C2533"/>
        <rFont val="Noto Sans CJK SC"/>
        <family val="2"/>
      </rPr>
      <t xml:space="preserve">示例：</t>
    </r>
    <r>
      <rPr>
        <sz val="11"/>
        <color rgb="FF1C2533"/>
        <rFont val="Microsoft YaHei"/>
        <family val="0"/>
        <charset val="1"/>
      </rPr>
      <t xml:space="preserve">XX</t>
    </r>
    <r>
      <rPr>
        <sz val="11"/>
        <color rgb="FF1C2533"/>
        <rFont val="Noto Sans CJK SC"/>
        <family val="2"/>
      </rPr>
      <t xml:space="preserve">科技有限公司</t>
    </r>
  </si>
  <si>
    <t xml:space="preserve">企业类型（决定退税计税依据）</t>
  </si>
  <si>
    <t xml:space="preserve">外贸企业</t>
  </si>
  <si>
    <t xml:space="preserve">亚马逊店铺名称</t>
  </si>
  <si>
    <t xml:space="preserve">主管税务机关</t>
  </si>
  <si>
    <t xml:space="preserve">出口退（免）税备案日期</t>
  </si>
  <si>
    <r>
      <rPr>
        <b val="true"/>
        <sz val="12"/>
        <color rgb="FF1F3A5F"/>
        <rFont val="Microsoft YaHei"/>
        <family val="0"/>
        <charset val="1"/>
      </rPr>
      <t xml:space="preserve">SKU </t>
    </r>
    <r>
      <rPr>
        <b val="true"/>
        <sz val="12"/>
        <color rgb="FF1F3A5F"/>
        <rFont val="Noto Sans CJK SC"/>
        <family val="2"/>
      </rPr>
      <t xml:space="preserve">档案（每个 </t>
    </r>
    <r>
      <rPr>
        <b val="true"/>
        <sz val="12"/>
        <color rgb="FF1F3A5F"/>
        <rFont val="Microsoft YaHei"/>
        <family val="0"/>
        <charset val="1"/>
      </rPr>
      <t xml:space="preserve">SKU </t>
    </r>
    <r>
      <rPr>
        <b val="true"/>
        <sz val="12"/>
        <color rgb="FF1F3A5F"/>
        <rFont val="Noto Sans CJK SC"/>
        <family val="2"/>
      </rPr>
      <t xml:space="preserve">一行）</t>
    </r>
  </si>
  <si>
    <t xml:space="preserve">下拉选项（可在空白处增补）</t>
  </si>
  <si>
    <t xml:space="preserve">FNSKU</t>
  </si>
  <si>
    <t xml:space="preserve">ASIN</t>
  </si>
  <si>
    <t xml:space="preserve">中文品名</t>
  </si>
  <si>
    <t xml:space="preserve">报关品名</t>
  </si>
  <si>
    <r>
      <rPr>
        <b val="true"/>
        <sz val="11"/>
        <color rgb="FFFFFFFF"/>
        <rFont val="Microsoft YaHei"/>
        <family val="0"/>
        <charset val="1"/>
      </rPr>
      <t xml:space="preserve">HS</t>
    </r>
    <r>
      <rPr>
        <b val="true"/>
        <sz val="11"/>
        <color rgb="FFFFFFFF"/>
        <rFont val="Noto Sans CJK SC"/>
        <family val="2"/>
      </rPr>
      <t xml:space="preserve">编码</t>
    </r>
  </si>
  <si>
    <t xml:space="preserve">申报单位</t>
  </si>
  <si>
    <t xml:space="preserve">退税率</t>
  </si>
  <si>
    <t xml:space="preserve">退税申报方式</t>
  </si>
  <si>
    <t xml:space="preserve">库存异常类型</t>
  </si>
  <si>
    <t xml:space="preserve">单证状态</t>
  </si>
  <si>
    <t xml:space="preserve">是否</t>
  </si>
  <si>
    <t xml:space="preserve">企业类型</t>
  </si>
  <si>
    <t xml:space="preserve">X00DEMOA01</t>
  </si>
  <si>
    <t xml:space="preserve">B0DEMOA001</t>
  </si>
  <si>
    <r>
      <rPr>
        <sz val="11"/>
        <color rgb="FF1C2533"/>
        <rFont val="Noto Sans CJK SC"/>
        <family val="2"/>
      </rPr>
      <t xml:space="preserve">示例商品</t>
    </r>
    <r>
      <rPr>
        <sz val="11"/>
        <color rgb="FF1C2533"/>
        <rFont val="Microsoft YaHei"/>
        <family val="0"/>
        <charset val="1"/>
      </rPr>
      <t xml:space="preserve">A</t>
    </r>
  </si>
  <si>
    <r>
      <rPr>
        <sz val="11"/>
        <color rgb="FF1C2533"/>
        <rFont val="Noto Sans CJK SC"/>
        <family val="2"/>
      </rPr>
      <t xml:space="preserve">示例申报品名</t>
    </r>
    <r>
      <rPr>
        <sz val="11"/>
        <color rgb="FF1C2533"/>
        <rFont val="Microsoft YaHei"/>
        <family val="0"/>
        <charset val="1"/>
      </rPr>
      <t xml:space="preserve">A</t>
    </r>
  </si>
  <si>
    <t xml:space="preserve">按实际填写</t>
  </si>
  <si>
    <t xml:space="preserve">个</t>
  </si>
  <si>
    <r>
      <rPr>
        <sz val="11"/>
        <color rgb="FF1C2533"/>
        <rFont val="Noto Sans CJK SC"/>
        <family val="2"/>
      </rPr>
      <t xml:space="preserve">已售</t>
    </r>
    <r>
      <rPr>
        <sz val="11"/>
        <color rgb="FF1C2533"/>
        <rFont val="Microsoft YaHei"/>
        <family val="0"/>
        <charset val="1"/>
      </rPr>
      <t xml:space="preserve">-</t>
    </r>
    <r>
      <rPr>
        <sz val="11"/>
        <color rgb="FF1C2533"/>
        <rFont val="Noto Sans CJK SC"/>
        <family val="2"/>
      </rPr>
      <t xml:space="preserve">按现行规定申报</t>
    </r>
  </si>
  <si>
    <t xml:space="preserve">无需调整申报</t>
  </si>
  <si>
    <t xml:space="preserve">仓内丢失或损坏（已获赔偿）</t>
  </si>
  <si>
    <t xml:space="preserve">纸质化</t>
  </si>
  <si>
    <t xml:space="preserve">银行直接收款</t>
  </si>
  <si>
    <t xml:space="preserve">已负数冲减</t>
  </si>
  <si>
    <t xml:space="preserve">生产企业</t>
  </si>
  <si>
    <t xml:space="preserve">X00DEMOB02</t>
  </si>
  <si>
    <t xml:space="preserve">B0DEMOB002</t>
  </si>
  <si>
    <r>
      <rPr>
        <sz val="11"/>
        <color rgb="FF1C2533"/>
        <rFont val="Noto Sans CJK SC"/>
        <family val="2"/>
      </rPr>
      <t xml:space="preserve">示例商品</t>
    </r>
    <r>
      <rPr>
        <sz val="11"/>
        <color rgb="FF1C2533"/>
        <rFont val="Microsoft YaHei"/>
        <family val="0"/>
        <charset val="1"/>
      </rPr>
      <t xml:space="preserve">B</t>
    </r>
  </si>
  <si>
    <r>
      <rPr>
        <sz val="11"/>
        <color rgb="FF1C2533"/>
        <rFont val="Noto Sans CJK SC"/>
        <family val="2"/>
      </rPr>
      <t xml:space="preserve">示例申报品名</t>
    </r>
    <r>
      <rPr>
        <sz val="11"/>
        <color rgb="FF1C2533"/>
        <rFont val="Microsoft YaHei"/>
        <family val="0"/>
        <charset val="1"/>
      </rPr>
      <t xml:space="preserve">B</t>
    </r>
  </si>
  <si>
    <r>
      <rPr>
        <sz val="11"/>
        <color rgb="FF1C2533"/>
        <rFont val="Noto Sans CJK SC"/>
        <family val="2"/>
      </rPr>
      <t xml:space="preserve">加拿大</t>
    </r>
    <r>
      <rPr>
        <sz val="11"/>
        <color rgb="FF1C2533"/>
        <rFont val="Microsoft YaHei"/>
        <family val="0"/>
        <charset val="1"/>
      </rPr>
      <t xml:space="preserve">CA</t>
    </r>
  </si>
  <si>
    <t xml:space="preserve">CAD</t>
  </si>
  <si>
    <t xml:space="preserve">需要调整申报</t>
  </si>
  <si>
    <t xml:space="preserve">影像化</t>
  </si>
  <si>
    <t xml:space="preserve">否</t>
  </si>
  <si>
    <t xml:space="preserve">无需冲减</t>
  </si>
  <si>
    <r>
      <rPr>
        <sz val="11"/>
        <color rgb="FF1C2533"/>
        <rFont val="Noto Sans CJK SC"/>
        <family val="2"/>
      </rPr>
      <t xml:space="preserve">墨西哥</t>
    </r>
    <r>
      <rPr>
        <sz val="11"/>
        <color rgb="FF1C2533"/>
        <rFont val="Microsoft YaHei"/>
        <family val="0"/>
        <charset val="1"/>
      </rPr>
      <t xml:space="preserve">MX</t>
    </r>
  </si>
  <si>
    <t xml:space="preserve">MXN</t>
  </si>
  <si>
    <t xml:space="preserve">全额缴回预退税</t>
  </si>
  <si>
    <r>
      <rPr>
        <sz val="11"/>
        <color rgb="FF1C2533"/>
        <rFont val="Noto Sans CJK SC"/>
        <family val="2"/>
      </rPr>
      <t xml:space="preserve">移除</t>
    </r>
    <r>
      <rPr>
        <sz val="11"/>
        <color rgb="FF1C2533"/>
        <rFont val="Microsoft YaHei"/>
        <family val="0"/>
        <charset val="1"/>
      </rPr>
      <t xml:space="preserve">-</t>
    </r>
    <r>
      <rPr>
        <sz val="11"/>
        <color rgb="FF1C2533"/>
        <rFont val="Noto Sans CJK SC"/>
        <family val="2"/>
      </rPr>
      <t xml:space="preserve">弃置销毁</t>
    </r>
  </si>
  <si>
    <t xml:space="preserve">未留存</t>
  </si>
  <si>
    <r>
      <rPr>
        <sz val="11"/>
        <color rgb="FF1C2533"/>
        <rFont val="Noto Sans CJK SC"/>
        <family val="2"/>
      </rPr>
      <t xml:space="preserve">万里汇</t>
    </r>
    <r>
      <rPr>
        <sz val="11"/>
        <color rgb="FF1C2533"/>
        <rFont val="Microsoft YaHei"/>
        <family val="0"/>
        <charset val="1"/>
      </rPr>
      <t xml:space="preserve">WorldFirst</t>
    </r>
  </si>
  <si>
    <r>
      <rPr>
        <sz val="11"/>
        <color rgb="FF1C2533"/>
        <rFont val="Noto Sans CJK SC"/>
        <family val="2"/>
      </rPr>
      <t xml:space="preserve">巴西</t>
    </r>
    <r>
      <rPr>
        <sz val="11"/>
        <color rgb="FF1C2533"/>
        <rFont val="Microsoft YaHei"/>
        <family val="0"/>
        <charset val="1"/>
      </rPr>
      <t xml:space="preserve">BR</t>
    </r>
  </si>
  <si>
    <t xml:space="preserve">BRL</t>
  </si>
  <si>
    <r>
      <rPr>
        <sz val="11"/>
        <color rgb="FF1C2533"/>
        <rFont val="Noto Sans CJK SC"/>
        <family val="2"/>
      </rPr>
      <t xml:space="preserve">移除</t>
    </r>
    <r>
      <rPr>
        <sz val="11"/>
        <color rgb="FF1C2533"/>
        <rFont val="Microsoft YaHei"/>
        <family val="0"/>
        <charset val="1"/>
      </rPr>
      <t xml:space="preserve">-</t>
    </r>
    <r>
      <rPr>
        <sz val="11"/>
        <color rgb="FF1C2533"/>
        <rFont val="Noto Sans CJK SC"/>
        <family val="2"/>
      </rPr>
      <t xml:space="preserve">退运回国</t>
    </r>
  </si>
  <si>
    <t xml:space="preserve">不适用</t>
  </si>
  <si>
    <t xml:space="preserve">连连支付</t>
  </si>
  <si>
    <r>
      <rPr>
        <sz val="11"/>
        <color rgb="FF1C2533"/>
        <rFont val="Noto Sans CJK SC"/>
        <family val="2"/>
      </rPr>
      <t xml:space="preserve">英国</t>
    </r>
    <r>
      <rPr>
        <sz val="11"/>
        <color rgb="FF1C2533"/>
        <rFont val="Microsoft YaHei"/>
        <family val="0"/>
        <charset val="1"/>
      </rPr>
      <t xml:space="preserve">UK</t>
    </r>
  </si>
  <si>
    <t xml:space="preserve">GBP</t>
  </si>
  <si>
    <r>
      <rPr>
        <sz val="11"/>
        <color rgb="FF1C2533"/>
        <rFont val="Noto Sans CJK SC"/>
        <family val="2"/>
      </rPr>
      <t xml:space="preserve">移除</t>
    </r>
    <r>
      <rPr>
        <sz val="11"/>
        <color rgb="FF1C2533"/>
        <rFont val="Microsoft YaHei"/>
        <family val="0"/>
        <charset val="1"/>
      </rPr>
      <t xml:space="preserve">-</t>
    </r>
    <r>
      <rPr>
        <sz val="11"/>
        <color rgb="FF1C2533"/>
        <rFont val="Noto Sans CJK SC"/>
        <family val="2"/>
      </rPr>
      <t xml:space="preserve">调往其他仓或站点</t>
    </r>
  </si>
  <si>
    <t xml:space="preserve">PingPong</t>
  </si>
  <si>
    <r>
      <rPr>
        <sz val="11"/>
        <color rgb="FF1C2533"/>
        <rFont val="Noto Sans CJK SC"/>
        <family val="2"/>
      </rPr>
      <t xml:space="preserve">德国</t>
    </r>
    <r>
      <rPr>
        <sz val="11"/>
        <color rgb="FF1C2533"/>
        <rFont val="Microsoft YaHei"/>
        <family val="0"/>
        <charset val="1"/>
      </rPr>
      <t xml:space="preserve">DE</t>
    </r>
  </si>
  <si>
    <t xml:space="preserve">EUR</t>
  </si>
  <si>
    <t xml:space="preserve">盘点差异</t>
  </si>
  <si>
    <r>
      <rPr>
        <sz val="11"/>
        <color rgb="FF1C2533"/>
        <rFont val="Noto Sans CJK SC"/>
        <family val="2"/>
      </rPr>
      <t xml:space="preserve">空中云汇</t>
    </r>
    <r>
      <rPr>
        <sz val="11"/>
        <color rgb="FF1C2533"/>
        <rFont val="Microsoft YaHei"/>
        <family val="0"/>
        <charset val="1"/>
      </rPr>
      <t xml:space="preserve">Airwallex</t>
    </r>
  </si>
  <si>
    <r>
      <rPr>
        <sz val="11"/>
        <color rgb="FF1C2533"/>
        <rFont val="Noto Sans CJK SC"/>
        <family val="2"/>
      </rPr>
      <t xml:space="preserve">法国</t>
    </r>
    <r>
      <rPr>
        <sz val="11"/>
        <color rgb="FF1C2533"/>
        <rFont val="Microsoft YaHei"/>
        <family val="0"/>
        <charset val="1"/>
      </rPr>
      <t xml:space="preserve">FR</t>
    </r>
  </si>
  <si>
    <t xml:space="preserve">SEK</t>
  </si>
  <si>
    <t xml:space="preserve">其他</t>
  </si>
  <si>
    <r>
      <rPr>
        <sz val="11"/>
        <color rgb="FF1C2533"/>
        <rFont val="Noto Sans CJK SC"/>
        <family val="2"/>
      </rPr>
      <t xml:space="preserve">意大利</t>
    </r>
    <r>
      <rPr>
        <sz val="11"/>
        <color rgb="FF1C2533"/>
        <rFont val="Microsoft YaHei"/>
        <family val="0"/>
        <charset val="1"/>
      </rPr>
      <t xml:space="preserve">IT</t>
    </r>
  </si>
  <si>
    <t xml:space="preserve">PLN</t>
  </si>
  <si>
    <r>
      <rPr>
        <sz val="11"/>
        <color rgb="FF1C2533"/>
        <rFont val="Noto Sans CJK SC"/>
        <family val="2"/>
      </rPr>
      <t xml:space="preserve">西班牙</t>
    </r>
    <r>
      <rPr>
        <sz val="11"/>
        <color rgb="FF1C2533"/>
        <rFont val="Microsoft YaHei"/>
        <family val="0"/>
        <charset val="1"/>
      </rPr>
      <t xml:space="preserve">ES</t>
    </r>
  </si>
  <si>
    <t xml:space="preserve">JPY</t>
  </si>
  <si>
    <r>
      <rPr>
        <sz val="11"/>
        <color rgb="FF1C2533"/>
        <rFont val="Noto Sans CJK SC"/>
        <family val="2"/>
      </rPr>
      <t xml:space="preserve">荷兰</t>
    </r>
    <r>
      <rPr>
        <sz val="11"/>
        <color rgb="FF1C2533"/>
        <rFont val="Microsoft YaHei"/>
        <family val="0"/>
        <charset val="1"/>
      </rPr>
      <t xml:space="preserve">NL</t>
    </r>
  </si>
  <si>
    <t xml:space="preserve">AUD</t>
  </si>
  <si>
    <r>
      <rPr>
        <sz val="11"/>
        <color rgb="FF1C2533"/>
        <rFont val="Noto Sans CJK SC"/>
        <family val="2"/>
      </rPr>
      <t xml:space="preserve">瑞典</t>
    </r>
    <r>
      <rPr>
        <sz val="11"/>
        <color rgb="FF1C2533"/>
        <rFont val="Microsoft YaHei"/>
        <family val="0"/>
        <charset val="1"/>
      </rPr>
      <t xml:space="preserve">SE</t>
    </r>
  </si>
  <si>
    <t xml:space="preserve">SGD</t>
  </si>
  <si>
    <r>
      <rPr>
        <sz val="11"/>
        <color rgb="FF1C2533"/>
        <rFont val="Noto Sans CJK SC"/>
        <family val="2"/>
      </rPr>
      <t xml:space="preserve">波兰</t>
    </r>
    <r>
      <rPr>
        <sz val="11"/>
        <color rgb="FF1C2533"/>
        <rFont val="Microsoft YaHei"/>
        <family val="0"/>
        <charset val="1"/>
      </rPr>
      <t xml:space="preserve">PL</t>
    </r>
  </si>
  <si>
    <t xml:space="preserve">AED</t>
  </si>
  <si>
    <r>
      <rPr>
        <sz val="11"/>
        <color rgb="FF1C2533"/>
        <rFont val="Noto Sans CJK SC"/>
        <family val="2"/>
      </rPr>
      <t xml:space="preserve">比利时</t>
    </r>
    <r>
      <rPr>
        <sz val="11"/>
        <color rgb="FF1C2533"/>
        <rFont val="Microsoft YaHei"/>
        <family val="0"/>
        <charset val="1"/>
      </rPr>
      <t xml:space="preserve">BE</t>
    </r>
  </si>
  <si>
    <t xml:space="preserve">SAR</t>
  </si>
  <si>
    <r>
      <rPr>
        <sz val="11"/>
        <color rgb="FF1C2533"/>
        <rFont val="Noto Sans CJK SC"/>
        <family val="2"/>
      </rPr>
      <t xml:space="preserve">日本</t>
    </r>
    <r>
      <rPr>
        <sz val="11"/>
        <color rgb="FF1C2533"/>
        <rFont val="Microsoft YaHei"/>
        <family val="0"/>
        <charset val="1"/>
      </rPr>
      <t xml:space="preserve">JP</t>
    </r>
  </si>
  <si>
    <t xml:space="preserve">TRY</t>
  </si>
  <si>
    <r>
      <rPr>
        <sz val="11"/>
        <color rgb="FF1C2533"/>
        <rFont val="Noto Sans CJK SC"/>
        <family val="2"/>
      </rPr>
      <t xml:space="preserve">澳大利亚</t>
    </r>
    <r>
      <rPr>
        <sz val="11"/>
        <color rgb="FF1C2533"/>
        <rFont val="Microsoft YaHei"/>
        <family val="0"/>
        <charset val="1"/>
      </rPr>
      <t xml:space="preserve">AU</t>
    </r>
  </si>
  <si>
    <t xml:space="preserve">INR</t>
  </si>
  <si>
    <r>
      <rPr>
        <sz val="11"/>
        <color rgb="FF1C2533"/>
        <rFont val="Noto Sans CJK SC"/>
        <family val="2"/>
      </rPr>
      <t xml:space="preserve">新加坡</t>
    </r>
    <r>
      <rPr>
        <sz val="11"/>
        <color rgb="FF1C2533"/>
        <rFont val="Microsoft YaHei"/>
        <family val="0"/>
        <charset val="1"/>
      </rPr>
      <t xml:space="preserve">SG</t>
    </r>
  </si>
  <si>
    <r>
      <rPr>
        <sz val="11"/>
        <color rgb="FF1C2533"/>
        <rFont val="Noto Sans CJK SC"/>
        <family val="2"/>
      </rPr>
      <t xml:space="preserve">阿联酋</t>
    </r>
    <r>
      <rPr>
        <sz val="11"/>
        <color rgb="FF1C2533"/>
        <rFont val="Microsoft YaHei"/>
        <family val="0"/>
        <charset val="1"/>
      </rPr>
      <t xml:space="preserve">AE</t>
    </r>
  </si>
  <si>
    <r>
      <rPr>
        <sz val="11"/>
        <color rgb="FF1C2533"/>
        <rFont val="Noto Sans CJK SC"/>
        <family val="2"/>
      </rPr>
      <t xml:space="preserve">沙特</t>
    </r>
    <r>
      <rPr>
        <sz val="11"/>
        <color rgb="FF1C2533"/>
        <rFont val="Microsoft YaHei"/>
        <family val="0"/>
        <charset val="1"/>
      </rPr>
      <t xml:space="preserve">SA</t>
    </r>
  </si>
  <si>
    <r>
      <rPr>
        <sz val="11"/>
        <color rgb="FF1C2533"/>
        <rFont val="Noto Sans CJK SC"/>
        <family val="2"/>
      </rPr>
      <t xml:space="preserve">土耳其</t>
    </r>
    <r>
      <rPr>
        <sz val="11"/>
        <color rgb="FF1C2533"/>
        <rFont val="Microsoft YaHei"/>
        <family val="0"/>
        <charset val="1"/>
      </rPr>
      <t xml:space="preserve">TR</t>
    </r>
  </si>
  <si>
    <r>
      <rPr>
        <sz val="11"/>
        <color rgb="FF1C2533"/>
        <rFont val="Noto Sans CJK SC"/>
        <family val="2"/>
      </rPr>
      <t xml:space="preserve">印度</t>
    </r>
    <r>
      <rPr>
        <sz val="11"/>
        <color rgb="FF1C2533"/>
        <rFont val="Microsoft YaHei"/>
        <family val="0"/>
        <charset val="1"/>
      </rPr>
      <t xml:space="preserve">IN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</si>
</sst>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.00"/>
    <numFmt numFmtId="167" formatCode="yyyy\-mm\-dd"/>
    <numFmt numFmtId="168" formatCode="#,##0;\-#,##0;0"/>
    <numFmt numFmtId="169" formatCode="0%"/>
    <numFmt numFmtId="170" formatCode="@"/>
    <numFmt numFmtId="171" formatCode="0.0000"/>
    <numFmt numFmtId="172" formatCode="yyyy\-mm"/>
    <numFmt numFmtId="173" formatCode="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icrosoft YaHei"/>
      <family val="0"/>
      <charset val="1"/>
    </font>
    <font>
      <b val="true"/>
      <sz val="22"/>
      <color rgb="FF1F3A5F"/>
      <name val="Noto Sans CJK SC"/>
      <family val="2"/>
    </font>
    <font>
      <b val="true"/>
      <sz val="22"/>
      <color rgb="FF1F3A5F"/>
      <name val="Microsoft YaHei"/>
      <family val="0"/>
      <charset val="1"/>
    </font>
    <font>
      <sz val="11"/>
      <color rgb="FF6B7785"/>
      <name val="Noto Sans CJK SC"/>
      <family val="2"/>
    </font>
    <font>
      <sz val="11"/>
      <color rgb="FF6B7785"/>
      <name val="Microsoft YaHei"/>
      <family val="0"/>
      <charset val="1"/>
    </font>
    <font>
      <b val="true"/>
      <sz val="14"/>
      <color rgb="FF1F3A5F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12"/>
      <color rgb="FFFFFFFF"/>
      <name val="Microsoft YaHei"/>
      <family val="0"/>
      <charset val="1"/>
    </font>
    <font>
      <sz val="10"/>
      <color rgb="FF6B7785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1C2533"/>
      <name val="Noto Sans CJK SC"/>
      <family val="2"/>
    </font>
    <font>
      <sz val="11"/>
      <color rgb="FF1C2533"/>
      <name val="Noto Sans CJK SC"/>
      <family val="2"/>
    </font>
    <font>
      <sz val="11"/>
      <color rgb="FF1C2533"/>
      <name val="Microsoft YaHei"/>
      <family val="0"/>
      <charset val="1"/>
    </font>
    <font>
      <b val="true"/>
      <sz val="14"/>
      <color rgb="FF1F3A5F"/>
      <name val="Microsoft YaHei"/>
      <family val="0"/>
      <charset val="1"/>
    </font>
    <font>
      <b val="true"/>
      <sz val="11"/>
      <color rgb="FF1C2533"/>
      <name val="Microsoft YaHei"/>
      <family val="0"/>
      <charset val="1"/>
    </font>
    <font>
      <b val="true"/>
      <sz val="11"/>
      <color rgb="FFB42318"/>
      <name val="Noto Sans CJK SC"/>
      <family val="2"/>
    </font>
    <font>
      <b val="true"/>
      <sz val="11"/>
      <color rgb="FFB54708"/>
      <name val="Noto Sans CJK SC"/>
      <family val="2"/>
    </font>
    <font>
      <b val="true"/>
      <sz val="11"/>
      <color rgb="FF067647"/>
      <name val="Noto Sans CJK SC"/>
      <family val="2"/>
    </font>
    <font>
      <sz val="10"/>
      <color rgb="FF6B7785"/>
      <name val="Microsoft YaHei"/>
      <family val="0"/>
      <charset val="1"/>
    </font>
    <font>
      <b val="true"/>
      <sz val="18"/>
      <color rgb="FF1F3A5F"/>
      <name val="Noto Sans CJK SC"/>
      <family val="2"/>
    </font>
    <font>
      <b val="true"/>
      <sz val="18"/>
      <color rgb="FF1F3A5F"/>
      <name val="Microsoft YaHei"/>
      <family val="0"/>
      <charset val="1"/>
    </font>
    <font>
      <b val="true"/>
      <sz val="11"/>
      <color rgb="FFFFFFFF"/>
      <name val="Microsoft YaHei"/>
      <family val="0"/>
      <charset val="1"/>
    </font>
    <font>
      <sz val="10"/>
      <name val="Arial"/>
      <family val="2"/>
    </font>
    <font>
      <sz val="10"/>
      <name val="Noto Sans CJK SC"/>
      <family val="2"/>
    </font>
    <font>
      <b val="true"/>
      <sz val="12"/>
      <color rgb="FF1F3A5F"/>
      <name val="Microsoft YaHei"/>
      <family val="0"/>
      <charset val="1"/>
    </font>
    <font>
      <b val="true"/>
      <sz val="12"/>
      <color rgb="FF1F3A5F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0F2440"/>
      </patternFill>
    </fill>
    <fill>
      <patternFill patternType="solid">
        <fgColor rgb="FF0F2440"/>
        <bgColor rgb="FF1C2533"/>
      </patternFill>
    </fill>
    <fill>
      <patternFill patternType="solid">
        <fgColor rgb="FFF3F6FA"/>
        <bgColor rgb="FFFFFFFF"/>
      </patternFill>
    </fill>
    <fill>
      <patternFill patternType="solid">
        <fgColor rgb="FFE7EDF5"/>
        <bgColor rgb="FFE3F5EA"/>
      </patternFill>
    </fill>
    <fill>
      <patternFill patternType="solid">
        <fgColor rgb="FFFFFFFF"/>
        <bgColor rgb="FFF3F6FA"/>
      </patternFill>
    </fill>
    <fill>
      <patternFill patternType="solid">
        <fgColor rgb="FFFDE3E1"/>
        <bgColor rgb="FFFFF1DB"/>
      </patternFill>
    </fill>
    <fill>
      <patternFill patternType="solid">
        <fgColor rgb="FFFFF1DB"/>
        <bgColor rgb="FFFDE3E1"/>
      </patternFill>
    </fill>
    <fill>
      <patternFill patternType="solid">
        <fgColor rgb="FFE3F5EA"/>
        <bgColor rgb="FFE7EDF5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D2DBE7"/>
      </left>
      <right style="thin">
        <color rgb="FFD2DBE7"/>
      </right>
      <top style="thin">
        <color rgb="FFD2DBE7"/>
      </top>
      <bottom style="thin">
        <color rgb="FFD2DBE7"/>
      </bottom>
      <diagonal/>
    </border>
    <border diagonalUp="false" diagonalDown="false">
      <left style="thin">
        <color rgb="FFFFFFFF"/>
      </left>
      <right style="thin">
        <color rgb="FFFFFFFF"/>
      </right>
      <top style="medium">
        <color rgb="FF1F3A5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4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6" fillId="0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Microsoft YaHei"/>
        <charset val="1"/>
        <family val="0"/>
        <b val="1"/>
        <color rgb="FFB42318"/>
      </font>
      <fill>
        <patternFill>
          <bgColor rgb="FFFDE3E1"/>
        </patternFill>
      </fill>
    </dxf>
    <dxf>
      <font>
        <name val="Microsoft YaHei"/>
        <charset val="1"/>
        <family val="0"/>
        <b val="1"/>
        <color rgb="FFB54708"/>
        <sz val="18"/>
      </font>
      <fill>
        <patternFill>
          <bgColor rgb="FFFFF1DB"/>
        </patternFill>
      </fill>
    </dxf>
    <dxf>
      <font>
        <name val="Microsoft YaHei"/>
        <charset val="1"/>
        <family val="0"/>
        <b val="1"/>
        <color rgb="FFB54708"/>
      </font>
      <fill>
        <patternFill>
          <bgColor rgb="FFFFF1DB"/>
        </patternFill>
      </fill>
    </dxf>
    <dxf>
      <font>
        <name val="Microsoft YaHei"/>
        <charset val="1"/>
        <family val="0"/>
        <color rgb="FF067647"/>
      </font>
      <fill>
        <patternFill>
          <bgColor rgb="FFE3F5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7647"/>
      <rgbColor rgb="FFBAC4D2"/>
      <rgbColor rgb="FF6B7785"/>
      <rgbColor rgb="FF9999FF"/>
      <rgbColor rgb="FFB54708"/>
      <rgbColor rgb="FFFFF1DB"/>
      <rgbColor rgb="FFE3F5EA"/>
      <rgbColor rgb="FF660066"/>
      <rgbColor rgb="FFFF8080"/>
      <rgbColor rgb="FF0066CC"/>
      <rgbColor rgb="FFD2DB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DF5"/>
      <rgbColor rgb="FFF3F6FA"/>
      <rgbColor rgb="FFFFFF99"/>
      <rgbColor rgb="FF99CCFF"/>
      <rgbColor rgb="FFFF99CC"/>
      <rgbColor rgb="FFCC99FF"/>
      <rgbColor rgb="FFFDE3E1"/>
      <rgbColor rgb="FF3366FF"/>
      <rgbColor rgb="FF33CCCC"/>
      <rgbColor rgb="FF99CC00"/>
      <rgbColor rgb="FFFFCC00"/>
      <rgbColor rgb="FFFF9900"/>
      <rgbColor rgb="FFFF6600"/>
      <rgbColor rgb="FF666699"/>
      <rgbColor rgb="FF8EA6C8"/>
      <rgbColor rgb="FF1F3A5F"/>
      <rgbColor rgb="FF339966"/>
      <rgbColor rgb="FF0F2440"/>
      <rgbColor rgb="FF333300"/>
      <rgbColor rgb="FFB42318"/>
      <rgbColor rgb="FF993366"/>
      <rgbColor rgb="FF333399"/>
      <rgbColor rgb="FF1C25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F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34"/>
    <col collapsed="false" customWidth="true" hidden="false" outlineLevel="0" max="7" min="7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45.75" hidden="false" customHeight="true" outlineLevel="0" collapsed="false">
      <c r="A2" s="1"/>
      <c r="B2" s="2" t="s">
        <v>0</v>
      </c>
      <c r="C2" s="2"/>
      <c r="D2" s="2"/>
      <c r="E2" s="2"/>
      <c r="F2" s="2"/>
    </row>
    <row r="3" customFormat="false" ht="48" hidden="false" customHeight="true" outlineLevel="0" collapsed="false">
      <c r="A3" s="1"/>
      <c r="B3" s="3" t="s">
        <v>1</v>
      </c>
      <c r="C3" s="3"/>
      <c r="D3" s="3"/>
      <c r="E3" s="3"/>
      <c r="F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30" hidden="false" customHeight="true" outlineLevel="0" collapsed="false">
      <c r="A5" s="1"/>
      <c r="B5" s="4" t="s">
        <v>2</v>
      </c>
      <c r="C5" s="4"/>
      <c r="D5" s="4"/>
      <c r="E5" s="4"/>
      <c r="F5" s="4"/>
    </row>
    <row r="6" customFormat="false" ht="51.75" hidden="false" customHeight="true" outlineLevel="0" collapsed="false">
      <c r="A6" s="1"/>
      <c r="B6" s="5" t="s">
        <v>3</v>
      </c>
      <c r="C6" s="6" t="s">
        <v>4</v>
      </c>
      <c r="D6" s="5" t="s">
        <v>5</v>
      </c>
      <c r="E6" s="6" t="s">
        <v>6</v>
      </c>
      <c r="F6" s="5" t="s">
        <v>7</v>
      </c>
    </row>
    <row r="7" customFormat="false" ht="37.5" hidden="false" customHeight="true" outlineLevel="0" collapsed="false">
      <c r="A7" s="1"/>
      <c r="B7" s="7" t="s">
        <v>8</v>
      </c>
      <c r="C7" s="7" t="s">
        <v>8</v>
      </c>
      <c r="D7" s="7" t="s">
        <v>9</v>
      </c>
      <c r="E7" s="7" t="s">
        <v>10</v>
      </c>
      <c r="F7" s="7" t="s">
        <v>11</v>
      </c>
    </row>
    <row r="8" customFormat="false" ht="15" hidden="false" customHeight="false" outlineLevel="0" collapsed="false">
      <c r="A8" s="1"/>
      <c r="B8" s="1"/>
      <c r="C8" s="1"/>
      <c r="D8" s="1"/>
      <c r="E8" s="1"/>
      <c r="F8" s="1"/>
    </row>
    <row r="9" customFormat="false" ht="30" hidden="false" customHeight="true" outlineLevel="0" collapsed="false">
      <c r="A9" s="1"/>
      <c r="B9" s="4" t="s">
        <v>12</v>
      </c>
      <c r="C9" s="4"/>
      <c r="D9" s="4"/>
      <c r="E9" s="4"/>
      <c r="F9" s="4"/>
    </row>
    <row r="10" customFormat="false" ht="27.75" hidden="false" customHeight="true" outlineLevel="0" collapsed="false">
      <c r="A10" s="1"/>
      <c r="B10" s="8" t="s">
        <v>13</v>
      </c>
      <c r="C10" s="8" t="s">
        <v>14</v>
      </c>
      <c r="D10" s="8" t="s">
        <v>15</v>
      </c>
      <c r="E10" s="8" t="s">
        <v>16</v>
      </c>
      <c r="F10" s="8" t="s">
        <v>17</v>
      </c>
    </row>
    <row r="11" customFormat="false" ht="28.5" hidden="false" customHeight="true" outlineLevel="0" collapsed="false">
      <c r="A11" s="1"/>
      <c r="B11" s="9" t="s">
        <v>18</v>
      </c>
      <c r="C11" s="10" t="s">
        <v>19</v>
      </c>
      <c r="D11" s="10" t="s">
        <v>20</v>
      </c>
      <c r="E11" s="10" t="s">
        <v>21</v>
      </c>
      <c r="F11" s="10" t="s">
        <v>22</v>
      </c>
    </row>
    <row r="12" customFormat="false" ht="48" hidden="false" customHeight="true" outlineLevel="0" collapsed="false">
      <c r="A12" s="1"/>
      <c r="B12" s="11" t="s">
        <v>23</v>
      </c>
      <c r="C12" s="12" t="s">
        <v>24</v>
      </c>
      <c r="D12" s="12" t="s">
        <v>25</v>
      </c>
      <c r="E12" s="12" t="s">
        <v>26</v>
      </c>
      <c r="F12" s="12" t="s">
        <v>27</v>
      </c>
    </row>
    <row r="13" customFormat="false" ht="48" hidden="false" customHeight="true" outlineLevel="0" collapsed="false">
      <c r="A13" s="1"/>
      <c r="B13" s="9" t="s">
        <v>28</v>
      </c>
      <c r="C13" s="10" t="s">
        <v>29</v>
      </c>
      <c r="D13" s="10" t="s">
        <v>30</v>
      </c>
      <c r="E13" s="10" t="s">
        <v>31</v>
      </c>
      <c r="F13" s="10" t="s">
        <v>32</v>
      </c>
    </row>
    <row r="14" customFormat="false" ht="48" hidden="false" customHeight="true" outlineLevel="0" collapsed="false">
      <c r="A14" s="1"/>
      <c r="B14" s="11" t="s">
        <v>33</v>
      </c>
      <c r="C14" s="12" t="s">
        <v>34</v>
      </c>
      <c r="D14" s="12" t="s">
        <v>35</v>
      </c>
      <c r="E14" s="12" t="s">
        <v>36</v>
      </c>
      <c r="F14" s="12" t="s">
        <v>37</v>
      </c>
    </row>
    <row r="15" customFormat="false" ht="28.5" hidden="false" customHeight="true" outlineLevel="0" collapsed="false">
      <c r="A15" s="1"/>
      <c r="B15" s="9" t="s">
        <v>38</v>
      </c>
      <c r="C15" s="10" t="s">
        <v>39</v>
      </c>
      <c r="D15" s="10" t="s">
        <v>40</v>
      </c>
      <c r="E15" s="10" t="s">
        <v>41</v>
      </c>
      <c r="F15" s="10" t="s">
        <v>42</v>
      </c>
    </row>
    <row r="16" customFormat="false" ht="28.5" hidden="false" customHeight="true" outlineLevel="0" collapsed="false">
      <c r="A16" s="1"/>
      <c r="B16" s="11" t="s">
        <v>43</v>
      </c>
      <c r="C16" s="12" t="s">
        <v>44</v>
      </c>
      <c r="D16" s="12" t="s">
        <v>45</v>
      </c>
      <c r="E16" s="12" t="s">
        <v>46</v>
      </c>
      <c r="F16" s="12" t="s">
        <v>47</v>
      </c>
    </row>
    <row r="17" customFormat="false" ht="28.5" hidden="false" customHeight="true" outlineLevel="0" collapsed="false">
      <c r="A17" s="1"/>
      <c r="B17" s="9" t="s">
        <v>48</v>
      </c>
      <c r="C17" s="10" t="s">
        <v>49</v>
      </c>
      <c r="D17" s="10" t="s">
        <v>50</v>
      </c>
      <c r="E17" s="10" t="s">
        <v>51</v>
      </c>
      <c r="F17" s="10" t="s">
        <v>52</v>
      </c>
    </row>
    <row r="18" customFormat="false" ht="28.5" hidden="false" customHeight="true" outlineLevel="0" collapsed="false">
      <c r="A18" s="1"/>
      <c r="B18" s="11" t="s">
        <v>53</v>
      </c>
      <c r="C18" s="12" t="s">
        <v>54</v>
      </c>
      <c r="D18" s="12" t="s">
        <v>55</v>
      </c>
      <c r="E18" s="12" t="s">
        <v>56</v>
      </c>
      <c r="F18" s="12" t="s">
        <v>57</v>
      </c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</row>
    <row r="20" customFormat="false" ht="30" hidden="false" customHeight="true" outlineLevel="0" collapsed="false">
      <c r="A20" s="1"/>
      <c r="B20" s="4" t="s">
        <v>58</v>
      </c>
      <c r="C20" s="4"/>
      <c r="D20" s="4"/>
      <c r="E20" s="4"/>
      <c r="F20" s="4"/>
    </row>
    <row r="21" customFormat="false" ht="27.75" hidden="false" customHeight="true" outlineLevel="0" collapsed="false">
      <c r="A21" s="1"/>
      <c r="B21" s="8" t="s">
        <v>59</v>
      </c>
      <c r="C21" s="8"/>
      <c r="D21" s="8" t="s">
        <v>60</v>
      </c>
      <c r="E21" s="8"/>
      <c r="F21" s="8" t="s">
        <v>61</v>
      </c>
    </row>
    <row r="22" customFormat="false" ht="48" hidden="false" customHeight="true" outlineLevel="0" collapsed="false">
      <c r="A22" s="1"/>
      <c r="B22" s="9" t="s">
        <v>62</v>
      </c>
      <c r="C22" s="9"/>
      <c r="D22" s="10" t="s">
        <v>63</v>
      </c>
      <c r="E22" s="10"/>
      <c r="F22" s="10" t="s">
        <v>64</v>
      </c>
    </row>
    <row r="23" customFormat="false" ht="48" hidden="false" customHeight="true" outlineLevel="0" collapsed="false">
      <c r="A23" s="1"/>
      <c r="B23" s="11" t="s">
        <v>65</v>
      </c>
      <c r="C23" s="11"/>
      <c r="D23" s="12" t="s">
        <v>66</v>
      </c>
      <c r="E23" s="12"/>
      <c r="F23" s="12" t="s">
        <v>67</v>
      </c>
    </row>
    <row r="24" customFormat="false" ht="48" hidden="false" customHeight="true" outlineLevel="0" collapsed="false">
      <c r="A24" s="1"/>
      <c r="B24" s="9" t="s">
        <v>68</v>
      </c>
      <c r="C24" s="9"/>
      <c r="D24" s="10" t="s">
        <v>69</v>
      </c>
      <c r="E24" s="10"/>
      <c r="F24" s="10" t="s">
        <v>70</v>
      </c>
    </row>
    <row r="25" customFormat="false" ht="48" hidden="false" customHeight="true" outlineLevel="0" collapsed="false">
      <c r="A25" s="1"/>
      <c r="B25" s="11" t="s">
        <v>71</v>
      </c>
      <c r="C25" s="11"/>
      <c r="D25" s="12" t="s">
        <v>72</v>
      </c>
      <c r="E25" s="12"/>
      <c r="F25" s="12" t="s">
        <v>67</v>
      </c>
    </row>
    <row r="26" customFormat="false" ht="48" hidden="false" customHeight="true" outlineLevel="0" collapsed="false">
      <c r="A26" s="1"/>
      <c r="B26" s="9" t="s">
        <v>73</v>
      </c>
      <c r="C26" s="9"/>
      <c r="D26" s="10" t="s">
        <v>74</v>
      </c>
      <c r="E26" s="10"/>
      <c r="F26" s="10" t="s">
        <v>67</v>
      </c>
    </row>
    <row r="27" customFormat="false" ht="48" hidden="false" customHeight="true" outlineLevel="0" collapsed="false">
      <c r="A27" s="1"/>
      <c r="B27" s="11" t="s">
        <v>75</v>
      </c>
      <c r="C27" s="11"/>
      <c r="D27" s="12" t="s">
        <v>76</v>
      </c>
      <c r="E27" s="12"/>
      <c r="F27" s="12" t="s">
        <v>67</v>
      </c>
    </row>
    <row r="28" customFormat="false" ht="28.5" hidden="false" customHeight="true" outlineLevel="0" collapsed="false">
      <c r="A28" s="1"/>
      <c r="B28" s="9" t="s">
        <v>77</v>
      </c>
      <c r="C28" s="9"/>
      <c r="D28" s="10" t="s">
        <v>78</v>
      </c>
      <c r="E28" s="10"/>
      <c r="F28" s="10" t="s">
        <v>67</v>
      </c>
    </row>
    <row r="29" customFormat="false" ht="48" hidden="false" customHeight="true" outlineLevel="0" collapsed="false">
      <c r="A29" s="1"/>
      <c r="B29" s="11" t="s">
        <v>79</v>
      </c>
      <c r="C29" s="11"/>
      <c r="D29" s="12" t="s">
        <v>80</v>
      </c>
      <c r="E29" s="12"/>
      <c r="F29" s="12" t="s">
        <v>81</v>
      </c>
    </row>
    <row r="30" customFormat="false" ht="28.5" hidden="false" customHeight="true" outlineLevel="0" collapsed="false">
      <c r="A30" s="1"/>
      <c r="B30" s="9" t="s">
        <v>82</v>
      </c>
      <c r="C30" s="9"/>
      <c r="D30" s="10" t="s">
        <v>83</v>
      </c>
      <c r="E30" s="10"/>
      <c r="F30" s="10" t="s">
        <v>84</v>
      </c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</row>
    <row r="32" customFormat="false" ht="30" hidden="false" customHeight="true" outlineLevel="0" collapsed="false">
      <c r="A32" s="1"/>
      <c r="B32" s="4" t="s">
        <v>85</v>
      </c>
      <c r="C32" s="4"/>
      <c r="D32" s="4"/>
      <c r="E32" s="4"/>
      <c r="F32" s="4"/>
    </row>
    <row r="33" customFormat="false" ht="29.25" hidden="false" customHeight="true" outlineLevel="0" collapsed="false">
      <c r="A33" s="1"/>
      <c r="B33" s="13" t="s">
        <v>86</v>
      </c>
      <c r="C33" s="13"/>
      <c r="D33" s="13"/>
      <c r="E33" s="13"/>
      <c r="F33" s="13"/>
    </row>
    <row r="34" customFormat="false" ht="67.5" hidden="false" customHeight="true" outlineLevel="0" collapsed="false">
      <c r="A34" s="1"/>
      <c r="B34" s="13" t="s">
        <v>87</v>
      </c>
      <c r="C34" s="13"/>
      <c r="D34" s="13"/>
      <c r="E34" s="13"/>
      <c r="F34" s="13"/>
    </row>
    <row r="35" customFormat="false" ht="29.25" hidden="false" customHeight="true" outlineLevel="0" collapsed="false">
      <c r="A35" s="1"/>
      <c r="B35" s="13" t="s">
        <v>88</v>
      </c>
      <c r="C35" s="13"/>
      <c r="D35" s="13"/>
      <c r="E35" s="13"/>
      <c r="F35" s="13"/>
    </row>
    <row r="36" customFormat="false" ht="48" hidden="false" customHeight="true" outlineLevel="0" collapsed="false">
      <c r="A36" s="1"/>
      <c r="B36" s="13" t="s">
        <v>89</v>
      </c>
      <c r="C36" s="13"/>
      <c r="D36" s="13"/>
      <c r="E36" s="13"/>
      <c r="F36" s="13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</row>
    <row r="38" customFormat="false" ht="30" hidden="false" customHeight="true" outlineLevel="0" collapsed="false">
      <c r="A38" s="1"/>
      <c r="B38" s="4" t="s">
        <v>90</v>
      </c>
      <c r="C38" s="4"/>
      <c r="D38" s="4"/>
      <c r="E38" s="4"/>
      <c r="F38" s="4"/>
    </row>
    <row r="39" customFormat="false" ht="48" hidden="false" customHeight="true" outlineLevel="0" collapsed="false">
      <c r="A39" s="1"/>
      <c r="B39" s="13" t="s">
        <v>91</v>
      </c>
      <c r="C39" s="13"/>
      <c r="D39" s="13"/>
      <c r="E39" s="13"/>
      <c r="F39" s="13"/>
    </row>
    <row r="40" customFormat="false" ht="29.25" hidden="false" customHeight="true" outlineLevel="0" collapsed="false">
      <c r="A40" s="1"/>
      <c r="B40" s="13" t="s">
        <v>92</v>
      </c>
      <c r="C40" s="13"/>
      <c r="D40" s="13"/>
      <c r="E40" s="13"/>
      <c r="F40" s="13"/>
    </row>
    <row r="41" customFormat="false" ht="48" hidden="false" customHeight="true" outlineLevel="0" collapsed="false">
      <c r="A41" s="1"/>
      <c r="B41" s="13" t="s">
        <v>93</v>
      </c>
      <c r="C41" s="13"/>
      <c r="D41" s="13"/>
      <c r="E41" s="13"/>
      <c r="F41" s="13"/>
    </row>
    <row r="42" customFormat="false" ht="29.25" hidden="false" customHeight="true" outlineLevel="0" collapsed="false">
      <c r="A42" s="1"/>
      <c r="B42" s="13" t="s">
        <v>94</v>
      </c>
      <c r="C42" s="13"/>
      <c r="D42" s="13"/>
      <c r="E42" s="13"/>
      <c r="F42" s="13"/>
    </row>
    <row r="43" customFormat="false" ht="29.25" hidden="false" customHeight="true" outlineLevel="0" collapsed="false">
      <c r="A43" s="1"/>
      <c r="B43" s="13" t="s">
        <v>95</v>
      </c>
      <c r="C43" s="13"/>
      <c r="D43" s="13"/>
      <c r="E43" s="13"/>
      <c r="F43" s="13"/>
    </row>
    <row r="44" customFormat="false" ht="29.25" hidden="false" customHeight="true" outlineLevel="0" collapsed="false">
      <c r="A44" s="1"/>
      <c r="B44" s="13" t="s">
        <v>96</v>
      </c>
      <c r="C44" s="13"/>
      <c r="D44" s="13"/>
      <c r="E44" s="13"/>
      <c r="F44" s="13"/>
    </row>
    <row r="45" customFormat="false" ht="29.25" hidden="false" customHeight="true" outlineLevel="0" collapsed="false">
      <c r="A45" s="1"/>
      <c r="B45" s="13" t="s">
        <v>97</v>
      </c>
      <c r="C45" s="13"/>
      <c r="D45" s="13"/>
      <c r="E45" s="13"/>
      <c r="F45" s="13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</row>
    <row r="47" customFormat="false" ht="30" hidden="false" customHeight="true" outlineLevel="0" collapsed="false">
      <c r="A47" s="1"/>
      <c r="B47" s="4" t="s">
        <v>98</v>
      </c>
      <c r="C47" s="4"/>
      <c r="D47" s="4"/>
      <c r="E47" s="4"/>
      <c r="F47" s="4"/>
    </row>
    <row r="48" customFormat="false" ht="24" hidden="false" customHeight="true" outlineLevel="0" collapsed="false">
      <c r="A48" s="1"/>
      <c r="B48" s="14" t="s">
        <v>99</v>
      </c>
      <c r="C48" s="15" t="s">
        <v>100</v>
      </c>
      <c r="D48" s="15"/>
      <c r="E48" s="15"/>
      <c r="F48" s="15"/>
    </row>
    <row r="49" customFormat="false" ht="24" hidden="false" customHeight="true" outlineLevel="0" collapsed="false">
      <c r="A49" s="1"/>
      <c r="B49" s="16" t="s">
        <v>101</v>
      </c>
      <c r="C49" s="15" t="s">
        <v>102</v>
      </c>
      <c r="D49" s="15"/>
      <c r="E49" s="15"/>
      <c r="F49" s="15"/>
    </row>
    <row r="50" customFormat="false" ht="24" hidden="false" customHeight="true" outlineLevel="0" collapsed="false">
      <c r="A50" s="1"/>
      <c r="B50" s="17" t="s">
        <v>103</v>
      </c>
      <c r="C50" s="15" t="s">
        <v>104</v>
      </c>
      <c r="D50" s="15"/>
      <c r="E50" s="15"/>
      <c r="F50" s="15"/>
    </row>
    <row r="51" customFormat="false" ht="24" hidden="false" customHeight="true" outlineLevel="0" collapsed="false">
      <c r="A51" s="1"/>
      <c r="B51" s="18" t="s">
        <v>105</v>
      </c>
      <c r="C51" s="15" t="s">
        <v>106</v>
      </c>
      <c r="D51" s="15"/>
      <c r="E51" s="15"/>
      <c r="F51" s="15"/>
    </row>
    <row r="52" customFormat="false" ht="24" hidden="false" customHeight="true" outlineLevel="0" collapsed="false">
      <c r="A52" s="1"/>
      <c r="B52" s="19" t="s">
        <v>107</v>
      </c>
      <c r="C52" s="15" t="s">
        <v>108</v>
      </c>
      <c r="D52" s="15"/>
      <c r="E52" s="15"/>
      <c r="F52" s="15"/>
    </row>
    <row r="53" customFormat="false" ht="24" hidden="false" customHeight="true" outlineLevel="0" collapsed="false">
      <c r="A53" s="1"/>
      <c r="B53" s="20" t="s">
        <v>109</v>
      </c>
      <c r="C53" s="15" t="s">
        <v>110</v>
      </c>
      <c r="D53" s="15"/>
      <c r="E53" s="15"/>
      <c r="F53" s="15"/>
    </row>
    <row r="54" customFormat="false" ht="24" hidden="false" customHeight="true" outlineLevel="0" collapsed="false">
      <c r="A54" s="1"/>
      <c r="B54" s="21" t="s">
        <v>111</v>
      </c>
      <c r="C54" s="15" t="s">
        <v>112</v>
      </c>
      <c r="D54" s="15"/>
      <c r="E54" s="15"/>
      <c r="F54" s="15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</row>
    <row r="56" customFormat="false" ht="45" hidden="false" customHeight="true" outlineLevel="0" collapsed="false">
      <c r="A56" s="1"/>
      <c r="B56" s="22" t="s">
        <v>113</v>
      </c>
      <c r="C56" s="22"/>
      <c r="D56" s="22"/>
      <c r="E56" s="22"/>
      <c r="F56" s="22"/>
    </row>
  </sheetData>
  <mergeCells count="47">
    <mergeCell ref="B2:F2"/>
    <mergeCell ref="B3:F3"/>
    <mergeCell ref="B5:F5"/>
    <mergeCell ref="B9:F9"/>
    <mergeCell ref="B20:F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2:F32"/>
    <mergeCell ref="B33:F33"/>
    <mergeCell ref="B34:F34"/>
    <mergeCell ref="B35:F35"/>
    <mergeCell ref="B36:F36"/>
    <mergeCell ref="B38:F38"/>
    <mergeCell ref="B39:F39"/>
    <mergeCell ref="B40:F40"/>
    <mergeCell ref="B41:F41"/>
    <mergeCell ref="B42:F42"/>
    <mergeCell ref="B43:F43"/>
    <mergeCell ref="B44:F44"/>
    <mergeCell ref="B45:F45"/>
    <mergeCell ref="B47:F47"/>
    <mergeCell ref="C48:F48"/>
    <mergeCell ref="C49:F49"/>
    <mergeCell ref="C50:F50"/>
    <mergeCell ref="C51:F51"/>
    <mergeCell ref="C52:F52"/>
    <mergeCell ref="C53:F53"/>
    <mergeCell ref="C54:F54"/>
    <mergeCell ref="B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U3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7" min="16" style="0" width="13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26"/>
  </cols>
  <sheetData>
    <row r="1" customFormat="false" ht="36" hidden="false" customHeight="true" outlineLevel="0" collapsed="false">
      <c r="A1" s="23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33.75" hidden="false" customHeight="true" outlineLevel="0" collapsed="false">
      <c r="A2" s="22" t="s">
        <v>114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customFormat="false" ht="24" hidden="false" customHeight="true" outlineLevel="0" collapsed="false">
      <c r="A3" s="24" t="s">
        <v>115</v>
      </c>
      <c r="B3" s="24"/>
      <c r="C3" s="24" t="s">
        <v>116</v>
      </c>
      <c r="D3" s="24"/>
      <c r="E3" s="24" t="s">
        <v>117</v>
      </c>
      <c r="F3" s="24"/>
      <c r="G3" s="24" t="s">
        <v>118</v>
      </c>
      <c r="H3" s="24"/>
      <c r="I3" s="24" t="s">
        <v>119</v>
      </c>
      <c r="J3" s="24"/>
      <c r="K3" s="24" t="s">
        <v>120</v>
      </c>
      <c r="L3" s="24"/>
      <c r="M3" s="24" t="s">
        <v>121</v>
      </c>
      <c r="N3" s="24"/>
      <c r="O3" s="24" t="s">
        <v>122</v>
      </c>
      <c r="P3" s="24"/>
      <c r="Q3" s="24" t="s">
        <v>123</v>
      </c>
      <c r="R3" s="24"/>
      <c r="S3" s="1"/>
      <c r="T3" s="1"/>
      <c r="U3" s="1"/>
    </row>
    <row r="4" customFormat="false" ht="39.75" hidden="false" customHeight="true" outlineLevel="0" collapsed="false">
      <c r="A4" s="25" t="n">
        <f aca="false">COUNTIF($A$7:$A$306,"?*")</f>
        <v>2</v>
      </c>
      <c r="B4" s="25"/>
      <c r="C4" s="25" t="n">
        <f aca="false">SUM($E$7:$E$306)</f>
        <v>1500</v>
      </c>
      <c r="D4" s="25"/>
      <c r="E4" s="25" t="n">
        <f aca="false">SUM($H$7:$H$306)</f>
        <v>885</v>
      </c>
      <c r="F4" s="25"/>
      <c r="G4" s="25" t="n">
        <f aca="false">SUM($J$7:$J$306)</f>
        <v>608</v>
      </c>
      <c r="H4" s="25"/>
      <c r="I4" s="26" t="n">
        <f aca="false">SUM($P$7:$P$306)</f>
        <v>7540</v>
      </c>
      <c r="J4" s="26"/>
      <c r="K4" s="26" t="n">
        <f aca="false">SUM($Q$7:$Q$306)</f>
        <v>7540</v>
      </c>
      <c r="L4" s="26"/>
      <c r="M4" s="25" t="n">
        <f aca="false">COUNTIF($S$7:$S$306,"待核算")+COUNTIF($S$7:$S$306,"临近截止")</f>
        <v>2</v>
      </c>
      <c r="N4" s="25"/>
      <c r="O4" s="25" t="n">
        <f aca="false">COUNTIF($S$7:$S$306,"已逾期")+COUNTIF($O$7:$O$306,"超期未收汇")+COUNTIF($O$7:$O$306,"超过收汇期限仍未销售")</f>
        <v>0</v>
      </c>
      <c r="P4" s="25"/>
      <c r="Q4" s="25" t="n">
        <f aca="false">COUNTIF($T$7:$T$306,"缺*")+COUNTIF($T$7:$T$306,"未登记")</f>
        <v>0</v>
      </c>
      <c r="R4" s="25"/>
      <c r="S4" s="1"/>
      <c r="T4" s="1"/>
      <c r="U4" s="1"/>
    </row>
    <row r="5" customFormat="false" ht="9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Format="false" ht="61.5" hidden="false" customHeight="true" outlineLevel="0" collapsed="false">
      <c r="A6" s="27" t="s">
        <v>124</v>
      </c>
      <c r="B6" s="28" t="s">
        <v>125</v>
      </c>
      <c r="C6" s="27" t="s">
        <v>126</v>
      </c>
      <c r="D6" s="27" t="s">
        <v>127</v>
      </c>
      <c r="E6" s="27" t="s">
        <v>128</v>
      </c>
      <c r="F6" s="27" t="s">
        <v>129</v>
      </c>
      <c r="G6" s="27" t="s">
        <v>130</v>
      </c>
      <c r="H6" s="27" t="s">
        <v>117</v>
      </c>
      <c r="I6" s="27" t="s">
        <v>131</v>
      </c>
      <c r="J6" s="27" t="s">
        <v>118</v>
      </c>
      <c r="K6" s="27" t="s">
        <v>132</v>
      </c>
      <c r="L6" s="27" t="s">
        <v>133</v>
      </c>
      <c r="M6" s="27" t="s">
        <v>134</v>
      </c>
      <c r="N6" s="27" t="s">
        <v>135</v>
      </c>
      <c r="O6" s="27" t="s">
        <v>136</v>
      </c>
      <c r="P6" s="27" t="s">
        <v>119</v>
      </c>
      <c r="Q6" s="27" t="s">
        <v>120</v>
      </c>
      <c r="R6" s="27" t="s">
        <v>137</v>
      </c>
      <c r="S6" s="27" t="s">
        <v>138</v>
      </c>
      <c r="T6" s="27" t="s">
        <v>139</v>
      </c>
      <c r="U6" s="27" t="s">
        <v>140</v>
      </c>
    </row>
    <row r="7" customFormat="false" ht="21.75" hidden="false" customHeight="true" outlineLevel="0" collapsed="false">
      <c r="A7" s="29" t="str">
        <f aca="false">IF(①出口报关!A4="","",①出口报关!A4)</f>
        <v>530120260000000001-1</v>
      </c>
      <c r="B7" s="29" t="str">
        <f aca="false">IF($A7="","",①出口报关!I4)</f>
        <v>DEMO-A01</v>
      </c>
      <c r="C7" s="29" t="str">
        <f aca="false">IF($A7="","",①出口报关!J4)</f>
        <v>示例商品A</v>
      </c>
      <c r="D7" s="30" t="n">
        <f aca="false">IF($A7="","",IF(①出口报关!D4="","",①出口报关!D4))</f>
        <v>46091</v>
      </c>
      <c r="E7" s="31" t="n">
        <f aca="false">IF($A7="","",N(①出口报关!L4))</f>
        <v>1000</v>
      </c>
      <c r="F7" s="31" t="n">
        <f aca="false">IF($A7="","",IF(①出口报关!Y4="","未签收",①出口报关!Y4))</f>
        <v>996</v>
      </c>
      <c r="G7" s="32" t="n">
        <f aca="false">IF(OR($A7="",NOT(ISNUMBER(F7))),"",F7-E7)</f>
        <v>-4</v>
      </c>
      <c r="H7" s="31" t="n">
        <f aca="false">IF($A7="","",SUMIFS(②销售核销!$I$4:$I$603,②销售核销!$E$4:$E$603,$A7))</f>
        <v>685</v>
      </c>
      <c r="I7" s="31" t="n">
        <f aca="false">IF($A7="","",SUMIFS(⑤库存异常!$E$4:$E$203,⑤库存异常!$B$4:$B$203,$A7))</f>
        <v>3</v>
      </c>
      <c r="J7" s="31" t="n">
        <f aca="false">IF($A7="","",IF(ISNUMBER(F7),F7,E7)-H7-I7)</f>
        <v>308</v>
      </c>
      <c r="K7" s="33" t="n">
        <f aca="false">IF(OR($A7="",N(E7)=0),"",H7/E7)</f>
        <v>0.685</v>
      </c>
      <c r="L7" s="34" t="n">
        <f aca="false">IF($A7="","",SUMIFS(②销售核销!$L$4:$L$603,②销售核销!$E$4:$E$603,$A7))</f>
        <v>12593</v>
      </c>
      <c r="M7" s="34" t="n">
        <f aca="false">IF($A7="","",SUMIFS(②销售核销!$L$4:$L$603,②销售核销!$E$4:$E$603,$A7,②销售核销!$M$4:$M$603,"已收汇"))</f>
        <v>5397</v>
      </c>
      <c r="N7" s="30" t="n">
        <f aca="false">IF(ISNUMBER(D7),DATE(YEAR(D7)+1,4,30),"")</f>
        <v>46507</v>
      </c>
      <c r="O7" s="35" t="str">
        <f aca="true">IF($A7="","",IF(N(H7)=0,IF(AND(ISNUMBER(N7),TODAY()&gt;N7),"超过收汇期限仍未销售","尚未销售"),IF(ROUND(M7,2)&gt;=ROUND(L7,2),"已售部分已收汇",IF(AND(ISNUMBER(N7),TODAY()&gt;N7),"超期未收汇","有回款待收汇"))))</f>
        <v>有回款待收汇</v>
      </c>
      <c r="P7" s="34" t="n">
        <f aca="false">IF($A7="","",SUMIFS(④退税核算!$H$4:$H$303,④退税核算!$A$4:$A$303,$A7))</f>
        <v>4680</v>
      </c>
      <c r="Q7" s="34" t="n">
        <f aca="false">IF($A7="","",SUMIFS(④退税核算!$H$4:$H$303,④退税核算!$A$4:$A$303,$A7,④退税核算!$D$4:$D$303,"未售-海外仓预退（HWC-YT）"))</f>
        <v>4680</v>
      </c>
      <c r="R7" s="30" t="n">
        <f aca="false">IF($A7="","",IF(COUNTIFS(④退税核算!$A$4:$A$303,$A7,④退税核算!$D$4:$D$303,"未售-海外仓预退（HWC-YT）",④退税核算!$I$4:$I$303,"&gt;0")=0,"",_xlfn.MINIFS(④退税核算!$J$4:$J$303,④退税核算!$A$4:$A$303,$A7,④退税核算!$D$4:$D$303,"未售-海外仓预退（HWC-YT）")))</f>
        <v>46507</v>
      </c>
      <c r="S7" s="35" t="str">
        <f aca="false">IF($A7="","",IF(COUNTIFS(④退税核算!$A$4:$A$303,$A7,④退税核算!$D$4:$D$303,"未售-海外仓预退（HWC-YT）")=0,"不涉及",IF(COUNTIFS(④退税核算!$A$4:$A$303,$A7,④退税核算!$S$4:$S$303,"已逾期*")&gt;0,"已逾期",IF(COUNTIFS(④退税核算!$A$4:$A$303,$A7,④退税核算!$S$4:$S$303,"临近*")&gt;0,"临近截止",IF(COUNTIFS(④退税核算!$A$4:$A$303,$A7,④退税核算!$S$4:$S$303,"待*")&gt;0,"待核算","已核算")))))</f>
        <v>待核算</v>
      </c>
      <c r="T7" s="35" t="str">
        <f aca="false">IF($A7="","",IFERROR(INDEX(⑥单证留存!$P$4:$P$203,MATCH(①出口报关!B4,⑥单证留存!$A$4:$A$203,0)),"未登记"))</f>
        <v>齐全</v>
      </c>
      <c r="U7" s="36" t="str">
        <f aca="false">IF($A7="","",IF(IF(OR(O7="超期未收汇",O7="超过收汇期限仍未销售")," 收汇超期","")&amp;IF(S7="已逾期"," 核算逾期","")&amp;IF(S7="临近截止"," 核算临近截止","")&amp;IF(LEFT(T7,1)="缺"," 单证"&amp;T7,"")&amp;IF(T7="未登记"," 单证未登记","")&amp;IF(AND(ISNUMBER(G7),N(G7)&lt;&gt;0)," 入仓差异"&amp;G7,"")="","正常",SUBSTITUTE(TRIM(IF(OR(O7="超期未收汇",O7="超过收汇期限仍未销售")," 收汇超期","")&amp;IF(S7="已逾期"," 核算逾期","")&amp;IF(S7="临近截止"," 核算临近截止","")&amp;IF(LEFT(T7,1)="缺"," 单证"&amp;T7,"")&amp;IF(T7="未登记"," 单证未登记","")&amp;IF(AND(ISNUMBER(G7),N(G7)&lt;&gt;0)," 入仓差异"&amp;G7,""))," ","、")))</f>
        <v>入仓差异-4</v>
      </c>
    </row>
    <row r="8" customFormat="false" ht="21.75" hidden="false" customHeight="true" outlineLevel="0" collapsed="false">
      <c r="A8" s="29" t="str">
        <f aca="false">IF(①出口报关!A5="","",①出口报关!A5)</f>
        <v>530120260000000001-2</v>
      </c>
      <c r="B8" s="29" t="str">
        <f aca="false">IF($A8="","",①出口报关!I5)</f>
        <v>DEMO-B02</v>
      </c>
      <c r="C8" s="29" t="str">
        <f aca="false">IF($A8="","",①出口报关!J5)</f>
        <v>示例商品B</v>
      </c>
      <c r="D8" s="30" t="n">
        <f aca="false">IF($A8="","",IF(①出口报关!D5="","",①出口报关!D5))</f>
        <v>46091</v>
      </c>
      <c r="E8" s="31" t="n">
        <f aca="false">IF($A8="","",N(①出口报关!L5))</f>
        <v>500</v>
      </c>
      <c r="F8" s="31" t="n">
        <f aca="false">IF($A8="","",IF(①出口报关!Y5="","未签收",①出口报关!Y5))</f>
        <v>500</v>
      </c>
      <c r="G8" s="32" t="n">
        <f aca="false">IF(OR($A8="",NOT(ISNUMBER(F8))),"",F8-E8)</f>
        <v>0</v>
      </c>
      <c r="H8" s="31" t="n">
        <f aca="false">IF($A8="","",SUMIFS(②销售核销!$I$4:$I$603,②销售核销!$E$4:$E$603,$A8))</f>
        <v>200</v>
      </c>
      <c r="I8" s="31" t="n">
        <f aca="false">IF($A8="","",SUMIFS(⑤库存异常!$E$4:$E$203,⑤库存异常!$B$4:$B$203,$A8))</f>
        <v>0</v>
      </c>
      <c r="J8" s="31" t="n">
        <f aca="false">IF($A8="","",IF(ISNUMBER(F8),F8,E8)-H8-I8)</f>
        <v>300</v>
      </c>
      <c r="K8" s="33" t="n">
        <f aca="false">IF(OR($A8="",N(E8)=0),"",H8/E8)</f>
        <v>0.4</v>
      </c>
      <c r="L8" s="34" t="n">
        <f aca="false">IF($A8="","",SUMIFS(②销售核销!$L$4:$L$603,②销售核销!$E$4:$E$603,$A8))</f>
        <v>4798</v>
      </c>
      <c r="M8" s="34" t="n">
        <f aca="false">IF($A8="","",SUMIFS(②销售核销!$L$4:$L$603,②销售核销!$E$4:$E$603,$A8,②销售核销!$M$4:$M$603,"已收汇"))</f>
        <v>4798</v>
      </c>
      <c r="N8" s="30" t="n">
        <f aca="false">IF(ISNUMBER(D8),DATE(YEAR(D8)+1,4,30),"")</f>
        <v>46507</v>
      </c>
      <c r="O8" s="35" t="str">
        <f aca="true">IF($A8="","",IF(N(H8)=0,IF(AND(ISNUMBER(N8),TODAY()&gt;N8),"超过收汇期限仍未销售","尚未销售"),IF(ROUND(M8,2)&gt;=ROUND(L8,2),"已售部分已收汇",IF(AND(ISNUMBER(N8),TODAY()&gt;N8),"超期未收汇","有回款待收汇"))))</f>
        <v>已售部分已收汇</v>
      </c>
      <c r="P8" s="34" t="n">
        <f aca="false">IF($A8="","",SUMIFS(④退税核算!$H$4:$H$303,④退税核算!$A$4:$A$303,$A8))</f>
        <v>2860</v>
      </c>
      <c r="Q8" s="34" t="n">
        <f aca="false">IF($A8="","",SUMIFS(④退税核算!$H$4:$H$303,④退税核算!$A$4:$A$303,$A8,④退税核算!$D$4:$D$303,"未售-海外仓预退（HWC-YT）"))</f>
        <v>2860</v>
      </c>
      <c r="R8" s="30" t="n">
        <f aca="false">IF($A8="","",IF(COUNTIFS(④退税核算!$A$4:$A$303,$A8,④退税核算!$D$4:$D$303,"未售-海外仓预退（HWC-YT）",④退税核算!$I$4:$I$303,"&gt;0")=0,"",_xlfn.MINIFS(④退税核算!$J$4:$J$303,④退税核算!$A$4:$A$303,$A8,④退税核算!$D$4:$D$303,"未售-海外仓预退（HWC-YT）")))</f>
        <v>46507</v>
      </c>
      <c r="S8" s="35" t="str">
        <f aca="false">IF($A8="","",IF(COUNTIFS(④退税核算!$A$4:$A$303,$A8,④退税核算!$D$4:$D$303,"未售-海外仓预退（HWC-YT）")=0,"不涉及",IF(COUNTIFS(④退税核算!$A$4:$A$303,$A8,④退税核算!$S$4:$S$303,"已逾期*")&gt;0,"已逾期",IF(COUNTIFS(④退税核算!$A$4:$A$303,$A8,④退税核算!$S$4:$S$303,"临近*")&gt;0,"临近截止",IF(COUNTIFS(④退税核算!$A$4:$A$303,$A8,④退税核算!$S$4:$S$303,"待*")&gt;0,"待核算","已核算")))))</f>
        <v>待核算</v>
      </c>
      <c r="T8" s="35" t="str">
        <f aca="false">IF($A8="","",IFERROR(INDEX(⑥单证留存!$P$4:$P$203,MATCH(①出口报关!B5,⑥单证留存!$A$4:$A$203,0)),"未登记"))</f>
        <v>齐全</v>
      </c>
      <c r="U8" s="36" t="str">
        <f aca="false">IF($A8="","",IF(IF(OR(O8="超期未收汇",O8="超过收汇期限仍未销售")," 收汇超期","")&amp;IF(S8="已逾期"," 核算逾期","")&amp;IF(S8="临近截止"," 核算临近截止","")&amp;IF(LEFT(T8,1)="缺"," 单证"&amp;T8,"")&amp;IF(T8="未登记"," 单证未登记","")&amp;IF(AND(ISNUMBER(G8),N(G8)&lt;&gt;0)," 入仓差异"&amp;G8,"")="","正常",SUBSTITUTE(TRIM(IF(OR(O8="超期未收汇",O8="超过收汇期限仍未销售")," 收汇超期","")&amp;IF(S8="已逾期"," 核算逾期","")&amp;IF(S8="临近截止"," 核算临近截止","")&amp;IF(LEFT(T8,1)="缺"," 单证"&amp;T8,"")&amp;IF(T8="未登记"," 单证未登记","")&amp;IF(AND(ISNUMBER(G8),N(G8)&lt;&gt;0)," 入仓差异"&amp;G8,""))," ","、")))</f>
        <v>正常</v>
      </c>
    </row>
    <row r="9" customFormat="false" ht="21.75" hidden="false" customHeight="true" outlineLevel="0" collapsed="false">
      <c r="A9" s="29" t="str">
        <f aca="false">IF(①出口报关!A6="","",①出口报关!A6)</f>
        <v/>
      </c>
      <c r="B9" s="29" t="str">
        <f aca="false">IF($A9="","",①出口报关!I6)</f>
        <v/>
      </c>
      <c r="C9" s="29" t="str">
        <f aca="false">IF($A9="","",①出口报关!J6)</f>
        <v/>
      </c>
      <c r="D9" s="30" t="str">
        <f aca="false">IF($A9="","",IF(①出口报关!D6="","",①出口报关!D6))</f>
        <v/>
      </c>
      <c r="E9" s="31" t="str">
        <f aca="false">IF($A9="","",N(①出口报关!L6))</f>
        <v/>
      </c>
      <c r="F9" s="31" t="str">
        <f aca="false">IF($A9="","",IF(①出口报关!Y6="","未签收",①出口报关!Y6))</f>
        <v/>
      </c>
      <c r="G9" s="32" t="str">
        <f aca="false">IF(OR($A9="",NOT(ISNUMBER(F9))),"",F9-E9)</f>
        <v/>
      </c>
      <c r="H9" s="31" t="str">
        <f aca="false">IF($A9="","",SUMIFS(②销售核销!$I$4:$I$603,②销售核销!$E$4:$E$603,$A9))</f>
        <v/>
      </c>
      <c r="I9" s="31" t="str">
        <f aca="false">IF($A9="","",SUMIFS(⑤库存异常!$E$4:$E$203,⑤库存异常!$B$4:$B$203,$A9))</f>
        <v/>
      </c>
      <c r="J9" s="31" t="str">
        <f aca="false">IF($A9="","",IF(ISNUMBER(F9),F9,E9)-H9-I9)</f>
        <v/>
      </c>
      <c r="K9" s="33" t="str">
        <f aca="false">IF(OR($A9="",N(E9)=0),"",H9/E9)</f>
        <v/>
      </c>
      <c r="L9" s="34" t="str">
        <f aca="false">IF($A9="","",SUMIFS(②销售核销!$L$4:$L$603,②销售核销!$E$4:$E$603,$A9))</f>
        <v/>
      </c>
      <c r="M9" s="34" t="str">
        <f aca="false">IF($A9="","",SUMIFS(②销售核销!$L$4:$L$603,②销售核销!$E$4:$E$603,$A9,②销售核销!$M$4:$M$603,"已收汇"))</f>
        <v/>
      </c>
      <c r="N9" s="30" t="str">
        <f aca="false">IF(ISNUMBER(D9),DATE(YEAR(D9)+1,4,30),"")</f>
        <v/>
      </c>
      <c r="O9" s="35" t="str">
        <f aca="true">IF($A9="","",IF(N(H9)=0,IF(AND(ISNUMBER(N9),TODAY()&gt;N9),"超过收汇期限仍未销售","尚未销售"),IF(ROUND(M9,2)&gt;=ROUND(L9,2),"已售部分已收汇",IF(AND(ISNUMBER(N9),TODAY()&gt;N9),"超期未收汇","有回款待收汇"))))</f>
        <v/>
      </c>
      <c r="P9" s="34" t="str">
        <f aca="false">IF($A9="","",SUMIFS(④退税核算!$H$4:$H$303,④退税核算!$A$4:$A$303,$A9))</f>
        <v/>
      </c>
      <c r="Q9" s="34" t="str">
        <f aca="false">IF($A9="","",SUMIFS(④退税核算!$H$4:$H$303,④退税核算!$A$4:$A$303,$A9,④退税核算!$D$4:$D$303,"未售-海外仓预退（HWC-YT）"))</f>
        <v/>
      </c>
      <c r="R9" s="30" t="str">
        <f aca="false">IF($A9="","",IF(COUNTIFS(④退税核算!$A$4:$A$303,$A9,④退税核算!$D$4:$D$303,"未售-海外仓预退（HWC-YT）",④退税核算!$I$4:$I$303,"&gt;0")=0,"",_xlfn.MINIFS(④退税核算!$J$4:$J$303,④退税核算!$A$4:$A$303,$A9,④退税核算!$D$4:$D$303,"未售-海外仓预退（HWC-YT）")))</f>
        <v/>
      </c>
      <c r="S9" s="35" t="str">
        <f aca="false">IF($A9="","",IF(COUNTIFS(④退税核算!$A$4:$A$303,$A9,④退税核算!$D$4:$D$303,"未售-海外仓预退（HWC-YT）")=0,"不涉及",IF(COUNTIFS(④退税核算!$A$4:$A$303,$A9,④退税核算!$S$4:$S$303,"已逾期*")&gt;0,"已逾期",IF(COUNTIFS(④退税核算!$A$4:$A$303,$A9,④退税核算!$S$4:$S$303,"临近*")&gt;0,"临近截止",IF(COUNTIFS(④退税核算!$A$4:$A$303,$A9,④退税核算!$S$4:$S$303,"待*")&gt;0,"待核算","已核算")))))</f>
        <v/>
      </c>
      <c r="T9" s="35" t="str">
        <f aca="false">IF($A9="","",IFERROR(INDEX(⑥单证留存!$P$4:$P$203,MATCH(①出口报关!B6,⑥单证留存!$A$4:$A$203,0)),"未登记"))</f>
        <v/>
      </c>
      <c r="U9" s="36" t="str">
        <f aca="false">IF($A9="","",IF(IF(OR(O9="超期未收汇",O9="超过收汇期限仍未销售")," 收汇超期","")&amp;IF(S9="已逾期"," 核算逾期","")&amp;IF(S9="临近截止"," 核算临近截止","")&amp;IF(LEFT(T9,1)="缺"," 单证"&amp;T9,"")&amp;IF(T9="未登记"," 单证未登记","")&amp;IF(AND(ISNUMBER(G9),N(G9)&lt;&gt;0)," 入仓差异"&amp;G9,"")="","正常",SUBSTITUTE(TRIM(IF(OR(O9="超期未收汇",O9="超过收汇期限仍未销售")," 收汇超期","")&amp;IF(S9="已逾期"," 核算逾期","")&amp;IF(S9="临近截止"," 核算临近截止","")&amp;IF(LEFT(T9,1)="缺"," 单证"&amp;T9,"")&amp;IF(T9="未登记"," 单证未登记","")&amp;IF(AND(ISNUMBER(G9),N(G9)&lt;&gt;0)," 入仓差异"&amp;G9,""))," ","、")))</f>
        <v/>
      </c>
    </row>
    <row r="10" customFormat="false" ht="21.75" hidden="false" customHeight="true" outlineLevel="0" collapsed="false">
      <c r="A10" s="29" t="str">
        <f aca="false">IF(①出口报关!A7="","",①出口报关!A7)</f>
        <v/>
      </c>
      <c r="B10" s="29" t="str">
        <f aca="false">IF($A10="","",①出口报关!I7)</f>
        <v/>
      </c>
      <c r="C10" s="29" t="str">
        <f aca="false">IF($A10="","",①出口报关!J7)</f>
        <v/>
      </c>
      <c r="D10" s="30" t="str">
        <f aca="false">IF($A10="","",IF(①出口报关!D7="","",①出口报关!D7))</f>
        <v/>
      </c>
      <c r="E10" s="31" t="str">
        <f aca="false">IF($A10="","",N(①出口报关!L7))</f>
        <v/>
      </c>
      <c r="F10" s="31" t="str">
        <f aca="false">IF($A10="","",IF(①出口报关!Y7="","未签收",①出口报关!Y7))</f>
        <v/>
      </c>
      <c r="G10" s="32" t="str">
        <f aca="false">IF(OR($A10="",NOT(ISNUMBER(F10))),"",F10-E10)</f>
        <v/>
      </c>
      <c r="H10" s="31" t="str">
        <f aca="false">IF($A10="","",SUMIFS(②销售核销!$I$4:$I$603,②销售核销!$E$4:$E$603,$A10))</f>
        <v/>
      </c>
      <c r="I10" s="31" t="str">
        <f aca="false">IF($A10="","",SUMIFS(⑤库存异常!$E$4:$E$203,⑤库存异常!$B$4:$B$203,$A10))</f>
        <v/>
      </c>
      <c r="J10" s="31" t="str">
        <f aca="false">IF($A10="","",IF(ISNUMBER(F10),F10,E10)-H10-I10)</f>
        <v/>
      </c>
      <c r="K10" s="33" t="str">
        <f aca="false">IF(OR($A10="",N(E10)=0),"",H10/E10)</f>
        <v/>
      </c>
      <c r="L10" s="34" t="str">
        <f aca="false">IF($A10="","",SUMIFS(②销售核销!$L$4:$L$603,②销售核销!$E$4:$E$603,$A10))</f>
        <v/>
      </c>
      <c r="M10" s="34" t="str">
        <f aca="false">IF($A10="","",SUMIFS(②销售核销!$L$4:$L$603,②销售核销!$E$4:$E$603,$A10,②销售核销!$M$4:$M$603,"已收汇"))</f>
        <v/>
      </c>
      <c r="N10" s="30" t="str">
        <f aca="false">IF(ISNUMBER(D10),DATE(YEAR(D10)+1,4,30),"")</f>
        <v/>
      </c>
      <c r="O10" s="35" t="str">
        <f aca="true">IF($A10="","",IF(N(H10)=0,IF(AND(ISNUMBER(N10),TODAY()&gt;N10),"超过收汇期限仍未销售","尚未销售"),IF(ROUND(M10,2)&gt;=ROUND(L10,2),"已售部分已收汇",IF(AND(ISNUMBER(N10),TODAY()&gt;N10),"超期未收汇","有回款待收汇"))))</f>
        <v/>
      </c>
      <c r="P10" s="34" t="str">
        <f aca="false">IF($A10="","",SUMIFS(④退税核算!$H$4:$H$303,④退税核算!$A$4:$A$303,$A10))</f>
        <v/>
      </c>
      <c r="Q10" s="34" t="str">
        <f aca="false">IF($A10="","",SUMIFS(④退税核算!$H$4:$H$303,④退税核算!$A$4:$A$303,$A10,④退税核算!$D$4:$D$303,"未售-海外仓预退（HWC-YT）"))</f>
        <v/>
      </c>
      <c r="R10" s="30" t="str">
        <f aca="false">IF($A10="","",IF(COUNTIFS(④退税核算!$A$4:$A$303,$A10,④退税核算!$D$4:$D$303,"未售-海外仓预退（HWC-YT）",④退税核算!$I$4:$I$303,"&gt;0")=0,"",_xlfn.MINIFS(④退税核算!$J$4:$J$303,④退税核算!$A$4:$A$303,$A10,④退税核算!$D$4:$D$303,"未售-海外仓预退（HWC-YT）")))</f>
        <v/>
      </c>
      <c r="S10" s="35" t="str">
        <f aca="false">IF($A10="","",IF(COUNTIFS(④退税核算!$A$4:$A$303,$A10,④退税核算!$D$4:$D$303,"未售-海外仓预退（HWC-YT）")=0,"不涉及",IF(COUNTIFS(④退税核算!$A$4:$A$303,$A10,④退税核算!$S$4:$S$303,"已逾期*")&gt;0,"已逾期",IF(COUNTIFS(④退税核算!$A$4:$A$303,$A10,④退税核算!$S$4:$S$303,"临近*")&gt;0,"临近截止",IF(COUNTIFS(④退税核算!$A$4:$A$303,$A10,④退税核算!$S$4:$S$303,"待*")&gt;0,"待核算","已核算")))))</f>
        <v/>
      </c>
      <c r="T10" s="35" t="str">
        <f aca="false">IF($A10="","",IFERROR(INDEX(⑥单证留存!$P$4:$P$203,MATCH(①出口报关!B7,⑥单证留存!$A$4:$A$203,0)),"未登记"))</f>
        <v/>
      </c>
      <c r="U10" s="36" t="str">
        <f aca="false">IF($A10="","",IF(IF(OR(O10="超期未收汇",O10="超过收汇期限仍未销售")," 收汇超期","")&amp;IF(S10="已逾期"," 核算逾期","")&amp;IF(S10="临近截止"," 核算临近截止","")&amp;IF(LEFT(T10,1)="缺"," 单证"&amp;T10,"")&amp;IF(T10="未登记"," 单证未登记","")&amp;IF(AND(ISNUMBER(G10),N(G10)&lt;&gt;0)," 入仓差异"&amp;G10,"")="","正常",SUBSTITUTE(TRIM(IF(OR(O10="超期未收汇",O10="超过收汇期限仍未销售")," 收汇超期","")&amp;IF(S10="已逾期"," 核算逾期","")&amp;IF(S10="临近截止"," 核算临近截止","")&amp;IF(LEFT(T10,1)="缺"," 单证"&amp;T10,"")&amp;IF(T10="未登记"," 单证未登记","")&amp;IF(AND(ISNUMBER(G10),N(G10)&lt;&gt;0)," 入仓差异"&amp;G10,""))," ","、")))</f>
        <v/>
      </c>
    </row>
    <row r="11" customFormat="false" ht="21.75" hidden="false" customHeight="true" outlineLevel="0" collapsed="false">
      <c r="A11" s="29" t="str">
        <f aca="false">IF(①出口报关!A8="","",①出口报关!A8)</f>
        <v/>
      </c>
      <c r="B11" s="29" t="str">
        <f aca="false">IF($A11="","",①出口报关!I8)</f>
        <v/>
      </c>
      <c r="C11" s="29" t="str">
        <f aca="false">IF($A11="","",①出口报关!J8)</f>
        <v/>
      </c>
      <c r="D11" s="30" t="str">
        <f aca="false">IF($A11="","",IF(①出口报关!D8="","",①出口报关!D8))</f>
        <v/>
      </c>
      <c r="E11" s="31" t="str">
        <f aca="false">IF($A11="","",N(①出口报关!L8))</f>
        <v/>
      </c>
      <c r="F11" s="31" t="str">
        <f aca="false">IF($A11="","",IF(①出口报关!Y8="","未签收",①出口报关!Y8))</f>
        <v/>
      </c>
      <c r="G11" s="32" t="str">
        <f aca="false">IF(OR($A11="",NOT(ISNUMBER(F11))),"",F11-E11)</f>
        <v/>
      </c>
      <c r="H11" s="31" t="str">
        <f aca="false">IF($A11="","",SUMIFS(②销售核销!$I$4:$I$603,②销售核销!$E$4:$E$603,$A11))</f>
        <v/>
      </c>
      <c r="I11" s="31" t="str">
        <f aca="false">IF($A11="","",SUMIFS(⑤库存异常!$E$4:$E$203,⑤库存异常!$B$4:$B$203,$A11))</f>
        <v/>
      </c>
      <c r="J11" s="31" t="str">
        <f aca="false">IF($A11="","",IF(ISNUMBER(F11),F11,E11)-H11-I11)</f>
        <v/>
      </c>
      <c r="K11" s="33" t="str">
        <f aca="false">IF(OR($A11="",N(E11)=0),"",H11/E11)</f>
        <v/>
      </c>
      <c r="L11" s="34" t="str">
        <f aca="false">IF($A11="","",SUMIFS(②销售核销!$L$4:$L$603,②销售核销!$E$4:$E$603,$A11))</f>
        <v/>
      </c>
      <c r="M11" s="34" t="str">
        <f aca="false">IF($A11="","",SUMIFS(②销售核销!$L$4:$L$603,②销售核销!$E$4:$E$603,$A11,②销售核销!$M$4:$M$603,"已收汇"))</f>
        <v/>
      </c>
      <c r="N11" s="30" t="str">
        <f aca="false">IF(ISNUMBER(D11),DATE(YEAR(D11)+1,4,30),"")</f>
        <v/>
      </c>
      <c r="O11" s="35" t="str">
        <f aca="true">IF($A11="","",IF(N(H11)=0,IF(AND(ISNUMBER(N11),TODAY()&gt;N11),"超过收汇期限仍未销售","尚未销售"),IF(ROUND(M11,2)&gt;=ROUND(L11,2),"已售部分已收汇",IF(AND(ISNUMBER(N11),TODAY()&gt;N11),"超期未收汇","有回款待收汇"))))</f>
        <v/>
      </c>
      <c r="P11" s="34" t="str">
        <f aca="false">IF($A11="","",SUMIFS(④退税核算!$H$4:$H$303,④退税核算!$A$4:$A$303,$A11))</f>
        <v/>
      </c>
      <c r="Q11" s="34" t="str">
        <f aca="false">IF($A11="","",SUMIFS(④退税核算!$H$4:$H$303,④退税核算!$A$4:$A$303,$A11,④退税核算!$D$4:$D$303,"未售-海外仓预退（HWC-YT）"))</f>
        <v/>
      </c>
      <c r="R11" s="30" t="str">
        <f aca="false">IF($A11="","",IF(COUNTIFS(④退税核算!$A$4:$A$303,$A11,④退税核算!$D$4:$D$303,"未售-海外仓预退（HWC-YT）",④退税核算!$I$4:$I$303,"&gt;0")=0,"",_xlfn.MINIFS(④退税核算!$J$4:$J$303,④退税核算!$A$4:$A$303,$A11,④退税核算!$D$4:$D$303,"未售-海外仓预退（HWC-YT）")))</f>
        <v/>
      </c>
      <c r="S11" s="35" t="str">
        <f aca="false">IF($A11="","",IF(COUNTIFS(④退税核算!$A$4:$A$303,$A11,④退税核算!$D$4:$D$303,"未售-海外仓预退（HWC-YT）")=0,"不涉及",IF(COUNTIFS(④退税核算!$A$4:$A$303,$A11,④退税核算!$S$4:$S$303,"已逾期*")&gt;0,"已逾期",IF(COUNTIFS(④退税核算!$A$4:$A$303,$A11,④退税核算!$S$4:$S$303,"临近*")&gt;0,"临近截止",IF(COUNTIFS(④退税核算!$A$4:$A$303,$A11,④退税核算!$S$4:$S$303,"待*")&gt;0,"待核算","已核算")))))</f>
        <v/>
      </c>
      <c r="T11" s="35" t="str">
        <f aca="false">IF($A11="","",IFERROR(INDEX(⑥单证留存!$P$4:$P$203,MATCH(①出口报关!B8,⑥单证留存!$A$4:$A$203,0)),"未登记"))</f>
        <v/>
      </c>
      <c r="U11" s="36" t="str">
        <f aca="false">IF($A11="","",IF(IF(OR(O11="超期未收汇",O11="超过收汇期限仍未销售")," 收汇超期","")&amp;IF(S11="已逾期"," 核算逾期","")&amp;IF(S11="临近截止"," 核算临近截止","")&amp;IF(LEFT(T11,1)="缺"," 单证"&amp;T11,"")&amp;IF(T11="未登记"," 单证未登记","")&amp;IF(AND(ISNUMBER(G11),N(G11)&lt;&gt;0)," 入仓差异"&amp;G11,"")="","正常",SUBSTITUTE(TRIM(IF(OR(O11="超期未收汇",O11="超过收汇期限仍未销售")," 收汇超期","")&amp;IF(S11="已逾期"," 核算逾期","")&amp;IF(S11="临近截止"," 核算临近截止","")&amp;IF(LEFT(T11,1)="缺"," 单证"&amp;T11,"")&amp;IF(T11="未登记"," 单证未登记","")&amp;IF(AND(ISNUMBER(G11),N(G11)&lt;&gt;0)," 入仓差异"&amp;G11,""))," ","、")))</f>
        <v/>
      </c>
    </row>
    <row r="12" customFormat="false" ht="21.75" hidden="false" customHeight="true" outlineLevel="0" collapsed="false">
      <c r="A12" s="29" t="str">
        <f aca="false">IF(①出口报关!A9="","",①出口报关!A9)</f>
        <v/>
      </c>
      <c r="B12" s="29" t="str">
        <f aca="false">IF($A12="","",①出口报关!I9)</f>
        <v/>
      </c>
      <c r="C12" s="29" t="str">
        <f aca="false">IF($A12="","",①出口报关!J9)</f>
        <v/>
      </c>
      <c r="D12" s="30" t="str">
        <f aca="false">IF($A12="","",IF(①出口报关!D9="","",①出口报关!D9))</f>
        <v/>
      </c>
      <c r="E12" s="31" t="str">
        <f aca="false">IF($A12="","",N(①出口报关!L9))</f>
        <v/>
      </c>
      <c r="F12" s="31" t="str">
        <f aca="false">IF($A12="","",IF(①出口报关!Y9="","未签收",①出口报关!Y9))</f>
        <v/>
      </c>
      <c r="G12" s="32" t="str">
        <f aca="false">IF(OR($A12="",NOT(ISNUMBER(F12))),"",F12-E12)</f>
        <v/>
      </c>
      <c r="H12" s="31" t="str">
        <f aca="false">IF($A12="","",SUMIFS(②销售核销!$I$4:$I$603,②销售核销!$E$4:$E$603,$A12))</f>
        <v/>
      </c>
      <c r="I12" s="31" t="str">
        <f aca="false">IF($A12="","",SUMIFS(⑤库存异常!$E$4:$E$203,⑤库存异常!$B$4:$B$203,$A12))</f>
        <v/>
      </c>
      <c r="J12" s="31" t="str">
        <f aca="false">IF($A12="","",IF(ISNUMBER(F12),F12,E12)-H12-I12)</f>
        <v/>
      </c>
      <c r="K12" s="33" t="str">
        <f aca="false">IF(OR($A12="",N(E12)=0),"",H12/E12)</f>
        <v/>
      </c>
      <c r="L12" s="34" t="str">
        <f aca="false">IF($A12="","",SUMIFS(②销售核销!$L$4:$L$603,②销售核销!$E$4:$E$603,$A12))</f>
        <v/>
      </c>
      <c r="M12" s="34" t="str">
        <f aca="false">IF($A12="","",SUMIFS(②销售核销!$L$4:$L$603,②销售核销!$E$4:$E$603,$A12,②销售核销!$M$4:$M$603,"已收汇"))</f>
        <v/>
      </c>
      <c r="N12" s="30" t="str">
        <f aca="false">IF(ISNUMBER(D12),DATE(YEAR(D12)+1,4,30),"")</f>
        <v/>
      </c>
      <c r="O12" s="35" t="str">
        <f aca="true">IF($A12="","",IF(N(H12)=0,IF(AND(ISNUMBER(N12),TODAY()&gt;N12),"超过收汇期限仍未销售","尚未销售"),IF(ROUND(M12,2)&gt;=ROUND(L12,2),"已售部分已收汇",IF(AND(ISNUMBER(N12),TODAY()&gt;N12),"超期未收汇","有回款待收汇"))))</f>
        <v/>
      </c>
      <c r="P12" s="34" t="str">
        <f aca="false">IF($A12="","",SUMIFS(④退税核算!$H$4:$H$303,④退税核算!$A$4:$A$303,$A12))</f>
        <v/>
      </c>
      <c r="Q12" s="34" t="str">
        <f aca="false">IF($A12="","",SUMIFS(④退税核算!$H$4:$H$303,④退税核算!$A$4:$A$303,$A12,④退税核算!$D$4:$D$303,"未售-海外仓预退（HWC-YT）"))</f>
        <v/>
      </c>
      <c r="R12" s="30" t="str">
        <f aca="false">IF($A12="","",IF(COUNTIFS(④退税核算!$A$4:$A$303,$A12,④退税核算!$D$4:$D$303,"未售-海外仓预退（HWC-YT）",④退税核算!$I$4:$I$303,"&gt;0")=0,"",_xlfn.MINIFS(④退税核算!$J$4:$J$303,④退税核算!$A$4:$A$303,$A12,④退税核算!$D$4:$D$303,"未售-海外仓预退（HWC-YT）")))</f>
        <v/>
      </c>
      <c r="S12" s="35" t="str">
        <f aca="false">IF($A12="","",IF(COUNTIFS(④退税核算!$A$4:$A$303,$A12,④退税核算!$D$4:$D$303,"未售-海外仓预退（HWC-YT）")=0,"不涉及",IF(COUNTIFS(④退税核算!$A$4:$A$303,$A12,④退税核算!$S$4:$S$303,"已逾期*")&gt;0,"已逾期",IF(COUNTIFS(④退税核算!$A$4:$A$303,$A12,④退税核算!$S$4:$S$303,"临近*")&gt;0,"临近截止",IF(COUNTIFS(④退税核算!$A$4:$A$303,$A12,④退税核算!$S$4:$S$303,"待*")&gt;0,"待核算","已核算")))))</f>
        <v/>
      </c>
      <c r="T12" s="35" t="str">
        <f aca="false">IF($A12="","",IFERROR(INDEX(⑥单证留存!$P$4:$P$203,MATCH(①出口报关!B9,⑥单证留存!$A$4:$A$203,0)),"未登记"))</f>
        <v/>
      </c>
      <c r="U12" s="36" t="str">
        <f aca="false">IF($A12="","",IF(IF(OR(O12="超期未收汇",O12="超过收汇期限仍未销售")," 收汇超期","")&amp;IF(S12="已逾期"," 核算逾期","")&amp;IF(S12="临近截止"," 核算临近截止","")&amp;IF(LEFT(T12,1)="缺"," 单证"&amp;T12,"")&amp;IF(T12="未登记"," 单证未登记","")&amp;IF(AND(ISNUMBER(G12),N(G12)&lt;&gt;0)," 入仓差异"&amp;G12,"")="","正常",SUBSTITUTE(TRIM(IF(OR(O12="超期未收汇",O12="超过收汇期限仍未销售")," 收汇超期","")&amp;IF(S12="已逾期"," 核算逾期","")&amp;IF(S12="临近截止"," 核算临近截止","")&amp;IF(LEFT(T12,1)="缺"," 单证"&amp;T12,"")&amp;IF(T12="未登记"," 单证未登记","")&amp;IF(AND(ISNUMBER(G12),N(G12)&lt;&gt;0)," 入仓差异"&amp;G12,""))," ","、")))</f>
        <v/>
      </c>
    </row>
    <row r="13" customFormat="false" ht="21.75" hidden="false" customHeight="true" outlineLevel="0" collapsed="false">
      <c r="A13" s="29" t="str">
        <f aca="false">IF(①出口报关!A10="","",①出口报关!A10)</f>
        <v/>
      </c>
      <c r="B13" s="29" t="str">
        <f aca="false">IF($A13="","",①出口报关!I10)</f>
        <v/>
      </c>
      <c r="C13" s="29" t="str">
        <f aca="false">IF($A13="","",①出口报关!J10)</f>
        <v/>
      </c>
      <c r="D13" s="30" t="str">
        <f aca="false">IF($A13="","",IF(①出口报关!D10="","",①出口报关!D10))</f>
        <v/>
      </c>
      <c r="E13" s="31" t="str">
        <f aca="false">IF($A13="","",N(①出口报关!L10))</f>
        <v/>
      </c>
      <c r="F13" s="31" t="str">
        <f aca="false">IF($A13="","",IF(①出口报关!Y10="","未签收",①出口报关!Y10))</f>
        <v/>
      </c>
      <c r="G13" s="32" t="str">
        <f aca="false">IF(OR($A13="",NOT(ISNUMBER(F13))),"",F13-E13)</f>
        <v/>
      </c>
      <c r="H13" s="31" t="str">
        <f aca="false">IF($A13="","",SUMIFS(②销售核销!$I$4:$I$603,②销售核销!$E$4:$E$603,$A13))</f>
        <v/>
      </c>
      <c r="I13" s="31" t="str">
        <f aca="false">IF($A13="","",SUMIFS(⑤库存异常!$E$4:$E$203,⑤库存异常!$B$4:$B$203,$A13))</f>
        <v/>
      </c>
      <c r="J13" s="31" t="str">
        <f aca="false">IF($A13="","",IF(ISNUMBER(F13),F13,E13)-H13-I13)</f>
        <v/>
      </c>
      <c r="K13" s="33" t="str">
        <f aca="false">IF(OR($A13="",N(E13)=0),"",H13/E13)</f>
        <v/>
      </c>
      <c r="L13" s="34" t="str">
        <f aca="false">IF($A13="","",SUMIFS(②销售核销!$L$4:$L$603,②销售核销!$E$4:$E$603,$A13))</f>
        <v/>
      </c>
      <c r="M13" s="34" t="str">
        <f aca="false">IF($A13="","",SUMIFS(②销售核销!$L$4:$L$603,②销售核销!$E$4:$E$603,$A13,②销售核销!$M$4:$M$603,"已收汇"))</f>
        <v/>
      </c>
      <c r="N13" s="30" t="str">
        <f aca="false">IF(ISNUMBER(D13),DATE(YEAR(D13)+1,4,30),"")</f>
        <v/>
      </c>
      <c r="O13" s="35" t="str">
        <f aca="true">IF($A13="","",IF(N(H13)=0,IF(AND(ISNUMBER(N13),TODAY()&gt;N13),"超过收汇期限仍未销售","尚未销售"),IF(ROUND(M13,2)&gt;=ROUND(L13,2),"已售部分已收汇",IF(AND(ISNUMBER(N13),TODAY()&gt;N13),"超期未收汇","有回款待收汇"))))</f>
        <v/>
      </c>
      <c r="P13" s="34" t="str">
        <f aca="false">IF($A13="","",SUMIFS(④退税核算!$H$4:$H$303,④退税核算!$A$4:$A$303,$A13))</f>
        <v/>
      </c>
      <c r="Q13" s="34" t="str">
        <f aca="false">IF($A13="","",SUMIFS(④退税核算!$H$4:$H$303,④退税核算!$A$4:$A$303,$A13,④退税核算!$D$4:$D$303,"未售-海外仓预退（HWC-YT）"))</f>
        <v/>
      </c>
      <c r="R13" s="30" t="str">
        <f aca="false">IF($A13="","",IF(COUNTIFS(④退税核算!$A$4:$A$303,$A13,④退税核算!$D$4:$D$303,"未售-海外仓预退（HWC-YT）",④退税核算!$I$4:$I$303,"&gt;0")=0,"",_xlfn.MINIFS(④退税核算!$J$4:$J$303,④退税核算!$A$4:$A$303,$A13,④退税核算!$D$4:$D$303,"未售-海外仓预退（HWC-YT）")))</f>
        <v/>
      </c>
      <c r="S13" s="35" t="str">
        <f aca="false">IF($A13="","",IF(COUNTIFS(④退税核算!$A$4:$A$303,$A13,④退税核算!$D$4:$D$303,"未售-海外仓预退（HWC-YT）")=0,"不涉及",IF(COUNTIFS(④退税核算!$A$4:$A$303,$A13,④退税核算!$S$4:$S$303,"已逾期*")&gt;0,"已逾期",IF(COUNTIFS(④退税核算!$A$4:$A$303,$A13,④退税核算!$S$4:$S$303,"临近*")&gt;0,"临近截止",IF(COUNTIFS(④退税核算!$A$4:$A$303,$A13,④退税核算!$S$4:$S$303,"待*")&gt;0,"待核算","已核算")))))</f>
        <v/>
      </c>
      <c r="T13" s="35" t="str">
        <f aca="false">IF($A13="","",IFERROR(INDEX(⑥单证留存!$P$4:$P$203,MATCH(①出口报关!B10,⑥单证留存!$A$4:$A$203,0)),"未登记"))</f>
        <v/>
      </c>
      <c r="U13" s="36" t="str">
        <f aca="false">IF($A13="","",IF(IF(OR(O13="超期未收汇",O13="超过收汇期限仍未销售")," 收汇超期","")&amp;IF(S13="已逾期"," 核算逾期","")&amp;IF(S13="临近截止"," 核算临近截止","")&amp;IF(LEFT(T13,1)="缺"," 单证"&amp;T13,"")&amp;IF(T13="未登记"," 单证未登记","")&amp;IF(AND(ISNUMBER(G13),N(G13)&lt;&gt;0)," 入仓差异"&amp;G13,"")="","正常",SUBSTITUTE(TRIM(IF(OR(O13="超期未收汇",O13="超过收汇期限仍未销售")," 收汇超期","")&amp;IF(S13="已逾期"," 核算逾期","")&amp;IF(S13="临近截止"," 核算临近截止","")&amp;IF(LEFT(T13,1)="缺"," 单证"&amp;T13,"")&amp;IF(T13="未登记"," 单证未登记","")&amp;IF(AND(ISNUMBER(G13),N(G13)&lt;&gt;0)," 入仓差异"&amp;G13,""))," ","、")))</f>
        <v/>
      </c>
    </row>
    <row r="14" customFormat="false" ht="21.75" hidden="false" customHeight="true" outlineLevel="0" collapsed="false">
      <c r="A14" s="29" t="str">
        <f aca="false">IF(①出口报关!A11="","",①出口报关!A11)</f>
        <v/>
      </c>
      <c r="B14" s="29" t="str">
        <f aca="false">IF($A14="","",①出口报关!I11)</f>
        <v/>
      </c>
      <c r="C14" s="29" t="str">
        <f aca="false">IF($A14="","",①出口报关!J11)</f>
        <v/>
      </c>
      <c r="D14" s="30" t="str">
        <f aca="false">IF($A14="","",IF(①出口报关!D11="","",①出口报关!D11))</f>
        <v/>
      </c>
      <c r="E14" s="31" t="str">
        <f aca="false">IF($A14="","",N(①出口报关!L11))</f>
        <v/>
      </c>
      <c r="F14" s="31" t="str">
        <f aca="false">IF($A14="","",IF(①出口报关!Y11="","未签收",①出口报关!Y11))</f>
        <v/>
      </c>
      <c r="G14" s="32" t="str">
        <f aca="false">IF(OR($A14="",NOT(ISNUMBER(F14))),"",F14-E14)</f>
        <v/>
      </c>
      <c r="H14" s="31" t="str">
        <f aca="false">IF($A14="","",SUMIFS(②销售核销!$I$4:$I$603,②销售核销!$E$4:$E$603,$A14))</f>
        <v/>
      </c>
      <c r="I14" s="31" t="str">
        <f aca="false">IF($A14="","",SUMIFS(⑤库存异常!$E$4:$E$203,⑤库存异常!$B$4:$B$203,$A14))</f>
        <v/>
      </c>
      <c r="J14" s="31" t="str">
        <f aca="false">IF($A14="","",IF(ISNUMBER(F14),F14,E14)-H14-I14)</f>
        <v/>
      </c>
      <c r="K14" s="33" t="str">
        <f aca="false">IF(OR($A14="",N(E14)=0),"",H14/E14)</f>
        <v/>
      </c>
      <c r="L14" s="34" t="str">
        <f aca="false">IF($A14="","",SUMIFS(②销售核销!$L$4:$L$603,②销售核销!$E$4:$E$603,$A14))</f>
        <v/>
      </c>
      <c r="M14" s="34" t="str">
        <f aca="false">IF($A14="","",SUMIFS(②销售核销!$L$4:$L$603,②销售核销!$E$4:$E$603,$A14,②销售核销!$M$4:$M$603,"已收汇"))</f>
        <v/>
      </c>
      <c r="N14" s="30" t="str">
        <f aca="false">IF(ISNUMBER(D14),DATE(YEAR(D14)+1,4,30),"")</f>
        <v/>
      </c>
      <c r="O14" s="35" t="str">
        <f aca="true">IF($A14="","",IF(N(H14)=0,IF(AND(ISNUMBER(N14),TODAY()&gt;N14),"超过收汇期限仍未销售","尚未销售"),IF(ROUND(M14,2)&gt;=ROUND(L14,2),"已售部分已收汇",IF(AND(ISNUMBER(N14),TODAY()&gt;N14),"超期未收汇","有回款待收汇"))))</f>
        <v/>
      </c>
      <c r="P14" s="34" t="str">
        <f aca="false">IF($A14="","",SUMIFS(④退税核算!$H$4:$H$303,④退税核算!$A$4:$A$303,$A14))</f>
        <v/>
      </c>
      <c r="Q14" s="34" t="str">
        <f aca="false">IF($A14="","",SUMIFS(④退税核算!$H$4:$H$303,④退税核算!$A$4:$A$303,$A14,④退税核算!$D$4:$D$303,"未售-海外仓预退（HWC-YT）"))</f>
        <v/>
      </c>
      <c r="R14" s="30" t="str">
        <f aca="false">IF($A14="","",IF(COUNTIFS(④退税核算!$A$4:$A$303,$A14,④退税核算!$D$4:$D$303,"未售-海外仓预退（HWC-YT）",④退税核算!$I$4:$I$303,"&gt;0")=0,"",_xlfn.MINIFS(④退税核算!$J$4:$J$303,④退税核算!$A$4:$A$303,$A14,④退税核算!$D$4:$D$303,"未售-海外仓预退（HWC-YT）")))</f>
        <v/>
      </c>
      <c r="S14" s="35" t="str">
        <f aca="false">IF($A14="","",IF(COUNTIFS(④退税核算!$A$4:$A$303,$A14,④退税核算!$D$4:$D$303,"未售-海外仓预退（HWC-YT）")=0,"不涉及",IF(COUNTIFS(④退税核算!$A$4:$A$303,$A14,④退税核算!$S$4:$S$303,"已逾期*")&gt;0,"已逾期",IF(COUNTIFS(④退税核算!$A$4:$A$303,$A14,④退税核算!$S$4:$S$303,"临近*")&gt;0,"临近截止",IF(COUNTIFS(④退税核算!$A$4:$A$303,$A14,④退税核算!$S$4:$S$303,"待*")&gt;0,"待核算","已核算")))))</f>
        <v/>
      </c>
      <c r="T14" s="35" t="str">
        <f aca="false">IF($A14="","",IFERROR(INDEX(⑥单证留存!$P$4:$P$203,MATCH(①出口报关!B11,⑥单证留存!$A$4:$A$203,0)),"未登记"))</f>
        <v/>
      </c>
      <c r="U14" s="36" t="str">
        <f aca="false">IF($A14="","",IF(IF(OR(O14="超期未收汇",O14="超过收汇期限仍未销售")," 收汇超期","")&amp;IF(S14="已逾期"," 核算逾期","")&amp;IF(S14="临近截止"," 核算临近截止","")&amp;IF(LEFT(T14,1)="缺"," 单证"&amp;T14,"")&amp;IF(T14="未登记"," 单证未登记","")&amp;IF(AND(ISNUMBER(G14),N(G14)&lt;&gt;0)," 入仓差异"&amp;G14,"")="","正常",SUBSTITUTE(TRIM(IF(OR(O14="超期未收汇",O14="超过收汇期限仍未销售")," 收汇超期","")&amp;IF(S14="已逾期"," 核算逾期","")&amp;IF(S14="临近截止"," 核算临近截止","")&amp;IF(LEFT(T14,1)="缺"," 单证"&amp;T14,"")&amp;IF(T14="未登记"," 单证未登记","")&amp;IF(AND(ISNUMBER(G14),N(G14)&lt;&gt;0)," 入仓差异"&amp;G14,""))," ","、")))</f>
        <v/>
      </c>
    </row>
    <row r="15" customFormat="false" ht="21.75" hidden="false" customHeight="true" outlineLevel="0" collapsed="false">
      <c r="A15" s="29" t="str">
        <f aca="false">IF(①出口报关!A12="","",①出口报关!A12)</f>
        <v/>
      </c>
      <c r="B15" s="29" t="str">
        <f aca="false">IF($A15="","",①出口报关!I12)</f>
        <v/>
      </c>
      <c r="C15" s="29" t="str">
        <f aca="false">IF($A15="","",①出口报关!J12)</f>
        <v/>
      </c>
      <c r="D15" s="30" t="str">
        <f aca="false">IF($A15="","",IF(①出口报关!D12="","",①出口报关!D12))</f>
        <v/>
      </c>
      <c r="E15" s="31" t="str">
        <f aca="false">IF($A15="","",N(①出口报关!L12))</f>
        <v/>
      </c>
      <c r="F15" s="31" t="str">
        <f aca="false">IF($A15="","",IF(①出口报关!Y12="","未签收",①出口报关!Y12))</f>
        <v/>
      </c>
      <c r="G15" s="32" t="str">
        <f aca="false">IF(OR($A15="",NOT(ISNUMBER(F15))),"",F15-E15)</f>
        <v/>
      </c>
      <c r="H15" s="31" t="str">
        <f aca="false">IF($A15="","",SUMIFS(②销售核销!$I$4:$I$603,②销售核销!$E$4:$E$603,$A15))</f>
        <v/>
      </c>
      <c r="I15" s="31" t="str">
        <f aca="false">IF($A15="","",SUMIFS(⑤库存异常!$E$4:$E$203,⑤库存异常!$B$4:$B$203,$A15))</f>
        <v/>
      </c>
      <c r="J15" s="31" t="str">
        <f aca="false">IF($A15="","",IF(ISNUMBER(F15),F15,E15)-H15-I15)</f>
        <v/>
      </c>
      <c r="K15" s="33" t="str">
        <f aca="false">IF(OR($A15="",N(E15)=0),"",H15/E15)</f>
        <v/>
      </c>
      <c r="L15" s="34" t="str">
        <f aca="false">IF($A15="","",SUMIFS(②销售核销!$L$4:$L$603,②销售核销!$E$4:$E$603,$A15))</f>
        <v/>
      </c>
      <c r="M15" s="34" t="str">
        <f aca="false">IF($A15="","",SUMIFS(②销售核销!$L$4:$L$603,②销售核销!$E$4:$E$603,$A15,②销售核销!$M$4:$M$603,"已收汇"))</f>
        <v/>
      </c>
      <c r="N15" s="30" t="str">
        <f aca="false">IF(ISNUMBER(D15),DATE(YEAR(D15)+1,4,30),"")</f>
        <v/>
      </c>
      <c r="O15" s="35" t="str">
        <f aca="true">IF($A15="","",IF(N(H15)=0,IF(AND(ISNUMBER(N15),TODAY()&gt;N15),"超过收汇期限仍未销售","尚未销售"),IF(ROUND(M15,2)&gt;=ROUND(L15,2),"已售部分已收汇",IF(AND(ISNUMBER(N15),TODAY()&gt;N15),"超期未收汇","有回款待收汇"))))</f>
        <v/>
      </c>
      <c r="P15" s="34" t="str">
        <f aca="false">IF($A15="","",SUMIFS(④退税核算!$H$4:$H$303,④退税核算!$A$4:$A$303,$A15))</f>
        <v/>
      </c>
      <c r="Q15" s="34" t="str">
        <f aca="false">IF($A15="","",SUMIFS(④退税核算!$H$4:$H$303,④退税核算!$A$4:$A$303,$A15,④退税核算!$D$4:$D$303,"未售-海外仓预退（HWC-YT）"))</f>
        <v/>
      </c>
      <c r="R15" s="30" t="str">
        <f aca="false">IF($A15="","",IF(COUNTIFS(④退税核算!$A$4:$A$303,$A15,④退税核算!$D$4:$D$303,"未售-海外仓预退（HWC-YT）",④退税核算!$I$4:$I$303,"&gt;0")=0,"",_xlfn.MINIFS(④退税核算!$J$4:$J$303,④退税核算!$A$4:$A$303,$A15,④退税核算!$D$4:$D$303,"未售-海外仓预退（HWC-YT）")))</f>
        <v/>
      </c>
      <c r="S15" s="35" t="str">
        <f aca="false">IF($A15="","",IF(COUNTIFS(④退税核算!$A$4:$A$303,$A15,④退税核算!$D$4:$D$303,"未售-海外仓预退（HWC-YT）")=0,"不涉及",IF(COUNTIFS(④退税核算!$A$4:$A$303,$A15,④退税核算!$S$4:$S$303,"已逾期*")&gt;0,"已逾期",IF(COUNTIFS(④退税核算!$A$4:$A$303,$A15,④退税核算!$S$4:$S$303,"临近*")&gt;0,"临近截止",IF(COUNTIFS(④退税核算!$A$4:$A$303,$A15,④退税核算!$S$4:$S$303,"待*")&gt;0,"待核算","已核算")))))</f>
        <v/>
      </c>
      <c r="T15" s="35" t="str">
        <f aca="false">IF($A15="","",IFERROR(INDEX(⑥单证留存!$P$4:$P$203,MATCH(①出口报关!B12,⑥单证留存!$A$4:$A$203,0)),"未登记"))</f>
        <v/>
      </c>
      <c r="U15" s="36" t="str">
        <f aca="false">IF($A15="","",IF(IF(OR(O15="超期未收汇",O15="超过收汇期限仍未销售")," 收汇超期","")&amp;IF(S15="已逾期"," 核算逾期","")&amp;IF(S15="临近截止"," 核算临近截止","")&amp;IF(LEFT(T15,1)="缺"," 单证"&amp;T15,"")&amp;IF(T15="未登记"," 单证未登记","")&amp;IF(AND(ISNUMBER(G15),N(G15)&lt;&gt;0)," 入仓差异"&amp;G15,"")="","正常",SUBSTITUTE(TRIM(IF(OR(O15="超期未收汇",O15="超过收汇期限仍未销售")," 收汇超期","")&amp;IF(S15="已逾期"," 核算逾期","")&amp;IF(S15="临近截止"," 核算临近截止","")&amp;IF(LEFT(T15,1)="缺"," 单证"&amp;T15,"")&amp;IF(T15="未登记"," 单证未登记","")&amp;IF(AND(ISNUMBER(G15),N(G15)&lt;&gt;0)," 入仓差异"&amp;G15,""))," ","、")))</f>
        <v/>
      </c>
    </row>
    <row r="16" customFormat="false" ht="21.75" hidden="false" customHeight="true" outlineLevel="0" collapsed="false">
      <c r="A16" s="29" t="str">
        <f aca="false">IF(①出口报关!A13="","",①出口报关!A13)</f>
        <v/>
      </c>
      <c r="B16" s="29" t="str">
        <f aca="false">IF($A16="","",①出口报关!I13)</f>
        <v/>
      </c>
      <c r="C16" s="29" t="str">
        <f aca="false">IF($A16="","",①出口报关!J13)</f>
        <v/>
      </c>
      <c r="D16" s="30" t="str">
        <f aca="false">IF($A16="","",IF(①出口报关!D13="","",①出口报关!D13))</f>
        <v/>
      </c>
      <c r="E16" s="31" t="str">
        <f aca="false">IF($A16="","",N(①出口报关!L13))</f>
        <v/>
      </c>
      <c r="F16" s="31" t="str">
        <f aca="false">IF($A16="","",IF(①出口报关!Y13="","未签收",①出口报关!Y13))</f>
        <v/>
      </c>
      <c r="G16" s="32" t="str">
        <f aca="false">IF(OR($A16="",NOT(ISNUMBER(F16))),"",F16-E16)</f>
        <v/>
      </c>
      <c r="H16" s="31" t="str">
        <f aca="false">IF($A16="","",SUMIFS(②销售核销!$I$4:$I$603,②销售核销!$E$4:$E$603,$A16))</f>
        <v/>
      </c>
      <c r="I16" s="31" t="str">
        <f aca="false">IF($A16="","",SUMIFS(⑤库存异常!$E$4:$E$203,⑤库存异常!$B$4:$B$203,$A16))</f>
        <v/>
      </c>
      <c r="J16" s="31" t="str">
        <f aca="false">IF($A16="","",IF(ISNUMBER(F16),F16,E16)-H16-I16)</f>
        <v/>
      </c>
      <c r="K16" s="33" t="str">
        <f aca="false">IF(OR($A16="",N(E16)=0),"",H16/E16)</f>
        <v/>
      </c>
      <c r="L16" s="34" t="str">
        <f aca="false">IF($A16="","",SUMIFS(②销售核销!$L$4:$L$603,②销售核销!$E$4:$E$603,$A16))</f>
        <v/>
      </c>
      <c r="M16" s="34" t="str">
        <f aca="false">IF($A16="","",SUMIFS(②销售核销!$L$4:$L$603,②销售核销!$E$4:$E$603,$A16,②销售核销!$M$4:$M$603,"已收汇"))</f>
        <v/>
      </c>
      <c r="N16" s="30" t="str">
        <f aca="false">IF(ISNUMBER(D16),DATE(YEAR(D16)+1,4,30),"")</f>
        <v/>
      </c>
      <c r="O16" s="35" t="str">
        <f aca="true">IF($A16="","",IF(N(H16)=0,IF(AND(ISNUMBER(N16),TODAY()&gt;N16),"超过收汇期限仍未销售","尚未销售"),IF(ROUND(M16,2)&gt;=ROUND(L16,2),"已售部分已收汇",IF(AND(ISNUMBER(N16),TODAY()&gt;N16),"超期未收汇","有回款待收汇"))))</f>
        <v/>
      </c>
      <c r="P16" s="34" t="str">
        <f aca="false">IF($A16="","",SUMIFS(④退税核算!$H$4:$H$303,④退税核算!$A$4:$A$303,$A16))</f>
        <v/>
      </c>
      <c r="Q16" s="34" t="str">
        <f aca="false">IF($A16="","",SUMIFS(④退税核算!$H$4:$H$303,④退税核算!$A$4:$A$303,$A16,④退税核算!$D$4:$D$303,"未售-海外仓预退（HWC-YT）"))</f>
        <v/>
      </c>
      <c r="R16" s="30" t="str">
        <f aca="false">IF($A16="","",IF(COUNTIFS(④退税核算!$A$4:$A$303,$A16,④退税核算!$D$4:$D$303,"未售-海外仓预退（HWC-YT）",④退税核算!$I$4:$I$303,"&gt;0")=0,"",_xlfn.MINIFS(④退税核算!$J$4:$J$303,④退税核算!$A$4:$A$303,$A16,④退税核算!$D$4:$D$303,"未售-海外仓预退（HWC-YT）")))</f>
        <v/>
      </c>
      <c r="S16" s="35" t="str">
        <f aca="false">IF($A16="","",IF(COUNTIFS(④退税核算!$A$4:$A$303,$A16,④退税核算!$D$4:$D$303,"未售-海外仓预退（HWC-YT）")=0,"不涉及",IF(COUNTIFS(④退税核算!$A$4:$A$303,$A16,④退税核算!$S$4:$S$303,"已逾期*")&gt;0,"已逾期",IF(COUNTIFS(④退税核算!$A$4:$A$303,$A16,④退税核算!$S$4:$S$303,"临近*")&gt;0,"临近截止",IF(COUNTIFS(④退税核算!$A$4:$A$303,$A16,④退税核算!$S$4:$S$303,"待*")&gt;0,"待核算","已核算")))))</f>
        <v/>
      </c>
      <c r="T16" s="35" t="str">
        <f aca="false">IF($A16="","",IFERROR(INDEX(⑥单证留存!$P$4:$P$203,MATCH(①出口报关!B13,⑥单证留存!$A$4:$A$203,0)),"未登记"))</f>
        <v/>
      </c>
      <c r="U16" s="36" t="str">
        <f aca="false">IF($A16="","",IF(IF(OR(O16="超期未收汇",O16="超过收汇期限仍未销售")," 收汇超期","")&amp;IF(S16="已逾期"," 核算逾期","")&amp;IF(S16="临近截止"," 核算临近截止","")&amp;IF(LEFT(T16,1)="缺"," 单证"&amp;T16,"")&amp;IF(T16="未登记"," 单证未登记","")&amp;IF(AND(ISNUMBER(G16),N(G16)&lt;&gt;0)," 入仓差异"&amp;G16,"")="","正常",SUBSTITUTE(TRIM(IF(OR(O16="超期未收汇",O16="超过收汇期限仍未销售")," 收汇超期","")&amp;IF(S16="已逾期"," 核算逾期","")&amp;IF(S16="临近截止"," 核算临近截止","")&amp;IF(LEFT(T16,1)="缺"," 单证"&amp;T16,"")&amp;IF(T16="未登记"," 单证未登记","")&amp;IF(AND(ISNUMBER(G16),N(G16)&lt;&gt;0)," 入仓差异"&amp;G16,""))," ","、")))</f>
        <v/>
      </c>
    </row>
    <row r="17" customFormat="false" ht="21.75" hidden="false" customHeight="true" outlineLevel="0" collapsed="false">
      <c r="A17" s="29" t="str">
        <f aca="false">IF(①出口报关!A14="","",①出口报关!A14)</f>
        <v/>
      </c>
      <c r="B17" s="29" t="str">
        <f aca="false">IF($A17="","",①出口报关!I14)</f>
        <v/>
      </c>
      <c r="C17" s="29" t="str">
        <f aca="false">IF($A17="","",①出口报关!J14)</f>
        <v/>
      </c>
      <c r="D17" s="30" t="str">
        <f aca="false">IF($A17="","",IF(①出口报关!D14="","",①出口报关!D14))</f>
        <v/>
      </c>
      <c r="E17" s="31" t="str">
        <f aca="false">IF($A17="","",N(①出口报关!L14))</f>
        <v/>
      </c>
      <c r="F17" s="31" t="str">
        <f aca="false">IF($A17="","",IF(①出口报关!Y14="","未签收",①出口报关!Y14))</f>
        <v/>
      </c>
      <c r="G17" s="32" t="str">
        <f aca="false">IF(OR($A17="",NOT(ISNUMBER(F17))),"",F17-E17)</f>
        <v/>
      </c>
      <c r="H17" s="31" t="str">
        <f aca="false">IF($A17="","",SUMIFS(②销售核销!$I$4:$I$603,②销售核销!$E$4:$E$603,$A17))</f>
        <v/>
      </c>
      <c r="I17" s="31" t="str">
        <f aca="false">IF($A17="","",SUMIFS(⑤库存异常!$E$4:$E$203,⑤库存异常!$B$4:$B$203,$A17))</f>
        <v/>
      </c>
      <c r="J17" s="31" t="str">
        <f aca="false">IF($A17="","",IF(ISNUMBER(F17),F17,E17)-H17-I17)</f>
        <v/>
      </c>
      <c r="K17" s="33" t="str">
        <f aca="false">IF(OR($A17="",N(E17)=0),"",H17/E17)</f>
        <v/>
      </c>
      <c r="L17" s="34" t="str">
        <f aca="false">IF($A17="","",SUMIFS(②销售核销!$L$4:$L$603,②销售核销!$E$4:$E$603,$A17))</f>
        <v/>
      </c>
      <c r="M17" s="34" t="str">
        <f aca="false">IF($A17="","",SUMIFS(②销售核销!$L$4:$L$603,②销售核销!$E$4:$E$603,$A17,②销售核销!$M$4:$M$603,"已收汇"))</f>
        <v/>
      </c>
      <c r="N17" s="30" t="str">
        <f aca="false">IF(ISNUMBER(D17),DATE(YEAR(D17)+1,4,30),"")</f>
        <v/>
      </c>
      <c r="O17" s="35" t="str">
        <f aca="true">IF($A17="","",IF(N(H17)=0,IF(AND(ISNUMBER(N17),TODAY()&gt;N17),"超过收汇期限仍未销售","尚未销售"),IF(ROUND(M17,2)&gt;=ROUND(L17,2),"已售部分已收汇",IF(AND(ISNUMBER(N17),TODAY()&gt;N17),"超期未收汇","有回款待收汇"))))</f>
        <v/>
      </c>
      <c r="P17" s="34" t="str">
        <f aca="false">IF($A17="","",SUMIFS(④退税核算!$H$4:$H$303,④退税核算!$A$4:$A$303,$A17))</f>
        <v/>
      </c>
      <c r="Q17" s="34" t="str">
        <f aca="false">IF($A17="","",SUMIFS(④退税核算!$H$4:$H$303,④退税核算!$A$4:$A$303,$A17,④退税核算!$D$4:$D$303,"未售-海外仓预退（HWC-YT）"))</f>
        <v/>
      </c>
      <c r="R17" s="30" t="str">
        <f aca="false">IF($A17="","",IF(COUNTIFS(④退税核算!$A$4:$A$303,$A17,④退税核算!$D$4:$D$303,"未售-海外仓预退（HWC-YT）",④退税核算!$I$4:$I$303,"&gt;0")=0,"",_xlfn.MINIFS(④退税核算!$J$4:$J$303,④退税核算!$A$4:$A$303,$A17,④退税核算!$D$4:$D$303,"未售-海外仓预退（HWC-YT）")))</f>
        <v/>
      </c>
      <c r="S17" s="35" t="str">
        <f aca="false">IF($A17="","",IF(COUNTIFS(④退税核算!$A$4:$A$303,$A17,④退税核算!$D$4:$D$303,"未售-海外仓预退（HWC-YT）")=0,"不涉及",IF(COUNTIFS(④退税核算!$A$4:$A$303,$A17,④退税核算!$S$4:$S$303,"已逾期*")&gt;0,"已逾期",IF(COUNTIFS(④退税核算!$A$4:$A$303,$A17,④退税核算!$S$4:$S$303,"临近*")&gt;0,"临近截止",IF(COUNTIFS(④退税核算!$A$4:$A$303,$A17,④退税核算!$S$4:$S$303,"待*")&gt;0,"待核算","已核算")))))</f>
        <v/>
      </c>
      <c r="T17" s="35" t="str">
        <f aca="false">IF($A17="","",IFERROR(INDEX(⑥单证留存!$P$4:$P$203,MATCH(①出口报关!B14,⑥单证留存!$A$4:$A$203,0)),"未登记"))</f>
        <v/>
      </c>
      <c r="U17" s="36" t="str">
        <f aca="false">IF($A17="","",IF(IF(OR(O17="超期未收汇",O17="超过收汇期限仍未销售")," 收汇超期","")&amp;IF(S17="已逾期"," 核算逾期","")&amp;IF(S17="临近截止"," 核算临近截止","")&amp;IF(LEFT(T17,1)="缺"," 单证"&amp;T17,"")&amp;IF(T17="未登记"," 单证未登记","")&amp;IF(AND(ISNUMBER(G17),N(G17)&lt;&gt;0)," 入仓差异"&amp;G17,"")="","正常",SUBSTITUTE(TRIM(IF(OR(O17="超期未收汇",O17="超过收汇期限仍未销售")," 收汇超期","")&amp;IF(S17="已逾期"," 核算逾期","")&amp;IF(S17="临近截止"," 核算临近截止","")&amp;IF(LEFT(T17,1)="缺"," 单证"&amp;T17,"")&amp;IF(T17="未登记"," 单证未登记","")&amp;IF(AND(ISNUMBER(G17),N(G17)&lt;&gt;0)," 入仓差异"&amp;G17,""))," ","、")))</f>
        <v/>
      </c>
    </row>
    <row r="18" customFormat="false" ht="21.75" hidden="false" customHeight="true" outlineLevel="0" collapsed="false">
      <c r="A18" s="29" t="str">
        <f aca="false">IF(①出口报关!A15="","",①出口报关!A15)</f>
        <v/>
      </c>
      <c r="B18" s="29" t="str">
        <f aca="false">IF($A18="","",①出口报关!I15)</f>
        <v/>
      </c>
      <c r="C18" s="29" t="str">
        <f aca="false">IF($A18="","",①出口报关!J15)</f>
        <v/>
      </c>
      <c r="D18" s="30" t="str">
        <f aca="false">IF($A18="","",IF(①出口报关!D15="","",①出口报关!D15))</f>
        <v/>
      </c>
      <c r="E18" s="31" t="str">
        <f aca="false">IF($A18="","",N(①出口报关!L15))</f>
        <v/>
      </c>
      <c r="F18" s="31" t="str">
        <f aca="false">IF($A18="","",IF(①出口报关!Y15="","未签收",①出口报关!Y15))</f>
        <v/>
      </c>
      <c r="G18" s="32" t="str">
        <f aca="false">IF(OR($A18="",NOT(ISNUMBER(F18))),"",F18-E18)</f>
        <v/>
      </c>
      <c r="H18" s="31" t="str">
        <f aca="false">IF($A18="","",SUMIFS(②销售核销!$I$4:$I$603,②销售核销!$E$4:$E$603,$A18))</f>
        <v/>
      </c>
      <c r="I18" s="31" t="str">
        <f aca="false">IF($A18="","",SUMIFS(⑤库存异常!$E$4:$E$203,⑤库存异常!$B$4:$B$203,$A18))</f>
        <v/>
      </c>
      <c r="J18" s="31" t="str">
        <f aca="false">IF($A18="","",IF(ISNUMBER(F18),F18,E18)-H18-I18)</f>
        <v/>
      </c>
      <c r="K18" s="33" t="str">
        <f aca="false">IF(OR($A18="",N(E18)=0),"",H18/E18)</f>
        <v/>
      </c>
      <c r="L18" s="34" t="str">
        <f aca="false">IF($A18="","",SUMIFS(②销售核销!$L$4:$L$603,②销售核销!$E$4:$E$603,$A18))</f>
        <v/>
      </c>
      <c r="M18" s="34" t="str">
        <f aca="false">IF($A18="","",SUMIFS(②销售核销!$L$4:$L$603,②销售核销!$E$4:$E$603,$A18,②销售核销!$M$4:$M$603,"已收汇"))</f>
        <v/>
      </c>
      <c r="N18" s="30" t="str">
        <f aca="false">IF(ISNUMBER(D18),DATE(YEAR(D18)+1,4,30),"")</f>
        <v/>
      </c>
      <c r="O18" s="35" t="str">
        <f aca="true">IF($A18="","",IF(N(H18)=0,IF(AND(ISNUMBER(N18),TODAY()&gt;N18),"超过收汇期限仍未销售","尚未销售"),IF(ROUND(M18,2)&gt;=ROUND(L18,2),"已售部分已收汇",IF(AND(ISNUMBER(N18),TODAY()&gt;N18),"超期未收汇","有回款待收汇"))))</f>
        <v/>
      </c>
      <c r="P18" s="34" t="str">
        <f aca="false">IF($A18="","",SUMIFS(④退税核算!$H$4:$H$303,④退税核算!$A$4:$A$303,$A18))</f>
        <v/>
      </c>
      <c r="Q18" s="34" t="str">
        <f aca="false">IF($A18="","",SUMIFS(④退税核算!$H$4:$H$303,④退税核算!$A$4:$A$303,$A18,④退税核算!$D$4:$D$303,"未售-海外仓预退（HWC-YT）"))</f>
        <v/>
      </c>
      <c r="R18" s="30" t="str">
        <f aca="false">IF($A18="","",IF(COUNTIFS(④退税核算!$A$4:$A$303,$A18,④退税核算!$D$4:$D$303,"未售-海外仓预退（HWC-YT）",④退税核算!$I$4:$I$303,"&gt;0")=0,"",_xlfn.MINIFS(④退税核算!$J$4:$J$303,④退税核算!$A$4:$A$303,$A18,④退税核算!$D$4:$D$303,"未售-海外仓预退（HWC-YT）")))</f>
        <v/>
      </c>
      <c r="S18" s="35" t="str">
        <f aca="false">IF($A18="","",IF(COUNTIFS(④退税核算!$A$4:$A$303,$A18,④退税核算!$D$4:$D$303,"未售-海外仓预退（HWC-YT）")=0,"不涉及",IF(COUNTIFS(④退税核算!$A$4:$A$303,$A18,④退税核算!$S$4:$S$303,"已逾期*")&gt;0,"已逾期",IF(COUNTIFS(④退税核算!$A$4:$A$303,$A18,④退税核算!$S$4:$S$303,"临近*")&gt;0,"临近截止",IF(COUNTIFS(④退税核算!$A$4:$A$303,$A18,④退税核算!$S$4:$S$303,"待*")&gt;0,"待核算","已核算")))))</f>
        <v/>
      </c>
      <c r="T18" s="35" t="str">
        <f aca="false">IF($A18="","",IFERROR(INDEX(⑥单证留存!$P$4:$P$203,MATCH(①出口报关!B15,⑥单证留存!$A$4:$A$203,0)),"未登记"))</f>
        <v/>
      </c>
      <c r="U18" s="36" t="str">
        <f aca="false">IF($A18="","",IF(IF(OR(O18="超期未收汇",O18="超过收汇期限仍未销售")," 收汇超期","")&amp;IF(S18="已逾期"," 核算逾期","")&amp;IF(S18="临近截止"," 核算临近截止","")&amp;IF(LEFT(T18,1)="缺"," 单证"&amp;T18,"")&amp;IF(T18="未登记"," 单证未登记","")&amp;IF(AND(ISNUMBER(G18),N(G18)&lt;&gt;0)," 入仓差异"&amp;G18,"")="","正常",SUBSTITUTE(TRIM(IF(OR(O18="超期未收汇",O18="超过收汇期限仍未销售")," 收汇超期","")&amp;IF(S18="已逾期"," 核算逾期","")&amp;IF(S18="临近截止"," 核算临近截止","")&amp;IF(LEFT(T18,1)="缺"," 单证"&amp;T18,"")&amp;IF(T18="未登记"," 单证未登记","")&amp;IF(AND(ISNUMBER(G18),N(G18)&lt;&gt;0)," 入仓差异"&amp;G18,""))," ","、")))</f>
        <v/>
      </c>
    </row>
    <row r="19" customFormat="false" ht="21.75" hidden="false" customHeight="true" outlineLevel="0" collapsed="false">
      <c r="A19" s="29" t="str">
        <f aca="false">IF(①出口报关!A16="","",①出口报关!A16)</f>
        <v/>
      </c>
      <c r="B19" s="29" t="str">
        <f aca="false">IF($A19="","",①出口报关!I16)</f>
        <v/>
      </c>
      <c r="C19" s="29" t="str">
        <f aca="false">IF($A19="","",①出口报关!J16)</f>
        <v/>
      </c>
      <c r="D19" s="30" t="str">
        <f aca="false">IF($A19="","",IF(①出口报关!D16="","",①出口报关!D16))</f>
        <v/>
      </c>
      <c r="E19" s="31" t="str">
        <f aca="false">IF($A19="","",N(①出口报关!L16))</f>
        <v/>
      </c>
      <c r="F19" s="31" t="str">
        <f aca="false">IF($A19="","",IF(①出口报关!Y16="","未签收",①出口报关!Y16))</f>
        <v/>
      </c>
      <c r="G19" s="32" t="str">
        <f aca="false">IF(OR($A19="",NOT(ISNUMBER(F19))),"",F19-E19)</f>
        <v/>
      </c>
      <c r="H19" s="31" t="str">
        <f aca="false">IF($A19="","",SUMIFS(②销售核销!$I$4:$I$603,②销售核销!$E$4:$E$603,$A19))</f>
        <v/>
      </c>
      <c r="I19" s="31" t="str">
        <f aca="false">IF($A19="","",SUMIFS(⑤库存异常!$E$4:$E$203,⑤库存异常!$B$4:$B$203,$A19))</f>
        <v/>
      </c>
      <c r="J19" s="31" t="str">
        <f aca="false">IF($A19="","",IF(ISNUMBER(F19),F19,E19)-H19-I19)</f>
        <v/>
      </c>
      <c r="K19" s="33" t="str">
        <f aca="false">IF(OR($A19="",N(E19)=0),"",H19/E19)</f>
        <v/>
      </c>
      <c r="L19" s="34" t="str">
        <f aca="false">IF($A19="","",SUMIFS(②销售核销!$L$4:$L$603,②销售核销!$E$4:$E$603,$A19))</f>
        <v/>
      </c>
      <c r="M19" s="34" t="str">
        <f aca="false">IF($A19="","",SUMIFS(②销售核销!$L$4:$L$603,②销售核销!$E$4:$E$603,$A19,②销售核销!$M$4:$M$603,"已收汇"))</f>
        <v/>
      </c>
      <c r="N19" s="30" t="str">
        <f aca="false">IF(ISNUMBER(D19),DATE(YEAR(D19)+1,4,30),"")</f>
        <v/>
      </c>
      <c r="O19" s="35" t="str">
        <f aca="true">IF($A19="","",IF(N(H19)=0,IF(AND(ISNUMBER(N19),TODAY()&gt;N19),"超过收汇期限仍未销售","尚未销售"),IF(ROUND(M19,2)&gt;=ROUND(L19,2),"已售部分已收汇",IF(AND(ISNUMBER(N19),TODAY()&gt;N19),"超期未收汇","有回款待收汇"))))</f>
        <v/>
      </c>
      <c r="P19" s="34" t="str">
        <f aca="false">IF($A19="","",SUMIFS(④退税核算!$H$4:$H$303,④退税核算!$A$4:$A$303,$A19))</f>
        <v/>
      </c>
      <c r="Q19" s="34" t="str">
        <f aca="false">IF($A19="","",SUMIFS(④退税核算!$H$4:$H$303,④退税核算!$A$4:$A$303,$A19,④退税核算!$D$4:$D$303,"未售-海外仓预退（HWC-YT）"))</f>
        <v/>
      </c>
      <c r="R19" s="30" t="str">
        <f aca="false">IF($A19="","",IF(COUNTIFS(④退税核算!$A$4:$A$303,$A19,④退税核算!$D$4:$D$303,"未售-海外仓预退（HWC-YT）",④退税核算!$I$4:$I$303,"&gt;0")=0,"",_xlfn.MINIFS(④退税核算!$J$4:$J$303,④退税核算!$A$4:$A$303,$A19,④退税核算!$D$4:$D$303,"未售-海外仓预退（HWC-YT）")))</f>
        <v/>
      </c>
      <c r="S19" s="35" t="str">
        <f aca="false">IF($A19="","",IF(COUNTIFS(④退税核算!$A$4:$A$303,$A19,④退税核算!$D$4:$D$303,"未售-海外仓预退（HWC-YT）")=0,"不涉及",IF(COUNTIFS(④退税核算!$A$4:$A$303,$A19,④退税核算!$S$4:$S$303,"已逾期*")&gt;0,"已逾期",IF(COUNTIFS(④退税核算!$A$4:$A$303,$A19,④退税核算!$S$4:$S$303,"临近*")&gt;0,"临近截止",IF(COUNTIFS(④退税核算!$A$4:$A$303,$A19,④退税核算!$S$4:$S$303,"待*")&gt;0,"待核算","已核算")))))</f>
        <v/>
      </c>
      <c r="T19" s="35" t="str">
        <f aca="false">IF($A19="","",IFERROR(INDEX(⑥单证留存!$P$4:$P$203,MATCH(①出口报关!B16,⑥单证留存!$A$4:$A$203,0)),"未登记"))</f>
        <v/>
      </c>
      <c r="U19" s="36" t="str">
        <f aca="false">IF($A19="","",IF(IF(OR(O19="超期未收汇",O19="超过收汇期限仍未销售")," 收汇超期","")&amp;IF(S19="已逾期"," 核算逾期","")&amp;IF(S19="临近截止"," 核算临近截止","")&amp;IF(LEFT(T19,1)="缺"," 单证"&amp;T19,"")&amp;IF(T19="未登记"," 单证未登记","")&amp;IF(AND(ISNUMBER(G19),N(G19)&lt;&gt;0)," 入仓差异"&amp;G19,"")="","正常",SUBSTITUTE(TRIM(IF(OR(O19="超期未收汇",O19="超过收汇期限仍未销售")," 收汇超期","")&amp;IF(S19="已逾期"," 核算逾期","")&amp;IF(S19="临近截止"," 核算临近截止","")&amp;IF(LEFT(T19,1)="缺"," 单证"&amp;T19,"")&amp;IF(T19="未登记"," 单证未登记","")&amp;IF(AND(ISNUMBER(G19),N(G19)&lt;&gt;0)," 入仓差异"&amp;G19,""))," ","、")))</f>
        <v/>
      </c>
    </row>
    <row r="20" customFormat="false" ht="21.75" hidden="false" customHeight="true" outlineLevel="0" collapsed="false">
      <c r="A20" s="29" t="str">
        <f aca="false">IF(①出口报关!A17="","",①出口报关!A17)</f>
        <v/>
      </c>
      <c r="B20" s="29" t="str">
        <f aca="false">IF($A20="","",①出口报关!I17)</f>
        <v/>
      </c>
      <c r="C20" s="29" t="str">
        <f aca="false">IF($A20="","",①出口报关!J17)</f>
        <v/>
      </c>
      <c r="D20" s="30" t="str">
        <f aca="false">IF($A20="","",IF(①出口报关!D17="","",①出口报关!D17))</f>
        <v/>
      </c>
      <c r="E20" s="31" t="str">
        <f aca="false">IF($A20="","",N(①出口报关!L17))</f>
        <v/>
      </c>
      <c r="F20" s="31" t="str">
        <f aca="false">IF($A20="","",IF(①出口报关!Y17="","未签收",①出口报关!Y17))</f>
        <v/>
      </c>
      <c r="G20" s="32" t="str">
        <f aca="false">IF(OR($A20="",NOT(ISNUMBER(F20))),"",F20-E20)</f>
        <v/>
      </c>
      <c r="H20" s="31" t="str">
        <f aca="false">IF($A20="","",SUMIFS(②销售核销!$I$4:$I$603,②销售核销!$E$4:$E$603,$A20))</f>
        <v/>
      </c>
      <c r="I20" s="31" t="str">
        <f aca="false">IF($A20="","",SUMIFS(⑤库存异常!$E$4:$E$203,⑤库存异常!$B$4:$B$203,$A20))</f>
        <v/>
      </c>
      <c r="J20" s="31" t="str">
        <f aca="false">IF($A20="","",IF(ISNUMBER(F20),F20,E20)-H20-I20)</f>
        <v/>
      </c>
      <c r="K20" s="33" t="str">
        <f aca="false">IF(OR($A20="",N(E20)=0),"",H20/E20)</f>
        <v/>
      </c>
      <c r="L20" s="34" t="str">
        <f aca="false">IF($A20="","",SUMIFS(②销售核销!$L$4:$L$603,②销售核销!$E$4:$E$603,$A20))</f>
        <v/>
      </c>
      <c r="M20" s="34" t="str">
        <f aca="false">IF($A20="","",SUMIFS(②销售核销!$L$4:$L$603,②销售核销!$E$4:$E$603,$A20,②销售核销!$M$4:$M$603,"已收汇"))</f>
        <v/>
      </c>
      <c r="N20" s="30" t="str">
        <f aca="false">IF(ISNUMBER(D20),DATE(YEAR(D20)+1,4,30),"")</f>
        <v/>
      </c>
      <c r="O20" s="35" t="str">
        <f aca="true">IF($A20="","",IF(N(H20)=0,IF(AND(ISNUMBER(N20),TODAY()&gt;N20),"超过收汇期限仍未销售","尚未销售"),IF(ROUND(M20,2)&gt;=ROUND(L20,2),"已售部分已收汇",IF(AND(ISNUMBER(N20),TODAY()&gt;N20),"超期未收汇","有回款待收汇"))))</f>
        <v/>
      </c>
      <c r="P20" s="34" t="str">
        <f aca="false">IF($A20="","",SUMIFS(④退税核算!$H$4:$H$303,④退税核算!$A$4:$A$303,$A20))</f>
        <v/>
      </c>
      <c r="Q20" s="34" t="str">
        <f aca="false">IF($A20="","",SUMIFS(④退税核算!$H$4:$H$303,④退税核算!$A$4:$A$303,$A20,④退税核算!$D$4:$D$303,"未售-海外仓预退（HWC-YT）"))</f>
        <v/>
      </c>
      <c r="R20" s="30" t="str">
        <f aca="false">IF($A20="","",IF(COUNTIFS(④退税核算!$A$4:$A$303,$A20,④退税核算!$D$4:$D$303,"未售-海外仓预退（HWC-YT）",④退税核算!$I$4:$I$303,"&gt;0")=0,"",_xlfn.MINIFS(④退税核算!$J$4:$J$303,④退税核算!$A$4:$A$303,$A20,④退税核算!$D$4:$D$303,"未售-海外仓预退（HWC-YT）")))</f>
        <v/>
      </c>
      <c r="S20" s="35" t="str">
        <f aca="false">IF($A20="","",IF(COUNTIFS(④退税核算!$A$4:$A$303,$A20,④退税核算!$D$4:$D$303,"未售-海外仓预退（HWC-YT）")=0,"不涉及",IF(COUNTIFS(④退税核算!$A$4:$A$303,$A20,④退税核算!$S$4:$S$303,"已逾期*")&gt;0,"已逾期",IF(COUNTIFS(④退税核算!$A$4:$A$303,$A20,④退税核算!$S$4:$S$303,"临近*")&gt;0,"临近截止",IF(COUNTIFS(④退税核算!$A$4:$A$303,$A20,④退税核算!$S$4:$S$303,"待*")&gt;0,"待核算","已核算")))))</f>
        <v/>
      </c>
      <c r="T20" s="35" t="str">
        <f aca="false">IF($A20="","",IFERROR(INDEX(⑥单证留存!$P$4:$P$203,MATCH(①出口报关!B17,⑥单证留存!$A$4:$A$203,0)),"未登记"))</f>
        <v/>
      </c>
      <c r="U20" s="36" t="str">
        <f aca="false">IF($A20="","",IF(IF(OR(O20="超期未收汇",O20="超过收汇期限仍未销售")," 收汇超期","")&amp;IF(S20="已逾期"," 核算逾期","")&amp;IF(S20="临近截止"," 核算临近截止","")&amp;IF(LEFT(T20,1)="缺"," 单证"&amp;T20,"")&amp;IF(T20="未登记"," 单证未登记","")&amp;IF(AND(ISNUMBER(G20),N(G20)&lt;&gt;0)," 入仓差异"&amp;G20,"")="","正常",SUBSTITUTE(TRIM(IF(OR(O20="超期未收汇",O20="超过收汇期限仍未销售")," 收汇超期","")&amp;IF(S20="已逾期"," 核算逾期","")&amp;IF(S20="临近截止"," 核算临近截止","")&amp;IF(LEFT(T20,1)="缺"," 单证"&amp;T20,"")&amp;IF(T20="未登记"," 单证未登记","")&amp;IF(AND(ISNUMBER(G20),N(G20)&lt;&gt;0)," 入仓差异"&amp;G20,""))," ","、")))</f>
        <v/>
      </c>
    </row>
    <row r="21" customFormat="false" ht="21.75" hidden="false" customHeight="true" outlineLevel="0" collapsed="false">
      <c r="A21" s="29" t="str">
        <f aca="false">IF(①出口报关!A18="","",①出口报关!A18)</f>
        <v/>
      </c>
      <c r="B21" s="29" t="str">
        <f aca="false">IF($A21="","",①出口报关!I18)</f>
        <v/>
      </c>
      <c r="C21" s="29" t="str">
        <f aca="false">IF($A21="","",①出口报关!J18)</f>
        <v/>
      </c>
      <c r="D21" s="30" t="str">
        <f aca="false">IF($A21="","",IF(①出口报关!D18="","",①出口报关!D18))</f>
        <v/>
      </c>
      <c r="E21" s="31" t="str">
        <f aca="false">IF($A21="","",N(①出口报关!L18))</f>
        <v/>
      </c>
      <c r="F21" s="31" t="str">
        <f aca="false">IF($A21="","",IF(①出口报关!Y18="","未签收",①出口报关!Y18))</f>
        <v/>
      </c>
      <c r="G21" s="32" t="str">
        <f aca="false">IF(OR($A21="",NOT(ISNUMBER(F21))),"",F21-E21)</f>
        <v/>
      </c>
      <c r="H21" s="31" t="str">
        <f aca="false">IF($A21="","",SUMIFS(②销售核销!$I$4:$I$603,②销售核销!$E$4:$E$603,$A21))</f>
        <v/>
      </c>
      <c r="I21" s="31" t="str">
        <f aca="false">IF($A21="","",SUMIFS(⑤库存异常!$E$4:$E$203,⑤库存异常!$B$4:$B$203,$A21))</f>
        <v/>
      </c>
      <c r="J21" s="31" t="str">
        <f aca="false">IF($A21="","",IF(ISNUMBER(F21),F21,E21)-H21-I21)</f>
        <v/>
      </c>
      <c r="K21" s="33" t="str">
        <f aca="false">IF(OR($A21="",N(E21)=0),"",H21/E21)</f>
        <v/>
      </c>
      <c r="L21" s="34" t="str">
        <f aca="false">IF($A21="","",SUMIFS(②销售核销!$L$4:$L$603,②销售核销!$E$4:$E$603,$A21))</f>
        <v/>
      </c>
      <c r="M21" s="34" t="str">
        <f aca="false">IF($A21="","",SUMIFS(②销售核销!$L$4:$L$603,②销售核销!$E$4:$E$603,$A21,②销售核销!$M$4:$M$603,"已收汇"))</f>
        <v/>
      </c>
      <c r="N21" s="30" t="str">
        <f aca="false">IF(ISNUMBER(D21),DATE(YEAR(D21)+1,4,30),"")</f>
        <v/>
      </c>
      <c r="O21" s="35" t="str">
        <f aca="true">IF($A21="","",IF(N(H21)=0,IF(AND(ISNUMBER(N21),TODAY()&gt;N21),"超过收汇期限仍未销售","尚未销售"),IF(ROUND(M21,2)&gt;=ROUND(L21,2),"已售部分已收汇",IF(AND(ISNUMBER(N21),TODAY()&gt;N21),"超期未收汇","有回款待收汇"))))</f>
        <v/>
      </c>
      <c r="P21" s="34" t="str">
        <f aca="false">IF($A21="","",SUMIFS(④退税核算!$H$4:$H$303,④退税核算!$A$4:$A$303,$A21))</f>
        <v/>
      </c>
      <c r="Q21" s="34" t="str">
        <f aca="false">IF($A21="","",SUMIFS(④退税核算!$H$4:$H$303,④退税核算!$A$4:$A$303,$A21,④退税核算!$D$4:$D$303,"未售-海外仓预退（HWC-YT）"))</f>
        <v/>
      </c>
      <c r="R21" s="30" t="str">
        <f aca="false">IF($A21="","",IF(COUNTIFS(④退税核算!$A$4:$A$303,$A21,④退税核算!$D$4:$D$303,"未售-海外仓预退（HWC-YT）",④退税核算!$I$4:$I$303,"&gt;0")=0,"",_xlfn.MINIFS(④退税核算!$J$4:$J$303,④退税核算!$A$4:$A$303,$A21,④退税核算!$D$4:$D$303,"未售-海外仓预退（HWC-YT）")))</f>
        <v/>
      </c>
      <c r="S21" s="35" t="str">
        <f aca="false">IF($A21="","",IF(COUNTIFS(④退税核算!$A$4:$A$303,$A21,④退税核算!$D$4:$D$303,"未售-海外仓预退（HWC-YT）")=0,"不涉及",IF(COUNTIFS(④退税核算!$A$4:$A$303,$A21,④退税核算!$S$4:$S$303,"已逾期*")&gt;0,"已逾期",IF(COUNTIFS(④退税核算!$A$4:$A$303,$A21,④退税核算!$S$4:$S$303,"临近*")&gt;0,"临近截止",IF(COUNTIFS(④退税核算!$A$4:$A$303,$A21,④退税核算!$S$4:$S$303,"待*")&gt;0,"待核算","已核算")))))</f>
        <v/>
      </c>
      <c r="T21" s="35" t="str">
        <f aca="false">IF($A21="","",IFERROR(INDEX(⑥单证留存!$P$4:$P$203,MATCH(①出口报关!B18,⑥单证留存!$A$4:$A$203,0)),"未登记"))</f>
        <v/>
      </c>
      <c r="U21" s="36" t="str">
        <f aca="false">IF($A21="","",IF(IF(OR(O21="超期未收汇",O21="超过收汇期限仍未销售")," 收汇超期","")&amp;IF(S21="已逾期"," 核算逾期","")&amp;IF(S21="临近截止"," 核算临近截止","")&amp;IF(LEFT(T21,1)="缺"," 单证"&amp;T21,"")&amp;IF(T21="未登记"," 单证未登记","")&amp;IF(AND(ISNUMBER(G21),N(G21)&lt;&gt;0)," 入仓差异"&amp;G21,"")="","正常",SUBSTITUTE(TRIM(IF(OR(O21="超期未收汇",O21="超过收汇期限仍未销售")," 收汇超期","")&amp;IF(S21="已逾期"," 核算逾期","")&amp;IF(S21="临近截止"," 核算临近截止","")&amp;IF(LEFT(T21,1)="缺"," 单证"&amp;T21,"")&amp;IF(T21="未登记"," 单证未登记","")&amp;IF(AND(ISNUMBER(G21),N(G21)&lt;&gt;0)," 入仓差异"&amp;G21,""))," ","、")))</f>
        <v/>
      </c>
    </row>
    <row r="22" customFormat="false" ht="21.75" hidden="false" customHeight="true" outlineLevel="0" collapsed="false">
      <c r="A22" s="29" t="str">
        <f aca="false">IF(①出口报关!A19="","",①出口报关!A19)</f>
        <v/>
      </c>
      <c r="B22" s="29" t="str">
        <f aca="false">IF($A22="","",①出口报关!I19)</f>
        <v/>
      </c>
      <c r="C22" s="29" t="str">
        <f aca="false">IF($A22="","",①出口报关!J19)</f>
        <v/>
      </c>
      <c r="D22" s="30" t="str">
        <f aca="false">IF($A22="","",IF(①出口报关!D19="","",①出口报关!D19))</f>
        <v/>
      </c>
      <c r="E22" s="31" t="str">
        <f aca="false">IF($A22="","",N(①出口报关!L19))</f>
        <v/>
      </c>
      <c r="F22" s="31" t="str">
        <f aca="false">IF($A22="","",IF(①出口报关!Y19="","未签收",①出口报关!Y19))</f>
        <v/>
      </c>
      <c r="G22" s="32" t="str">
        <f aca="false">IF(OR($A22="",NOT(ISNUMBER(F22))),"",F22-E22)</f>
        <v/>
      </c>
      <c r="H22" s="31" t="str">
        <f aca="false">IF($A22="","",SUMIFS(②销售核销!$I$4:$I$603,②销售核销!$E$4:$E$603,$A22))</f>
        <v/>
      </c>
      <c r="I22" s="31" t="str">
        <f aca="false">IF($A22="","",SUMIFS(⑤库存异常!$E$4:$E$203,⑤库存异常!$B$4:$B$203,$A22))</f>
        <v/>
      </c>
      <c r="J22" s="31" t="str">
        <f aca="false">IF($A22="","",IF(ISNUMBER(F22),F22,E22)-H22-I22)</f>
        <v/>
      </c>
      <c r="K22" s="33" t="str">
        <f aca="false">IF(OR($A22="",N(E22)=0),"",H22/E22)</f>
        <v/>
      </c>
      <c r="L22" s="34" t="str">
        <f aca="false">IF($A22="","",SUMIFS(②销售核销!$L$4:$L$603,②销售核销!$E$4:$E$603,$A22))</f>
        <v/>
      </c>
      <c r="M22" s="34" t="str">
        <f aca="false">IF($A22="","",SUMIFS(②销售核销!$L$4:$L$603,②销售核销!$E$4:$E$603,$A22,②销售核销!$M$4:$M$603,"已收汇"))</f>
        <v/>
      </c>
      <c r="N22" s="30" t="str">
        <f aca="false">IF(ISNUMBER(D22),DATE(YEAR(D22)+1,4,30),"")</f>
        <v/>
      </c>
      <c r="O22" s="35" t="str">
        <f aca="true">IF($A22="","",IF(N(H22)=0,IF(AND(ISNUMBER(N22),TODAY()&gt;N22),"超过收汇期限仍未销售","尚未销售"),IF(ROUND(M22,2)&gt;=ROUND(L22,2),"已售部分已收汇",IF(AND(ISNUMBER(N22),TODAY()&gt;N22),"超期未收汇","有回款待收汇"))))</f>
        <v/>
      </c>
      <c r="P22" s="34" t="str">
        <f aca="false">IF($A22="","",SUMIFS(④退税核算!$H$4:$H$303,④退税核算!$A$4:$A$303,$A22))</f>
        <v/>
      </c>
      <c r="Q22" s="34" t="str">
        <f aca="false">IF($A22="","",SUMIFS(④退税核算!$H$4:$H$303,④退税核算!$A$4:$A$303,$A22,④退税核算!$D$4:$D$303,"未售-海外仓预退（HWC-YT）"))</f>
        <v/>
      </c>
      <c r="R22" s="30" t="str">
        <f aca="false">IF($A22="","",IF(COUNTIFS(④退税核算!$A$4:$A$303,$A22,④退税核算!$D$4:$D$303,"未售-海外仓预退（HWC-YT）",④退税核算!$I$4:$I$303,"&gt;0")=0,"",_xlfn.MINIFS(④退税核算!$J$4:$J$303,④退税核算!$A$4:$A$303,$A22,④退税核算!$D$4:$D$303,"未售-海外仓预退（HWC-YT）")))</f>
        <v/>
      </c>
      <c r="S22" s="35" t="str">
        <f aca="false">IF($A22="","",IF(COUNTIFS(④退税核算!$A$4:$A$303,$A22,④退税核算!$D$4:$D$303,"未售-海外仓预退（HWC-YT）")=0,"不涉及",IF(COUNTIFS(④退税核算!$A$4:$A$303,$A22,④退税核算!$S$4:$S$303,"已逾期*")&gt;0,"已逾期",IF(COUNTIFS(④退税核算!$A$4:$A$303,$A22,④退税核算!$S$4:$S$303,"临近*")&gt;0,"临近截止",IF(COUNTIFS(④退税核算!$A$4:$A$303,$A22,④退税核算!$S$4:$S$303,"待*")&gt;0,"待核算","已核算")))))</f>
        <v/>
      </c>
      <c r="T22" s="35" t="str">
        <f aca="false">IF($A22="","",IFERROR(INDEX(⑥单证留存!$P$4:$P$203,MATCH(①出口报关!B19,⑥单证留存!$A$4:$A$203,0)),"未登记"))</f>
        <v/>
      </c>
      <c r="U22" s="36" t="str">
        <f aca="false">IF($A22="","",IF(IF(OR(O22="超期未收汇",O22="超过收汇期限仍未销售")," 收汇超期","")&amp;IF(S22="已逾期"," 核算逾期","")&amp;IF(S22="临近截止"," 核算临近截止","")&amp;IF(LEFT(T22,1)="缺"," 单证"&amp;T22,"")&amp;IF(T22="未登记"," 单证未登记","")&amp;IF(AND(ISNUMBER(G22),N(G22)&lt;&gt;0)," 入仓差异"&amp;G22,"")="","正常",SUBSTITUTE(TRIM(IF(OR(O22="超期未收汇",O22="超过收汇期限仍未销售")," 收汇超期","")&amp;IF(S22="已逾期"," 核算逾期","")&amp;IF(S22="临近截止"," 核算临近截止","")&amp;IF(LEFT(T22,1)="缺"," 单证"&amp;T22,"")&amp;IF(T22="未登记"," 单证未登记","")&amp;IF(AND(ISNUMBER(G22),N(G22)&lt;&gt;0)," 入仓差异"&amp;G22,""))," ","、")))</f>
        <v/>
      </c>
    </row>
    <row r="23" customFormat="false" ht="21.75" hidden="false" customHeight="true" outlineLevel="0" collapsed="false">
      <c r="A23" s="29" t="str">
        <f aca="false">IF(①出口报关!A20="","",①出口报关!A20)</f>
        <v/>
      </c>
      <c r="B23" s="29" t="str">
        <f aca="false">IF($A23="","",①出口报关!I20)</f>
        <v/>
      </c>
      <c r="C23" s="29" t="str">
        <f aca="false">IF($A23="","",①出口报关!J20)</f>
        <v/>
      </c>
      <c r="D23" s="30" t="str">
        <f aca="false">IF($A23="","",IF(①出口报关!D20="","",①出口报关!D20))</f>
        <v/>
      </c>
      <c r="E23" s="31" t="str">
        <f aca="false">IF($A23="","",N(①出口报关!L20))</f>
        <v/>
      </c>
      <c r="F23" s="31" t="str">
        <f aca="false">IF($A23="","",IF(①出口报关!Y20="","未签收",①出口报关!Y20))</f>
        <v/>
      </c>
      <c r="G23" s="32" t="str">
        <f aca="false">IF(OR($A23="",NOT(ISNUMBER(F23))),"",F23-E23)</f>
        <v/>
      </c>
      <c r="H23" s="31" t="str">
        <f aca="false">IF($A23="","",SUMIFS(②销售核销!$I$4:$I$603,②销售核销!$E$4:$E$603,$A23))</f>
        <v/>
      </c>
      <c r="I23" s="31" t="str">
        <f aca="false">IF($A23="","",SUMIFS(⑤库存异常!$E$4:$E$203,⑤库存异常!$B$4:$B$203,$A23))</f>
        <v/>
      </c>
      <c r="J23" s="31" t="str">
        <f aca="false">IF($A23="","",IF(ISNUMBER(F23),F23,E23)-H23-I23)</f>
        <v/>
      </c>
      <c r="K23" s="33" t="str">
        <f aca="false">IF(OR($A23="",N(E23)=0),"",H23/E23)</f>
        <v/>
      </c>
      <c r="L23" s="34" t="str">
        <f aca="false">IF($A23="","",SUMIFS(②销售核销!$L$4:$L$603,②销售核销!$E$4:$E$603,$A23))</f>
        <v/>
      </c>
      <c r="M23" s="34" t="str">
        <f aca="false">IF($A23="","",SUMIFS(②销售核销!$L$4:$L$603,②销售核销!$E$4:$E$603,$A23,②销售核销!$M$4:$M$603,"已收汇"))</f>
        <v/>
      </c>
      <c r="N23" s="30" t="str">
        <f aca="false">IF(ISNUMBER(D23),DATE(YEAR(D23)+1,4,30),"")</f>
        <v/>
      </c>
      <c r="O23" s="35" t="str">
        <f aca="true">IF($A23="","",IF(N(H23)=0,IF(AND(ISNUMBER(N23),TODAY()&gt;N23),"超过收汇期限仍未销售","尚未销售"),IF(ROUND(M23,2)&gt;=ROUND(L23,2),"已售部分已收汇",IF(AND(ISNUMBER(N23),TODAY()&gt;N23),"超期未收汇","有回款待收汇"))))</f>
        <v/>
      </c>
      <c r="P23" s="34" t="str">
        <f aca="false">IF($A23="","",SUMIFS(④退税核算!$H$4:$H$303,④退税核算!$A$4:$A$303,$A23))</f>
        <v/>
      </c>
      <c r="Q23" s="34" t="str">
        <f aca="false">IF($A23="","",SUMIFS(④退税核算!$H$4:$H$303,④退税核算!$A$4:$A$303,$A23,④退税核算!$D$4:$D$303,"未售-海外仓预退（HWC-YT）"))</f>
        <v/>
      </c>
      <c r="R23" s="30" t="str">
        <f aca="false">IF($A23="","",IF(COUNTIFS(④退税核算!$A$4:$A$303,$A23,④退税核算!$D$4:$D$303,"未售-海外仓预退（HWC-YT）",④退税核算!$I$4:$I$303,"&gt;0")=0,"",_xlfn.MINIFS(④退税核算!$J$4:$J$303,④退税核算!$A$4:$A$303,$A23,④退税核算!$D$4:$D$303,"未售-海外仓预退（HWC-YT）")))</f>
        <v/>
      </c>
      <c r="S23" s="35" t="str">
        <f aca="false">IF($A23="","",IF(COUNTIFS(④退税核算!$A$4:$A$303,$A23,④退税核算!$D$4:$D$303,"未售-海外仓预退（HWC-YT）")=0,"不涉及",IF(COUNTIFS(④退税核算!$A$4:$A$303,$A23,④退税核算!$S$4:$S$303,"已逾期*")&gt;0,"已逾期",IF(COUNTIFS(④退税核算!$A$4:$A$303,$A23,④退税核算!$S$4:$S$303,"临近*")&gt;0,"临近截止",IF(COUNTIFS(④退税核算!$A$4:$A$303,$A23,④退税核算!$S$4:$S$303,"待*")&gt;0,"待核算","已核算")))))</f>
        <v/>
      </c>
      <c r="T23" s="35" t="str">
        <f aca="false">IF($A23="","",IFERROR(INDEX(⑥单证留存!$P$4:$P$203,MATCH(①出口报关!B20,⑥单证留存!$A$4:$A$203,0)),"未登记"))</f>
        <v/>
      </c>
      <c r="U23" s="36" t="str">
        <f aca="false">IF($A23="","",IF(IF(OR(O23="超期未收汇",O23="超过收汇期限仍未销售")," 收汇超期","")&amp;IF(S23="已逾期"," 核算逾期","")&amp;IF(S23="临近截止"," 核算临近截止","")&amp;IF(LEFT(T23,1)="缺"," 单证"&amp;T23,"")&amp;IF(T23="未登记"," 单证未登记","")&amp;IF(AND(ISNUMBER(G23),N(G23)&lt;&gt;0)," 入仓差异"&amp;G23,"")="","正常",SUBSTITUTE(TRIM(IF(OR(O23="超期未收汇",O23="超过收汇期限仍未销售")," 收汇超期","")&amp;IF(S23="已逾期"," 核算逾期","")&amp;IF(S23="临近截止"," 核算临近截止","")&amp;IF(LEFT(T23,1)="缺"," 单证"&amp;T23,"")&amp;IF(T23="未登记"," 单证未登记","")&amp;IF(AND(ISNUMBER(G23),N(G23)&lt;&gt;0)," 入仓差异"&amp;G23,""))," ","、")))</f>
        <v/>
      </c>
    </row>
    <row r="24" customFormat="false" ht="21.75" hidden="false" customHeight="true" outlineLevel="0" collapsed="false">
      <c r="A24" s="29" t="str">
        <f aca="false">IF(①出口报关!A21="","",①出口报关!A21)</f>
        <v/>
      </c>
      <c r="B24" s="29" t="str">
        <f aca="false">IF($A24="","",①出口报关!I21)</f>
        <v/>
      </c>
      <c r="C24" s="29" t="str">
        <f aca="false">IF($A24="","",①出口报关!J21)</f>
        <v/>
      </c>
      <c r="D24" s="30" t="str">
        <f aca="false">IF($A24="","",IF(①出口报关!D21="","",①出口报关!D21))</f>
        <v/>
      </c>
      <c r="E24" s="31" t="str">
        <f aca="false">IF($A24="","",N(①出口报关!L21))</f>
        <v/>
      </c>
      <c r="F24" s="31" t="str">
        <f aca="false">IF($A24="","",IF(①出口报关!Y21="","未签收",①出口报关!Y21))</f>
        <v/>
      </c>
      <c r="G24" s="32" t="str">
        <f aca="false">IF(OR($A24="",NOT(ISNUMBER(F24))),"",F24-E24)</f>
        <v/>
      </c>
      <c r="H24" s="31" t="str">
        <f aca="false">IF($A24="","",SUMIFS(②销售核销!$I$4:$I$603,②销售核销!$E$4:$E$603,$A24))</f>
        <v/>
      </c>
      <c r="I24" s="31" t="str">
        <f aca="false">IF($A24="","",SUMIFS(⑤库存异常!$E$4:$E$203,⑤库存异常!$B$4:$B$203,$A24))</f>
        <v/>
      </c>
      <c r="J24" s="31" t="str">
        <f aca="false">IF($A24="","",IF(ISNUMBER(F24),F24,E24)-H24-I24)</f>
        <v/>
      </c>
      <c r="K24" s="33" t="str">
        <f aca="false">IF(OR($A24="",N(E24)=0),"",H24/E24)</f>
        <v/>
      </c>
      <c r="L24" s="34" t="str">
        <f aca="false">IF($A24="","",SUMIFS(②销售核销!$L$4:$L$603,②销售核销!$E$4:$E$603,$A24))</f>
        <v/>
      </c>
      <c r="M24" s="34" t="str">
        <f aca="false">IF($A24="","",SUMIFS(②销售核销!$L$4:$L$603,②销售核销!$E$4:$E$603,$A24,②销售核销!$M$4:$M$603,"已收汇"))</f>
        <v/>
      </c>
      <c r="N24" s="30" t="str">
        <f aca="false">IF(ISNUMBER(D24),DATE(YEAR(D24)+1,4,30),"")</f>
        <v/>
      </c>
      <c r="O24" s="35" t="str">
        <f aca="true">IF($A24="","",IF(N(H24)=0,IF(AND(ISNUMBER(N24),TODAY()&gt;N24),"超过收汇期限仍未销售","尚未销售"),IF(ROUND(M24,2)&gt;=ROUND(L24,2),"已售部分已收汇",IF(AND(ISNUMBER(N24),TODAY()&gt;N24),"超期未收汇","有回款待收汇"))))</f>
        <v/>
      </c>
      <c r="P24" s="34" t="str">
        <f aca="false">IF($A24="","",SUMIFS(④退税核算!$H$4:$H$303,④退税核算!$A$4:$A$303,$A24))</f>
        <v/>
      </c>
      <c r="Q24" s="34" t="str">
        <f aca="false">IF($A24="","",SUMIFS(④退税核算!$H$4:$H$303,④退税核算!$A$4:$A$303,$A24,④退税核算!$D$4:$D$303,"未售-海外仓预退（HWC-YT）"))</f>
        <v/>
      </c>
      <c r="R24" s="30" t="str">
        <f aca="false">IF($A24="","",IF(COUNTIFS(④退税核算!$A$4:$A$303,$A24,④退税核算!$D$4:$D$303,"未售-海外仓预退（HWC-YT）",④退税核算!$I$4:$I$303,"&gt;0")=0,"",_xlfn.MINIFS(④退税核算!$J$4:$J$303,④退税核算!$A$4:$A$303,$A24,④退税核算!$D$4:$D$303,"未售-海外仓预退（HWC-YT）")))</f>
        <v/>
      </c>
      <c r="S24" s="35" t="str">
        <f aca="false">IF($A24="","",IF(COUNTIFS(④退税核算!$A$4:$A$303,$A24,④退税核算!$D$4:$D$303,"未售-海外仓预退（HWC-YT）")=0,"不涉及",IF(COUNTIFS(④退税核算!$A$4:$A$303,$A24,④退税核算!$S$4:$S$303,"已逾期*")&gt;0,"已逾期",IF(COUNTIFS(④退税核算!$A$4:$A$303,$A24,④退税核算!$S$4:$S$303,"临近*")&gt;0,"临近截止",IF(COUNTIFS(④退税核算!$A$4:$A$303,$A24,④退税核算!$S$4:$S$303,"待*")&gt;0,"待核算","已核算")))))</f>
        <v/>
      </c>
      <c r="T24" s="35" t="str">
        <f aca="false">IF($A24="","",IFERROR(INDEX(⑥单证留存!$P$4:$P$203,MATCH(①出口报关!B21,⑥单证留存!$A$4:$A$203,0)),"未登记"))</f>
        <v/>
      </c>
      <c r="U24" s="36" t="str">
        <f aca="false">IF($A24="","",IF(IF(OR(O24="超期未收汇",O24="超过收汇期限仍未销售")," 收汇超期","")&amp;IF(S24="已逾期"," 核算逾期","")&amp;IF(S24="临近截止"," 核算临近截止","")&amp;IF(LEFT(T24,1)="缺"," 单证"&amp;T24,"")&amp;IF(T24="未登记"," 单证未登记","")&amp;IF(AND(ISNUMBER(G24),N(G24)&lt;&gt;0)," 入仓差异"&amp;G24,"")="","正常",SUBSTITUTE(TRIM(IF(OR(O24="超期未收汇",O24="超过收汇期限仍未销售")," 收汇超期","")&amp;IF(S24="已逾期"," 核算逾期","")&amp;IF(S24="临近截止"," 核算临近截止","")&amp;IF(LEFT(T24,1)="缺"," 单证"&amp;T24,"")&amp;IF(T24="未登记"," 单证未登记","")&amp;IF(AND(ISNUMBER(G24),N(G24)&lt;&gt;0)," 入仓差异"&amp;G24,""))," ","、")))</f>
        <v/>
      </c>
    </row>
    <row r="25" customFormat="false" ht="21.75" hidden="false" customHeight="true" outlineLevel="0" collapsed="false">
      <c r="A25" s="29" t="str">
        <f aca="false">IF(①出口报关!A22="","",①出口报关!A22)</f>
        <v/>
      </c>
      <c r="B25" s="29" t="str">
        <f aca="false">IF($A25="","",①出口报关!I22)</f>
        <v/>
      </c>
      <c r="C25" s="29" t="str">
        <f aca="false">IF($A25="","",①出口报关!J22)</f>
        <v/>
      </c>
      <c r="D25" s="30" t="str">
        <f aca="false">IF($A25="","",IF(①出口报关!D22="","",①出口报关!D22))</f>
        <v/>
      </c>
      <c r="E25" s="31" t="str">
        <f aca="false">IF($A25="","",N(①出口报关!L22))</f>
        <v/>
      </c>
      <c r="F25" s="31" t="str">
        <f aca="false">IF($A25="","",IF(①出口报关!Y22="","未签收",①出口报关!Y22))</f>
        <v/>
      </c>
      <c r="G25" s="32" t="str">
        <f aca="false">IF(OR($A25="",NOT(ISNUMBER(F25))),"",F25-E25)</f>
        <v/>
      </c>
      <c r="H25" s="31" t="str">
        <f aca="false">IF($A25="","",SUMIFS(②销售核销!$I$4:$I$603,②销售核销!$E$4:$E$603,$A25))</f>
        <v/>
      </c>
      <c r="I25" s="31" t="str">
        <f aca="false">IF($A25="","",SUMIFS(⑤库存异常!$E$4:$E$203,⑤库存异常!$B$4:$B$203,$A25))</f>
        <v/>
      </c>
      <c r="J25" s="31" t="str">
        <f aca="false">IF($A25="","",IF(ISNUMBER(F25),F25,E25)-H25-I25)</f>
        <v/>
      </c>
      <c r="K25" s="33" t="str">
        <f aca="false">IF(OR($A25="",N(E25)=0),"",H25/E25)</f>
        <v/>
      </c>
      <c r="L25" s="34" t="str">
        <f aca="false">IF($A25="","",SUMIFS(②销售核销!$L$4:$L$603,②销售核销!$E$4:$E$603,$A25))</f>
        <v/>
      </c>
      <c r="M25" s="34" t="str">
        <f aca="false">IF($A25="","",SUMIFS(②销售核销!$L$4:$L$603,②销售核销!$E$4:$E$603,$A25,②销售核销!$M$4:$M$603,"已收汇"))</f>
        <v/>
      </c>
      <c r="N25" s="30" t="str">
        <f aca="false">IF(ISNUMBER(D25),DATE(YEAR(D25)+1,4,30),"")</f>
        <v/>
      </c>
      <c r="O25" s="35" t="str">
        <f aca="true">IF($A25="","",IF(N(H25)=0,IF(AND(ISNUMBER(N25),TODAY()&gt;N25),"超过收汇期限仍未销售","尚未销售"),IF(ROUND(M25,2)&gt;=ROUND(L25,2),"已售部分已收汇",IF(AND(ISNUMBER(N25),TODAY()&gt;N25),"超期未收汇","有回款待收汇"))))</f>
        <v/>
      </c>
      <c r="P25" s="34" t="str">
        <f aca="false">IF($A25="","",SUMIFS(④退税核算!$H$4:$H$303,④退税核算!$A$4:$A$303,$A25))</f>
        <v/>
      </c>
      <c r="Q25" s="34" t="str">
        <f aca="false">IF($A25="","",SUMIFS(④退税核算!$H$4:$H$303,④退税核算!$A$4:$A$303,$A25,④退税核算!$D$4:$D$303,"未售-海外仓预退（HWC-YT）"))</f>
        <v/>
      </c>
      <c r="R25" s="30" t="str">
        <f aca="false">IF($A25="","",IF(COUNTIFS(④退税核算!$A$4:$A$303,$A25,④退税核算!$D$4:$D$303,"未售-海外仓预退（HWC-YT）",④退税核算!$I$4:$I$303,"&gt;0")=0,"",_xlfn.MINIFS(④退税核算!$J$4:$J$303,④退税核算!$A$4:$A$303,$A25,④退税核算!$D$4:$D$303,"未售-海外仓预退（HWC-YT）")))</f>
        <v/>
      </c>
      <c r="S25" s="35" t="str">
        <f aca="false">IF($A25="","",IF(COUNTIFS(④退税核算!$A$4:$A$303,$A25,④退税核算!$D$4:$D$303,"未售-海外仓预退（HWC-YT）")=0,"不涉及",IF(COUNTIFS(④退税核算!$A$4:$A$303,$A25,④退税核算!$S$4:$S$303,"已逾期*")&gt;0,"已逾期",IF(COUNTIFS(④退税核算!$A$4:$A$303,$A25,④退税核算!$S$4:$S$303,"临近*")&gt;0,"临近截止",IF(COUNTIFS(④退税核算!$A$4:$A$303,$A25,④退税核算!$S$4:$S$303,"待*")&gt;0,"待核算","已核算")))))</f>
        <v/>
      </c>
      <c r="T25" s="35" t="str">
        <f aca="false">IF($A25="","",IFERROR(INDEX(⑥单证留存!$P$4:$P$203,MATCH(①出口报关!B22,⑥单证留存!$A$4:$A$203,0)),"未登记"))</f>
        <v/>
      </c>
      <c r="U25" s="36" t="str">
        <f aca="false">IF($A25="","",IF(IF(OR(O25="超期未收汇",O25="超过收汇期限仍未销售")," 收汇超期","")&amp;IF(S25="已逾期"," 核算逾期","")&amp;IF(S25="临近截止"," 核算临近截止","")&amp;IF(LEFT(T25,1)="缺"," 单证"&amp;T25,"")&amp;IF(T25="未登记"," 单证未登记","")&amp;IF(AND(ISNUMBER(G25),N(G25)&lt;&gt;0)," 入仓差异"&amp;G25,"")="","正常",SUBSTITUTE(TRIM(IF(OR(O25="超期未收汇",O25="超过收汇期限仍未销售")," 收汇超期","")&amp;IF(S25="已逾期"," 核算逾期","")&amp;IF(S25="临近截止"," 核算临近截止","")&amp;IF(LEFT(T25,1)="缺"," 单证"&amp;T25,"")&amp;IF(T25="未登记"," 单证未登记","")&amp;IF(AND(ISNUMBER(G25),N(G25)&lt;&gt;0)," 入仓差异"&amp;G25,""))," ","、")))</f>
        <v/>
      </c>
    </row>
    <row r="26" customFormat="false" ht="21.75" hidden="false" customHeight="true" outlineLevel="0" collapsed="false">
      <c r="A26" s="29" t="str">
        <f aca="false">IF(①出口报关!A23="","",①出口报关!A23)</f>
        <v/>
      </c>
      <c r="B26" s="29" t="str">
        <f aca="false">IF($A26="","",①出口报关!I23)</f>
        <v/>
      </c>
      <c r="C26" s="29" t="str">
        <f aca="false">IF($A26="","",①出口报关!J23)</f>
        <v/>
      </c>
      <c r="D26" s="30" t="str">
        <f aca="false">IF($A26="","",IF(①出口报关!D23="","",①出口报关!D23))</f>
        <v/>
      </c>
      <c r="E26" s="31" t="str">
        <f aca="false">IF($A26="","",N(①出口报关!L23))</f>
        <v/>
      </c>
      <c r="F26" s="31" t="str">
        <f aca="false">IF($A26="","",IF(①出口报关!Y23="","未签收",①出口报关!Y23))</f>
        <v/>
      </c>
      <c r="G26" s="32" t="str">
        <f aca="false">IF(OR($A26="",NOT(ISNUMBER(F26))),"",F26-E26)</f>
        <v/>
      </c>
      <c r="H26" s="31" t="str">
        <f aca="false">IF($A26="","",SUMIFS(②销售核销!$I$4:$I$603,②销售核销!$E$4:$E$603,$A26))</f>
        <v/>
      </c>
      <c r="I26" s="31" t="str">
        <f aca="false">IF($A26="","",SUMIFS(⑤库存异常!$E$4:$E$203,⑤库存异常!$B$4:$B$203,$A26))</f>
        <v/>
      </c>
      <c r="J26" s="31" t="str">
        <f aca="false">IF($A26="","",IF(ISNUMBER(F26),F26,E26)-H26-I26)</f>
        <v/>
      </c>
      <c r="K26" s="33" t="str">
        <f aca="false">IF(OR($A26="",N(E26)=0),"",H26/E26)</f>
        <v/>
      </c>
      <c r="L26" s="34" t="str">
        <f aca="false">IF($A26="","",SUMIFS(②销售核销!$L$4:$L$603,②销售核销!$E$4:$E$603,$A26))</f>
        <v/>
      </c>
      <c r="M26" s="34" t="str">
        <f aca="false">IF($A26="","",SUMIFS(②销售核销!$L$4:$L$603,②销售核销!$E$4:$E$603,$A26,②销售核销!$M$4:$M$603,"已收汇"))</f>
        <v/>
      </c>
      <c r="N26" s="30" t="str">
        <f aca="false">IF(ISNUMBER(D26),DATE(YEAR(D26)+1,4,30),"")</f>
        <v/>
      </c>
      <c r="O26" s="35" t="str">
        <f aca="true">IF($A26="","",IF(N(H26)=0,IF(AND(ISNUMBER(N26),TODAY()&gt;N26),"超过收汇期限仍未销售","尚未销售"),IF(ROUND(M26,2)&gt;=ROUND(L26,2),"已售部分已收汇",IF(AND(ISNUMBER(N26),TODAY()&gt;N26),"超期未收汇","有回款待收汇"))))</f>
        <v/>
      </c>
      <c r="P26" s="34" t="str">
        <f aca="false">IF($A26="","",SUMIFS(④退税核算!$H$4:$H$303,④退税核算!$A$4:$A$303,$A26))</f>
        <v/>
      </c>
      <c r="Q26" s="34" t="str">
        <f aca="false">IF($A26="","",SUMIFS(④退税核算!$H$4:$H$303,④退税核算!$A$4:$A$303,$A26,④退税核算!$D$4:$D$303,"未售-海外仓预退（HWC-YT）"))</f>
        <v/>
      </c>
      <c r="R26" s="30" t="str">
        <f aca="false">IF($A26="","",IF(COUNTIFS(④退税核算!$A$4:$A$303,$A26,④退税核算!$D$4:$D$303,"未售-海外仓预退（HWC-YT）",④退税核算!$I$4:$I$303,"&gt;0")=0,"",_xlfn.MINIFS(④退税核算!$J$4:$J$303,④退税核算!$A$4:$A$303,$A26,④退税核算!$D$4:$D$303,"未售-海外仓预退（HWC-YT）")))</f>
        <v/>
      </c>
      <c r="S26" s="35" t="str">
        <f aca="false">IF($A26="","",IF(COUNTIFS(④退税核算!$A$4:$A$303,$A26,④退税核算!$D$4:$D$303,"未售-海外仓预退（HWC-YT）")=0,"不涉及",IF(COUNTIFS(④退税核算!$A$4:$A$303,$A26,④退税核算!$S$4:$S$303,"已逾期*")&gt;0,"已逾期",IF(COUNTIFS(④退税核算!$A$4:$A$303,$A26,④退税核算!$S$4:$S$303,"临近*")&gt;0,"临近截止",IF(COUNTIFS(④退税核算!$A$4:$A$303,$A26,④退税核算!$S$4:$S$303,"待*")&gt;0,"待核算","已核算")))))</f>
        <v/>
      </c>
      <c r="T26" s="35" t="str">
        <f aca="false">IF($A26="","",IFERROR(INDEX(⑥单证留存!$P$4:$P$203,MATCH(①出口报关!B23,⑥单证留存!$A$4:$A$203,0)),"未登记"))</f>
        <v/>
      </c>
      <c r="U26" s="36" t="str">
        <f aca="false">IF($A26="","",IF(IF(OR(O26="超期未收汇",O26="超过收汇期限仍未销售")," 收汇超期","")&amp;IF(S26="已逾期"," 核算逾期","")&amp;IF(S26="临近截止"," 核算临近截止","")&amp;IF(LEFT(T26,1)="缺"," 单证"&amp;T26,"")&amp;IF(T26="未登记"," 单证未登记","")&amp;IF(AND(ISNUMBER(G26),N(G26)&lt;&gt;0)," 入仓差异"&amp;G26,"")="","正常",SUBSTITUTE(TRIM(IF(OR(O26="超期未收汇",O26="超过收汇期限仍未销售")," 收汇超期","")&amp;IF(S26="已逾期"," 核算逾期","")&amp;IF(S26="临近截止"," 核算临近截止","")&amp;IF(LEFT(T26,1)="缺"," 单证"&amp;T26,"")&amp;IF(T26="未登记"," 单证未登记","")&amp;IF(AND(ISNUMBER(G26),N(G26)&lt;&gt;0)," 入仓差异"&amp;G26,""))," ","、")))</f>
        <v/>
      </c>
    </row>
    <row r="27" customFormat="false" ht="21.75" hidden="false" customHeight="true" outlineLevel="0" collapsed="false">
      <c r="A27" s="29" t="str">
        <f aca="false">IF(①出口报关!A24="","",①出口报关!A24)</f>
        <v/>
      </c>
      <c r="B27" s="29" t="str">
        <f aca="false">IF($A27="","",①出口报关!I24)</f>
        <v/>
      </c>
      <c r="C27" s="29" t="str">
        <f aca="false">IF($A27="","",①出口报关!J24)</f>
        <v/>
      </c>
      <c r="D27" s="30" t="str">
        <f aca="false">IF($A27="","",IF(①出口报关!D24="","",①出口报关!D24))</f>
        <v/>
      </c>
      <c r="E27" s="31" t="str">
        <f aca="false">IF($A27="","",N(①出口报关!L24))</f>
        <v/>
      </c>
      <c r="F27" s="31" t="str">
        <f aca="false">IF($A27="","",IF(①出口报关!Y24="","未签收",①出口报关!Y24))</f>
        <v/>
      </c>
      <c r="G27" s="32" t="str">
        <f aca="false">IF(OR($A27="",NOT(ISNUMBER(F27))),"",F27-E27)</f>
        <v/>
      </c>
      <c r="H27" s="31" t="str">
        <f aca="false">IF($A27="","",SUMIFS(②销售核销!$I$4:$I$603,②销售核销!$E$4:$E$603,$A27))</f>
        <v/>
      </c>
      <c r="I27" s="31" t="str">
        <f aca="false">IF($A27="","",SUMIFS(⑤库存异常!$E$4:$E$203,⑤库存异常!$B$4:$B$203,$A27))</f>
        <v/>
      </c>
      <c r="J27" s="31" t="str">
        <f aca="false">IF($A27="","",IF(ISNUMBER(F27),F27,E27)-H27-I27)</f>
        <v/>
      </c>
      <c r="K27" s="33" t="str">
        <f aca="false">IF(OR($A27="",N(E27)=0),"",H27/E27)</f>
        <v/>
      </c>
      <c r="L27" s="34" t="str">
        <f aca="false">IF($A27="","",SUMIFS(②销售核销!$L$4:$L$603,②销售核销!$E$4:$E$603,$A27))</f>
        <v/>
      </c>
      <c r="M27" s="34" t="str">
        <f aca="false">IF($A27="","",SUMIFS(②销售核销!$L$4:$L$603,②销售核销!$E$4:$E$603,$A27,②销售核销!$M$4:$M$603,"已收汇"))</f>
        <v/>
      </c>
      <c r="N27" s="30" t="str">
        <f aca="false">IF(ISNUMBER(D27),DATE(YEAR(D27)+1,4,30),"")</f>
        <v/>
      </c>
      <c r="O27" s="35" t="str">
        <f aca="true">IF($A27="","",IF(N(H27)=0,IF(AND(ISNUMBER(N27),TODAY()&gt;N27),"超过收汇期限仍未销售","尚未销售"),IF(ROUND(M27,2)&gt;=ROUND(L27,2),"已售部分已收汇",IF(AND(ISNUMBER(N27),TODAY()&gt;N27),"超期未收汇","有回款待收汇"))))</f>
        <v/>
      </c>
      <c r="P27" s="34" t="str">
        <f aca="false">IF($A27="","",SUMIFS(④退税核算!$H$4:$H$303,④退税核算!$A$4:$A$303,$A27))</f>
        <v/>
      </c>
      <c r="Q27" s="34" t="str">
        <f aca="false">IF($A27="","",SUMIFS(④退税核算!$H$4:$H$303,④退税核算!$A$4:$A$303,$A27,④退税核算!$D$4:$D$303,"未售-海外仓预退（HWC-YT）"))</f>
        <v/>
      </c>
      <c r="R27" s="30" t="str">
        <f aca="false">IF($A27="","",IF(COUNTIFS(④退税核算!$A$4:$A$303,$A27,④退税核算!$D$4:$D$303,"未售-海外仓预退（HWC-YT）",④退税核算!$I$4:$I$303,"&gt;0")=0,"",_xlfn.MINIFS(④退税核算!$J$4:$J$303,④退税核算!$A$4:$A$303,$A27,④退税核算!$D$4:$D$303,"未售-海外仓预退（HWC-YT）")))</f>
        <v/>
      </c>
      <c r="S27" s="35" t="str">
        <f aca="false">IF($A27="","",IF(COUNTIFS(④退税核算!$A$4:$A$303,$A27,④退税核算!$D$4:$D$303,"未售-海外仓预退（HWC-YT）")=0,"不涉及",IF(COUNTIFS(④退税核算!$A$4:$A$303,$A27,④退税核算!$S$4:$S$303,"已逾期*")&gt;0,"已逾期",IF(COUNTIFS(④退税核算!$A$4:$A$303,$A27,④退税核算!$S$4:$S$303,"临近*")&gt;0,"临近截止",IF(COUNTIFS(④退税核算!$A$4:$A$303,$A27,④退税核算!$S$4:$S$303,"待*")&gt;0,"待核算","已核算")))))</f>
        <v/>
      </c>
      <c r="T27" s="35" t="str">
        <f aca="false">IF($A27="","",IFERROR(INDEX(⑥单证留存!$P$4:$P$203,MATCH(①出口报关!B24,⑥单证留存!$A$4:$A$203,0)),"未登记"))</f>
        <v/>
      </c>
      <c r="U27" s="36" t="str">
        <f aca="false">IF($A27="","",IF(IF(OR(O27="超期未收汇",O27="超过收汇期限仍未销售")," 收汇超期","")&amp;IF(S27="已逾期"," 核算逾期","")&amp;IF(S27="临近截止"," 核算临近截止","")&amp;IF(LEFT(T27,1)="缺"," 单证"&amp;T27,"")&amp;IF(T27="未登记"," 单证未登记","")&amp;IF(AND(ISNUMBER(G27),N(G27)&lt;&gt;0)," 入仓差异"&amp;G27,"")="","正常",SUBSTITUTE(TRIM(IF(OR(O27="超期未收汇",O27="超过收汇期限仍未销售")," 收汇超期","")&amp;IF(S27="已逾期"," 核算逾期","")&amp;IF(S27="临近截止"," 核算临近截止","")&amp;IF(LEFT(T27,1)="缺"," 单证"&amp;T27,"")&amp;IF(T27="未登记"," 单证未登记","")&amp;IF(AND(ISNUMBER(G27),N(G27)&lt;&gt;0)," 入仓差异"&amp;G27,""))," ","、")))</f>
        <v/>
      </c>
    </row>
    <row r="28" customFormat="false" ht="21.75" hidden="false" customHeight="true" outlineLevel="0" collapsed="false">
      <c r="A28" s="29" t="str">
        <f aca="false">IF(①出口报关!A25="","",①出口报关!A25)</f>
        <v/>
      </c>
      <c r="B28" s="29" t="str">
        <f aca="false">IF($A28="","",①出口报关!I25)</f>
        <v/>
      </c>
      <c r="C28" s="29" t="str">
        <f aca="false">IF($A28="","",①出口报关!J25)</f>
        <v/>
      </c>
      <c r="D28" s="30" t="str">
        <f aca="false">IF($A28="","",IF(①出口报关!D25="","",①出口报关!D25))</f>
        <v/>
      </c>
      <c r="E28" s="31" t="str">
        <f aca="false">IF($A28="","",N(①出口报关!L25))</f>
        <v/>
      </c>
      <c r="F28" s="31" t="str">
        <f aca="false">IF($A28="","",IF(①出口报关!Y25="","未签收",①出口报关!Y25))</f>
        <v/>
      </c>
      <c r="G28" s="32" t="str">
        <f aca="false">IF(OR($A28="",NOT(ISNUMBER(F28))),"",F28-E28)</f>
        <v/>
      </c>
      <c r="H28" s="31" t="str">
        <f aca="false">IF($A28="","",SUMIFS(②销售核销!$I$4:$I$603,②销售核销!$E$4:$E$603,$A28))</f>
        <v/>
      </c>
      <c r="I28" s="31" t="str">
        <f aca="false">IF($A28="","",SUMIFS(⑤库存异常!$E$4:$E$203,⑤库存异常!$B$4:$B$203,$A28))</f>
        <v/>
      </c>
      <c r="J28" s="31" t="str">
        <f aca="false">IF($A28="","",IF(ISNUMBER(F28),F28,E28)-H28-I28)</f>
        <v/>
      </c>
      <c r="K28" s="33" t="str">
        <f aca="false">IF(OR($A28="",N(E28)=0),"",H28/E28)</f>
        <v/>
      </c>
      <c r="L28" s="34" t="str">
        <f aca="false">IF($A28="","",SUMIFS(②销售核销!$L$4:$L$603,②销售核销!$E$4:$E$603,$A28))</f>
        <v/>
      </c>
      <c r="M28" s="34" t="str">
        <f aca="false">IF($A28="","",SUMIFS(②销售核销!$L$4:$L$603,②销售核销!$E$4:$E$603,$A28,②销售核销!$M$4:$M$603,"已收汇"))</f>
        <v/>
      </c>
      <c r="N28" s="30" t="str">
        <f aca="false">IF(ISNUMBER(D28),DATE(YEAR(D28)+1,4,30),"")</f>
        <v/>
      </c>
      <c r="O28" s="35" t="str">
        <f aca="true">IF($A28="","",IF(N(H28)=0,IF(AND(ISNUMBER(N28),TODAY()&gt;N28),"超过收汇期限仍未销售","尚未销售"),IF(ROUND(M28,2)&gt;=ROUND(L28,2),"已售部分已收汇",IF(AND(ISNUMBER(N28),TODAY()&gt;N28),"超期未收汇","有回款待收汇"))))</f>
        <v/>
      </c>
      <c r="P28" s="34" t="str">
        <f aca="false">IF($A28="","",SUMIFS(④退税核算!$H$4:$H$303,④退税核算!$A$4:$A$303,$A28))</f>
        <v/>
      </c>
      <c r="Q28" s="34" t="str">
        <f aca="false">IF($A28="","",SUMIFS(④退税核算!$H$4:$H$303,④退税核算!$A$4:$A$303,$A28,④退税核算!$D$4:$D$303,"未售-海外仓预退（HWC-YT）"))</f>
        <v/>
      </c>
      <c r="R28" s="30" t="str">
        <f aca="false">IF($A28="","",IF(COUNTIFS(④退税核算!$A$4:$A$303,$A28,④退税核算!$D$4:$D$303,"未售-海外仓预退（HWC-YT）",④退税核算!$I$4:$I$303,"&gt;0")=0,"",_xlfn.MINIFS(④退税核算!$J$4:$J$303,④退税核算!$A$4:$A$303,$A28,④退税核算!$D$4:$D$303,"未售-海外仓预退（HWC-YT）")))</f>
        <v/>
      </c>
      <c r="S28" s="35" t="str">
        <f aca="false">IF($A28="","",IF(COUNTIFS(④退税核算!$A$4:$A$303,$A28,④退税核算!$D$4:$D$303,"未售-海外仓预退（HWC-YT）")=0,"不涉及",IF(COUNTIFS(④退税核算!$A$4:$A$303,$A28,④退税核算!$S$4:$S$303,"已逾期*")&gt;0,"已逾期",IF(COUNTIFS(④退税核算!$A$4:$A$303,$A28,④退税核算!$S$4:$S$303,"临近*")&gt;0,"临近截止",IF(COUNTIFS(④退税核算!$A$4:$A$303,$A28,④退税核算!$S$4:$S$303,"待*")&gt;0,"待核算","已核算")))))</f>
        <v/>
      </c>
      <c r="T28" s="35" t="str">
        <f aca="false">IF($A28="","",IFERROR(INDEX(⑥单证留存!$P$4:$P$203,MATCH(①出口报关!B25,⑥单证留存!$A$4:$A$203,0)),"未登记"))</f>
        <v/>
      </c>
      <c r="U28" s="36" t="str">
        <f aca="false">IF($A28="","",IF(IF(OR(O28="超期未收汇",O28="超过收汇期限仍未销售")," 收汇超期","")&amp;IF(S28="已逾期"," 核算逾期","")&amp;IF(S28="临近截止"," 核算临近截止","")&amp;IF(LEFT(T28,1)="缺"," 单证"&amp;T28,"")&amp;IF(T28="未登记"," 单证未登记","")&amp;IF(AND(ISNUMBER(G28),N(G28)&lt;&gt;0)," 入仓差异"&amp;G28,"")="","正常",SUBSTITUTE(TRIM(IF(OR(O28="超期未收汇",O28="超过收汇期限仍未销售")," 收汇超期","")&amp;IF(S28="已逾期"," 核算逾期","")&amp;IF(S28="临近截止"," 核算临近截止","")&amp;IF(LEFT(T28,1)="缺"," 单证"&amp;T28,"")&amp;IF(T28="未登记"," 单证未登记","")&amp;IF(AND(ISNUMBER(G28),N(G28)&lt;&gt;0)," 入仓差异"&amp;G28,""))," ","、")))</f>
        <v/>
      </c>
    </row>
    <row r="29" customFormat="false" ht="21.75" hidden="false" customHeight="true" outlineLevel="0" collapsed="false">
      <c r="A29" s="29" t="str">
        <f aca="false">IF(①出口报关!A26="","",①出口报关!A26)</f>
        <v/>
      </c>
      <c r="B29" s="29" t="str">
        <f aca="false">IF($A29="","",①出口报关!I26)</f>
        <v/>
      </c>
      <c r="C29" s="29" t="str">
        <f aca="false">IF($A29="","",①出口报关!J26)</f>
        <v/>
      </c>
      <c r="D29" s="30" t="str">
        <f aca="false">IF($A29="","",IF(①出口报关!D26="","",①出口报关!D26))</f>
        <v/>
      </c>
      <c r="E29" s="31" t="str">
        <f aca="false">IF($A29="","",N(①出口报关!L26))</f>
        <v/>
      </c>
      <c r="F29" s="31" t="str">
        <f aca="false">IF($A29="","",IF(①出口报关!Y26="","未签收",①出口报关!Y26))</f>
        <v/>
      </c>
      <c r="G29" s="32" t="str">
        <f aca="false">IF(OR($A29="",NOT(ISNUMBER(F29))),"",F29-E29)</f>
        <v/>
      </c>
      <c r="H29" s="31" t="str">
        <f aca="false">IF($A29="","",SUMIFS(②销售核销!$I$4:$I$603,②销售核销!$E$4:$E$603,$A29))</f>
        <v/>
      </c>
      <c r="I29" s="31" t="str">
        <f aca="false">IF($A29="","",SUMIFS(⑤库存异常!$E$4:$E$203,⑤库存异常!$B$4:$B$203,$A29))</f>
        <v/>
      </c>
      <c r="J29" s="31" t="str">
        <f aca="false">IF($A29="","",IF(ISNUMBER(F29),F29,E29)-H29-I29)</f>
        <v/>
      </c>
      <c r="K29" s="33" t="str">
        <f aca="false">IF(OR($A29="",N(E29)=0),"",H29/E29)</f>
        <v/>
      </c>
      <c r="L29" s="34" t="str">
        <f aca="false">IF($A29="","",SUMIFS(②销售核销!$L$4:$L$603,②销售核销!$E$4:$E$603,$A29))</f>
        <v/>
      </c>
      <c r="M29" s="34" t="str">
        <f aca="false">IF($A29="","",SUMIFS(②销售核销!$L$4:$L$603,②销售核销!$E$4:$E$603,$A29,②销售核销!$M$4:$M$603,"已收汇"))</f>
        <v/>
      </c>
      <c r="N29" s="30" t="str">
        <f aca="false">IF(ISNUMBER(D29),DATE(YEAR(D29)+1,4,30),"")</f>
        <v/>
      </c>
      <c r="O29" s="35" t="str">
        <f aca="true">IF($A29="","",IF(N(H29)=0,IF(AND(ISNUMBER(N29),TODAY()&gt;N29),"超过收汇期限仍未销售","尚未销售"),IF(ROUND(M29,2)&gt;=ROUND(L29,2),"已售部分已收汇",IF(AND(ISNUMBER(N29),TODAY()&gt;N29),"超期未收汇","有回款待收汇"))))</f>
        <v/>
      </c>
      <c r="P29" s="34" t="str">
        <f aca="false">IF($A29="","",SUMIFS(④退税核算!$H$4:$H$303,④退税核算!$A$4:$A$303,$A29))</f>
        <v/>
      </c>
      <c r="Q29" s="34" t="str">
        <f aca="false">IF($A29="","",SUMIFS(④退税核算!$H$4:$H$303,④退税核算!$A$4:$A$303,$A29,④退税核算!$D$4:$D$303,"未售-海外仓预退（HWC-YT）"))</f>
        <v/>
      </c>
      <c r="R29" s="30" t="str">
        <f aca="false">IF($A29="","",IF(COUNTIFS(④退税核算!$A$4:$A$303,$A29,④退税核算!$D$4:$D$303,"未售-海外仓预退（HWC-YT）",④退税核算!$I$4:$I$303,"&gt;0")=0,"",_xlfn.MINIFS(④退税核算!$J$4:$J$303,④退税核算!$A$4:$A$303,$A29,④退税核算!$D$4:$D$303,"未售-海外仓预退（HWC-YT）")))</f>
        <v/>
      </c>
      <c r="S29" s="35" t="str">
        <f aca="false">IF($A29="","",IF(COUNTIFS(④退税核算!$A$4:$A$303,$A29,④退税核算!$D$4:$D$303,"未售-海外仓预退（HWC-YT）")=0,"不涉及",IF(COUNTIFS(④退税核算!$A$4:$A$303,$A29,④退税核算!$S$4:$S$303,"已逾期*")&gt;0,"已逾期",IF(COUNTIFS(④退税核算!$A$4:$A$303,$A29,④退税核算!$S$4:$S$303,"临近*")&gt;0,"临近截止",IF(COUNTIFS(④退税核算!$A$4:$A$303,$A29,④退税核算!$S$4:$S$303,"待*")&gt;0,"待核算","已核算")))))</f>
        <v/>
      </c>
      <c r="T29" s="35" t="str">
        <f aca="false">IF($A29="","",IFERROR(INDEX(⑥单证留存!$P$4:$P$203,MATCH(①出口报关!B26,⑥单证留存!$A$4:$A$203,0)),"未登记"))</f>
        <v/>
      </c>
      <c r="U29" s="36" t="str">
        <f aca="false">IF($A29="","",IF(IF(OR(O29="超期未收汇",O29="超过收汇期限仍未销售")," 收汇超期","")&amp;IF(S29="已逾期"," 核算逾期","")&amp;IF(S29="临近截止"," 核算临近截止","")&amp;IF(LEFT(T29,1)="缺"," 单证"&amp;T29,"")&amp;IF(T29="未登记"," 单证未登记","")&amp;IF(AND(ISNUMBER(G29),N(G29)&lt;&gt;0)," 入仓差异"&amp;G29,"")="","正常",SUBSTITUTE(TRIM(IF(OR(O29="超期未收汇",O29="超过收汇期限仍未销售")," 收汇超期","")&amp;IF(S29="已逾期"," 核算逾期","")&amp;IF(S29="临近截止"," 核算临近截止","")&amp;IF(LEFT(T29,1)="缺"," 单证"&amp;T29,"")&amp;IF(T29="未登记"," 单证未登记","")&amp;IF(AND(ISNUMBER(G29),N(G29)&lt;&gt;0)," 入仓差异"&amp;G29,""))," ","、")))</f>
        <v/>
      </c>
    </row>
    <row r="30" customFormat="false" ht="21.75" hidden="false" customHeight="true" outlineLevel="0" collapsed="false">
      <c r="A30" s="29" t="str">
        <f aca="false">IF(①出口报关!A27="","",①出口报关!A27)</f>
        <v/>
      </c>
      <c r="B30" s="29" t="str">
        <f aca="false">IF($A30="","",①出口报关!I27)</f>
        <v/>
      </c>
      <c r="C30" s="29" t="str">
        <f aca="false">IF($A30="","",①出口报关!J27)</f>
        <v/>
      </c>
      <c r="D30" s="30" t="str">
        <f aca="false">IF($A30="","",IF(①出口报关!D27="","",①出口报关!D27))</f>
        <v/>
      </c>
      <c r="E30" s="31" t="str">
        <f aca="false">IF($A30="","",N(①出口报关!L27))</f>
        <v/>
      </c>
      <c r="F30" s="31" t="str">
        <f aca="false">IF($A30="","",IF(①出口报关!Y27="","未签收",①出口报关!Y27))</f>
        <v/>
      </c>
      <c r="G30" s="32" t="str">
        <f aca="false">IF(OR($A30="",NOT(ISNUMBER(F30))),"",F30-E30)</f>
        <v/>
      </c>
      <c r="H30" s="31" t="str">
        <f aca="false">IF($A30="","",SUMIFS(②销售核销!$I$4:$I$603,②销售核销!$E$4:$E$603,$A30))</f>
        <v/>
      </c>
      <c r="I30" s="31" t="str">
        <f aca="false">IF($A30="","",SUMIFS(⑤库存异常!$E$4:$E$203,⑤库存异常!$B$4:$B$203,$A30))</f>
        <v/>
      </c>
      <c r="J30" s="31" t="str">
        <f aca="false">IF($A30="","",IF(ISNUMBER(F30),F30,E30)-H30-I30)</f>
        <v/>
      </c>
      <c r="K30" s="33" t="str">
        <f aca="false">IF(OR($A30="",N(E30)=0),"",H30/E30)</f>
        <v/>
      </c>
      <c r="L30" s="34" t="str">
        <f aca="false">IF($A30="","",SUMIFS(②销售核销!$L$4:$L$603,②销售核销!$E$4:$E$603,$A30))</f>
        <v/>
      </c>
      <c r="M30" s="34" t="str">
        <f aca="false">IF($A30="","",SUMIFS(②销售核销!$L$4:$L$603,②销售核销!$E$4:$E$603,$A30,②销售核销!$M$4:$M$603,"已收汇"))</f>
        <v/>
      </c>
      <c r="N30" s="30" t="str">
        <f aca="false">IF(ISNUMBER(D30),DATE(YEAR(D30)+1,4,30),"")</f>
        <v/>
      </c>
      <c r="O30" s="35" t="str">
        <f aca="true">IF($A30="","",IF(N(H30)=0,IF(AND(ISNUMBER(N30),TODAY()&gt;N30),"超过收汇期限仍未销售","尚未销售"),IF(ROUND(M30,2)&gt;=ROUND(L30,2),"已售部分已收汇",IF(AND(ISNUMBER(N30),TODAY()&gt;N30),"超期未收汇","有回款待收汇"))))</f>
        <v/>
      </c>
      <c r="P30" s="34" t="str">
        <f aca="false">IF($A30="","",SUMIFS(④退税核算!$H$4:$H$303,④退税核算!$A$4:$A$303,$A30))</f>
        <v/>
      </c>
      <c r="Q30" s="34" t="str">
        <f aca="false">IF($A30="","",SUMIFS(④退税核算!$H$4:$H$303,④退税核算!$A$4:$A$303,$A30,④退税核算!$D$4:$D$303,"未售-海外仓预退（HWC-YT）"))</f>
        <v/>
      </c>
      <c r="R30" s="30" t="str">
        <f aca="false">IF($A30="","",IF(COUNTIFS(④退税核算!$A$4:$A$303,$A30,④退税核算!$D$4:$D$303,"未售-海外仓预退（HWC-YT）",④退税核算!$I$4:$I$303,"&gt;0")=0,"",_xlfn.MINIFS(④退税核算!$J$4:$J$303,④退税核算!$A$4:$A$303,$A30,④退税核算!$D$4:$D$303,"未售-海外仓预退（HWC-YT）")))</f>
        <v/>
      </c>
      <c r="S30" s="35" t="str">
        <f aca="false">IF($A30="","",IF(COUNTIFS(④退税核算!$A$4:$A$303,$A30,④退税核算!$D$4:$D$303,"未售-海外仓预退（HWC-YT）")=0,"不涉及",IF(COUNTIFS(④退税核算!$A$4:$A$303,$A30,④退税核算!$S$4:$S$303,"已逾期*")&gt;0,"已逾期",IF(COUNTIFS(④退税核算!$A$4:$A$303,$A30,④退税核算!$S$4:$S$303,"临近*")&gt;0,"临近截止",IF(COUNTIFS(④退税核算!$A$4:$A$303,$A30,④退税核算!$S$4:$S$303,"待*")&gt;0,"待核算","已核算")))))</f>
        <v/>
      </c>
      <c r="T30" s="35" t="str">
        <f aca="false">IF($A30="","",IFERROR(INDEX(⑥单证留存!$P$4:$P$203,MATCH(①出口报关!B27,⑥单证留存!$A$4:$A$203,0)),"未登记"))</f>
        <v/>
      </c>
      <c r="U30" s="36" t="str">
        <f aca="false">IF($A30="","",IF(IF(OR(O30="超期未收汇",O30="超过收汇期限仍未销售")," 收汇超期","")&amp;IF(S30="已逾期"," 核算逾期","")&amp;IF(S30="临近截止"," 核算临近截止","")&amp;IF(LEFT(T30,1)="缺"," 单证"&amp;T30,"")&amp;IF(T30="未登记"," 单证未登记","")&amp;IF(AND(ISNUMBER(G30),N(G30)&lt;&gt;0)," 入仓差异"&amp;G30,"")="","正常",SUBSTITUTE(TRIM(IF(OR(O30="超期未收汇",O30="超过收汇期限仍未销售")," 收汇超期","")&amp;IF(S30="已逾期"," 核算逾期","")&amp;IF(S30="临近截止"," 核算临近截止","")&amp;IF(LEFT(T30,1)="缺"," 单证"&amp;T30,"")&amp;IF(T30="未登记"," 单证未登记","")&amp;IF(AND(ISNUMBER(G30),N(G30)&lt;&gt;0)," 入仓差异"&amp;G30,""))," ","、")))</f>
        <v/>
      </c>
    </row>
    <row r="31" customFormat="false" ht="21.75" hidden="false" customHeight="true" outlineLevel="0" collapsed="false">
      <c r="A31" s="29" t="str">
        <f aca="false">IF(①出口报关!A28="","",①出口报关!A28)</f>
        <v/>
      </c>
      <c r="B31" s="29" t="str">
        <f aca="false">IF($A31="","",①出口报关!I28)</f>
        <v/>
      </c>
      <c r="C31" s="29" t="str">
        <f aca="false">IF($A31="","",①出口报关!J28)</f>
        <v/>
      </c>
      <c r="D31" s="30" t="str">
        <f aca="false">IF($A31="","",IF(①出口报关!D28="","",①出口报关!D28))</f>
        <v/>
      </c>
      <c r="E31" s="31" t="str">
        <f aca="false">IF($A31="","",N(①出口报关!L28))</f>
        <v/>
      </c>
      <c r="F31" s="31" t="str">
        <f aca="false">IF($A31="","",IF(①出口报关!Y28="","未签收",①出口报关!Y28))</f>
        <v/>
      </c>
      <c r="G31" s="32" t="str">
        <f aca="false">IF(OR($A31="",NOT(ISNUMBER(F31))),"",F31-E31)</f>
        <v/>
      </c>
      <c r="H31" s="31" t="str">
        <f aca="false">IF($A31="","",SUMIFS(②销售核销!$I$4:$I$603,②销售核销!$E$4:$E$603,$A31))</f>
        <v/>
      </c>
      <c r="I31" s="31" t="str">
        <f aca="false">IF($A31="","",SUMIFS(⑤库存异常!$E$4:$E$203,⑤库存异常!$B$4:$B$203,$A31))</f>
        <v/>
      </c>
      <c r="J31" s="31" t="str">
        <f aca="false">IF($A31="","",IF(ISNUMBER(F31),F31,E31)-H31-I31)</f>
        <v/>
      </c>
      <c r="K31" s="33" t="str">
        <f aca="false">IF(OR($A31="",N(E31)=0),"",H31/E31)</f>
        <v/>
      </c>
      <c r="L31" s="34" t="str">
        <f aca="false">IF($A31="","",SUMIFS(②销售核销!$L$4:$L$603,②销售核销!$E$4:$E$603,$A31))</f>
        <v/>
      </c>
      <c r="M31" s="34" t="str">
        <f aca="false">IF($A31="","",SUMIFS(②销售核销!$L$4:$L$603,②销售核销!$E$4:$E$603,$A31,②销售核销!$M$4:$M$603,"已收汇"))</f>
        <v/>
      </c>
      <c r="N31" s="30" t="str">
        <f aca="false">IF(ISNUMBER(D31),DATE(YEAR(D31)+1,4,30),"")</f>
        <v/>
      </c>
      <c r="O31" s="35" t="str">
        <f aca="true">IF($A31="","",IF(N(H31)=0,IF(AND(ISNUMBER(N31),TODAY()&gt;N31),"超过收汇期限仍未销售","尚未销售"),IF(ROUND(M31,2)&gt;=ROUND(L31,2),"已售部分已收汇",IF(AND(ISNUMBER(N31),TODAY()&gt;N31),"超期未收汇","有回款待收汇"))))</f>
        <v/>
      </c>
      <c r="P31" s="34" t="str">
        <f aca="false">IF($A31="","",SUMIFS(④退税核算!$H$4:$H$303,④退税核算!$A$4:$A$303,$A31))</f>
        <v/>
      </c>
      <c r="Q31" s="34" t="str">
        <f aca="false">IF($A31="","",SUMIFS(④退税核算!$H$4:$H$303,④退税核算!$A$4:$A$303,$A31,④退税核算!$D$4:$D$303,"未售-海外仓预退（HWC-YT）"))</f>
        <v/>
      </c>
      <c r="R31" s="30" t="str">
        <f aca="false">IF($A31="","",IF(COUNTIFS(④退税核算!$A$4:$A$303,$A31,④退税核算!$D$4:$D$303,"未售-海外仓预退（HWC-YT）",④退税核算!$I$4:$I$303,"&gt;0")=0,"",_xlfn.MINIFS(④退税核算!$J$4:$J$303,④退税核算!$A$4:$A$303,$A31,④退税核算!$D$4:$D$303,"未售-海外仓预退（HWC-YT）")))</f>
        <v/>
      </c>
      <c r="S31" s="35" t="str">
        <f aca="false">IF($A31="","",IF(COUNTIFS(④退税核算!$A$4:$A$303,$A31,④退税核算!$D$4:$D$303,"未售-海外仓预退（HWC-YT）")=0,"不涉及",IF(COUNTIFS(④退税核算!$A$4:$A$303,$A31,④退税核算!$S$4:$S$303,"已逾期*")&gt;0,"已逾期",IF(COUNTIFS(④退税核算!$A$4:$A$303,$A31,④退税核算!$S$4:$S$303,"临近*")&gt;0,"临近截止",IF(COUNTIFS(④退税核算!$A$4:$A$303,$A31,④退税核算!$S$4:$S$303,"待*")&gt;0,"待核算","已核算")))))</f>
        <v/>
      </c>
      <c r="T31" s="35" t="str">
        <f aca="false">IF($A31="","",IFERROR(INDEX(⑥单证留存!$P$4:$P$203,MATCH(①出口报关!B28,⑥单证留存!$A$4:$A$203,0)),"未登记"))</f>
        <v/>
      </c>
      <c r="U31" s="36" t="str">
        <f aca="false">IF($A31="","",IF(IF(OR(O31="超期未收汇",O31="超过收汇期限仍未销售")," 收汇超期","")&amp;IF(S31="已逾期"," 核算逾期","")&amp;IF(S31="临近截止"," 核算临近截止","")&amp;IF(LEFT(T31,1)="缺"," 单证"&amp;T31,"")&amp;IF(T31="未登记"," 单证未登记","")&amp;IF(AND(ISNUMBER(G31),N(G31)&lt;&gt;0)," 入仓差异"&amp;G31,"")="","正常",SUBSTITUTE(TRIM(IF(OR(O31="超期未收汇",O31="超过收汇期限仍未销售")," 收汇超期","")&amp;IF(S31="已逾期"," 核算逾期","")&amp;IF(S31="临近截止"," 核算临近截止","")&amp;IF(LEFT(T31,1)="缺"," 单证"&amp;T31,"")&amp;IF(T31="未登记"," 单证未登记","")&amp;IF(AND(ISNUMBER(G31),N(G31)&lt;&gt;0)," 入仓差异"&amp;G31,""))," ","、")))</f>
        <v/>
      </c>
    </row>
    <row r="32" customFormat="false" ht="21.75" hidden="false" customHeight="true" outlineLevel="0" collapsed="false">
      <c r="A32" s="29" t="str">
        <f aca="false">IF(①出口报关!A29="","",①出口报关!A29)</f>
        <v/>
      </c>
      <c r="B32" s="29" t="str">
        <f aca="false">IF($A32="","",①出口报关!I29)</f>
        <v/>
      </c>
      <c r="C32" s="29" t="str">
        <f aca="false">IF($A32="","",①出口报关!J29)</f>
        <v/>
      </c>
      <c r="D32" s="30" t="str">
        <f aca="false">IF($A32="","",IF(①出口报关!D29="","",①出口报关!D29))</f>
        <v/>
      </c>
      <c r="E32" s="31" t="str">
        <f aca="false">IF($A32="","",N(①出口报关!L29))</f>
        <v/>
      </c>
      <c r="F32" s="31" t="str">
        <f aca="false">IF($A32="","",IF(①出口报关!Y29="","未签收",①出口报关!Y29))</f>
        <v/>
      </c>
      <c r="G32" s="32" t="str">
        <f aca="false">IF(OR($A32="",NOT(ISNUMBER(F32))),"",F32-E32)</f>
        <v/>
      </c>
      <c r="H32" s="31" t="str">
        <f aca="false">IF($A32="","",SUMIFS(②销售核销!$I$4:$I$603,②销售核销!$E$4:$E$603,$A32))</f>
        <v/>
      </c>
      <c r="I32" s="31" t="str">
        <f aca="false">IF($A32="","",SUMIFS(⑤库存异常!$E$4:$E$203,⑤库存异常!$B$4:$B$203,$A32))</f>
        <v/>
      </c>
      <c r="J32" s="31" t="str">
        <f aca="false">IF($A32="","",IF(ISNUMBER(F32),F32,E32)-H32-I32)</f>
        <v/>
      </c>
      <c r="K32" s="33" t="str">
        <f aca="false">IF(OR($A32="",N(E32)=0),"",H32/E32)</f>
        <v/>
      </c>
      <c r="L32" s="34" t="str">
        <f aca="false">IF($A32="","",SUMIFS(②销售核销!$L$4:$L$603,②销售核销!$E$4:$E$603,$A32))</f>
        <v/>
      </c>
      <c r="M32" s="34" t="str">
        <f aca="false">IF($A32="","",SUMIFS(②销售核销!$L$4:$L$603,②销售核销!$E$4:$E$603,$A32,②销售核销!$M$4:$M$603,"已收汇"))</f>
        <v/>
      </c>
      <c r="N32" s="30" t="str">
        <f aca="false">IF(ISNUMBER(D32),DATE(YEAR(D32)+1,4,30),"")</f>
        <v/>
      </c>
      <c r="O32" s="35" t="str">
        <f aca="true">IF($A32="","",IF(N(H32)=0,IF(AND(ISNUMBER(N32),TODAY()&gt;N32),"超过收汇期限仍未销售","尚未销售"),IF(ROUND(M32,2)&gt;=ROUND(L32,2),"已售部分已收汇",IF(AND(ISNUMBER(N32),TODAY()&gt;N32),"超期未收汇","有回款待收汇"))))</f>
        <v/>
      </c>
      <c r="P32" s="34" t="str">
        <f aca="false">IF($A32="","",SUMIFS(④退税核算!$H$4:$H$303,④退税核算!$A$4:$A$303,$A32))</f>
        <v/>
      </c>
      <c r="Q32" s="34" t="str">
        <f aca="false">IF($A32="","",SUMIFS(④退税核算!$H$4:$H$303,④退税核算!$A$4:$A$303,$A32,④退税核算!$D$4:$D$303,"未售-海外仓预退（HWC-YT）"))</f>
        <v/>
      </c>
      <c r="R32" s="30" t="str">
        <f aca="false">IF($A32="","",IF(COUNTIFS(④退税核算!$A$4:$A$303,$A32,④退税核算!$D$4:$D$303,"未售-海外仓预退（HWC-YT）",④退税核算!$I$4:$I$303,"&gt;0")=0,"",_xlfn.MINIFS(④退税核算!$J$4:$J$303,④退税核算!$A$4:$A$303,$A32,④退税核算!$D$4:$D$303,"未售-海外仓预退（HWC-YT）")))</f>
        <v/>
      </c>
      <c r="S32" s="35" t="str">
        <f aca="false">IF($A32="","",IF(COUNTIFS(④退税核算!$A$4:$A$303,$A32,④退税核算!$D$4:$D$303,"未售-海外仓预退（HWC-YT）")=0,"不涉及",IF(COUNTIFS(④退税核算!$A$4:$A$303,$A32,④退税核算!$S$4:$S$303,"已逾期*")&gt;0,"已逾期",IF(COUNTIFS(④退税核算!$A$4:$A$303,$A32,④退税核算!$S$4:$S$303,"临近*")&gt;0,"临近截止",IF(COUNTIFS(④退税核算!$A$4:$A$303,$A32,④退税核算!$S$4:$S$303,"待*")&gt;0,"待核算","已核算")))))</f>
        <v/>
      </c>
      <c r="T32" s="35" t="str">
        <f aca="false">IF($A32="","",IFERROR(INDEX(⑥单证留存!$P$4:$P$203,MATCH(①出口报关!B29,⑥单证留存!$A$4:$A$203,0)),"未登记"))</f>
        <v/>
      </c>
      <c r="U32" s="36" t="str">
        <f aca="false">IF($A32="","",IF(IF(OR(O32="超期未收汇",O32="超过收汇期限仍未销售")," 收汇超期","")&amp;IF(S32="已逾期"," 核算逾期","")&amp;IF(S32="临近截止"," 核算临近截止","")&amp;IF(LEFT(T32,1)="缺"," 单证"&amp;T32,"")&amp;IF(T32="未登记"," 单证未登记","")&amp;IF(AND(ISNUMBER(G32),N(G32)&lt;&gt;0)," 入仓差异"&amp;G32,"")="","正常",SUBSTITUTE(TRIM(IF(OR(O32="超期未收汇",O32="超过收汇期限仍未销售")," 收汇超期","")&amp;IF(S32="已逾期"," 核算逾期","")&amp;IF(S32="临近截止"," 核算临近截止","")&amp;IF(LEFT(T32,1)="缺"," 单证"&amp;T32,"")&amp;IF(T32="未登记"," 单证未登记","")&amp;IF(AND(ISNUMBER(G32),N(G32)&lt;&gt;0)," 入仓差异"&amp;G32,""))," ","、")))</f>
        <v/>
      </c>
    </row>
    <row r="33" customFormat="false" ht="21.75" hidden="false" customHeight="true" outlineLevel="0" collapsed="false">
      <c r="A33" s="29" t="str">
        <f aca="false">IF(①出口报关!A30="","",①出口报关!A30)</f>
        <v/>
      </c>
      <c r="B33" s="29" t="str">
        <f aca="false">IF($A33="","",①出口报关!I30)</f>
        <v/>
      </c>
      <c r="C33" s="29" t="str">
        <f aca="false">IF($A33="","",①出口报关!J30)</f>
        <v/>
      </c>
      <c r="D33" s="30" t="str">
        <f aca="false">IF($A33="","",IF(①出口报关!D30="","",①出口报关!D30))</f>
        <v/>
      </c>
      <c r="E33" s="31" t="str">
        <f aca="false">IF($A33="","",N(①出口报关!L30))</f>
        <v/>
      </c>
      <c r="F33" s="31" t="str">
        <f aca="false">IF($A33="","",IF(①出口报关!Y30="","未签收",①出口报关!Y30))</f>
        <v/>
      </c>
      <c r="G33" s="32" t="str">
        <f aca="false">IF(OR($A33="",NOT(ISNUMBER(F33))),"",F33-E33)</f>
        <v/>
      </c>
      <c r="H33" s="31" t="str">
        <f aca="false">IF($A33="","",SUMIFS(②销售核销!$I$4:$I$603,②销售核销!$E$4:$E$603,$A33))</f>
        <v/>
      </c>
      <c r="I33" s="31" t="str">
        <f aca="false">IF($A33="","",SUMIFS(⑤库存异常!$E$4:$E$203,⑤库存异常!$B$4:$B$203,$A33))</f>
        <v/>
      </c>
      <c r="J33" s="31" t="str">
        <f aca="false">IF($A33="","",IF(ISNUMBER(F33),F33,E33)-H33-I33)</f>
        <v/>
      </c>
      <c r="K33" s="33" t="str">
        <f aca="false">IF(OR($A33="",N(E33)=0),"",H33/E33)</f>
        <v/>
      </c>
      <c r="L33" s="34" t="str">
        <f aca="false">IF($A33="","",SUMIFS(②销售核销!$L$4:$L$603,②销售核销!$E$4:$E$603,$A33))</f>
        <v/>
      </c>
      <c r="M33" s="34" t="str">
        <f aca="false">IF($A33="","",SUMIFS(②销售核销!$L$4:$L$603,②销售核销!$E$4:$E$603,$A33,②销售核销!$M$4:$M$603,"已收汇"))</f>
        <v/>
      </c>
      <c r="N33" s="30" t="str">
        <f aca="false">IF(ISNUMBER(D33),DATE(YEAR(D33)+1,4,30),"")</f>
        <v/>
      </c>
      <c r="O33" s="35" t="str">
        <f aca="true">IF($A33="","",IF(N(H33)=0,IF(AND(ISNUMBER(N33),TODAY()&gt;N33),"超过收汇期限仍未销售","尚未销售"),IF(ROUND(M33,2)&gt;=ROUND(L33,2),"已售部分已收汇",IF(AND(ISNUMBER(N33),TODAY()&gt;N33),"超期未收汇","有回款待收汇"))))</f>
        <v/>
      </c>
      <c r="P33" s="34" t="str">
        <f aca="false">IF($A33="","",SUMIFS(④退税核算!$H$4:$H$303,④退税核算!$A$4:$A$303,$A33))</f>
        <v/>
      </c>
      <c r="Q33" s="34" t="str">
        <f aca="false">IF($A33="","",SUMIFS(④退税核算!$H$4:$H$303,④退税核算!$A$4:$A$303,$A33,④退税核算!$D$4:$D$303,"未售-海外仓预退（HWC-YT）"))</f>
        <v/>
      </c>
      <c r="R33" s="30" t="str">
        <f aca="false">IF($A33="","",IF(COUNTIFS(④退税核算!$A$4:$A$303,$A33,④退税核算!$D$4:$D$303,"未售-海外仓预退（HWC-YT）",④退税核算!$I$4:$I$303,"&gt;0")=0,"",_xlfn.MINIFS(④退税核算!$J$4:$J$303,④退税核算!$A$4:$A$303,$A33,④退税核算!$D$4:$D$303,"未售-海外仓预退（HWC-YT）")))</f>
        <v/>
      </c>
      <c r="S33" s="35" t="str">
        <f aca="false">IF($A33="","",IF(COUNTIFS(④退税核算!$A$4:$A$303,$A33,④退税核算!$D$4:$D$303,"未售-海外仓预退（HWC-YT）")=0,"不涉及",IF(COUNTIFS(④退税核算!$A$4:$A$303,$A33,④退税核算!$S$4:$S$303,"已逾期*")&gt;0,"已逾期",IF(COUNTIFS(④退税核算!$A$4:$A$303,$A33,④退税核算!$S$4:$S$303,"临近*")&gt;0,"临近截止",IF(COUNTIFS(④退税核算!$A$4:$A$303,$A33,④退税核算!$S$4:$S$303,"待*")&gt;0,"待核算","已核算")))))</f>
        <v/>
      </c>
      <c r="T33" s="35" t="str">
        <f aca="false">IF($A33="","",IFERROR(INDEX(⑥单证留存!$P$4:$P$203,MATCH(①出口报关!B30,⑥单证留存!$A$4:$A$203,0)),"未登记"))</f>
        <v/>
      </c>
      <c r="U33" s="36" t="str">
        <f aca="false">IF($A33="","",IF(IF(OR(O33="超期未收汇",O33="超过收汇期限仍未销售")," 收汇超期","")&amp;IF(S33="已逾期"," 核算逾期","")&amp;IF(S33="临近截止"," 核算临近截止","")&amp;IF(LEFT(T33,1)="缺"," 单证"&amp;T33,"")&amp;IF(T33="未登记"," 单证未登记","")&amp;IF(AND(ISNUMBER(G33),N(G33)&lt;&gt;0)," 入仓差异"&amp;G33,"")="","正常",SUBSTITUTE(TRIM(IF(OR(O33="超期未收汇",O33="超过收汇期限仍未销售")," 收汇超期","")&amp;IF(S33="已逾期"," 核算逾期","")&amp;IF(S33="临近截止"," 核算临近截止","")&amp;IF(LEFT(T33,1)="缺"," 单证"&amp;T33,"")&amp;IF(T33="未登记"," 单证未登记","")&amp;IF(AND(ISNUMBER(G33),N(G33)&lt;&gt;0)," 入仓差异"&amp;G33,""))," ","、")))</f>
        <v/>
      </c>
    </row>
    <row r="34" customFormat="false" ht="21.75" hidden="false" customHeight="true" outlineLevel="0" collapsed="false">
      <c r="A34" s="29" t="str">
        <f aca="false">IF(①出口报关!A31="","",①出口报关!A31)</f>
        <v/>
      </c>
      <c r="B34" s="29" t="str">
        <f aca="false">IF($A34="","",①出口报关!I31)</f>
        <v/>
      </c>
      <c r="C34" s="29" t="str">
        <f aca="false">IF($A34="","",①出口报关!J31)</f>
        <v/>
      </c>
      <c r="D34" s="30" t="str">
        <f aca="false">IF($A34="","",IF(①出口报关!D31="","",①出口报关!D31))</f>
        <v/>
      </c>
      <c r="E34" s="31" t="str">
        <f aca="false">IF($A34="","",N(①出口报关!L31))</f>
        <v/>
      </c>
      <c r="F34" s="31" t="str">
        <f aca="false">IF($A34="","",IF(①出口报关!Y31="","未签收",①出口报关!Y31))</f>
        <v/>
      </c>
      <c r="G34" s="32" t="str">
        <f aca="false">IF(OR($A34="",NOT(ISNUMBER(F34))),"",F34-E34)</f>
        <v/>
      </c>
      <c r="H34" s="31" t="str">
        <f aca="false">IF($A34="","",SUMIFS(②销售核销!$I$4:$I$603,②销售核销!$E$4:$E$603,$A34))</f>
        <v/>
      </c>
      <c r="I34" s="31" t="str">
        <f aca="false">IF($A34="","",SUMIFS(⑤库存异常!$E$4:$E$203,⑤库存异常!$B$4:$B$203,$A34))</f>
        <v/>
      </c>
      <c r="J34" s="31" t="str">
        <f aca="false">IF($A34="","",IF(ISNUMBER(F34),F34,E34)-H34-I34)</f>
        <v/>
      </c>
      <c r="K34" s="33" t="str">
        <f aca="false">IF(OR($A34="",N(E34)=0),"",H34/E34)</f>
        <v/>
      </c>
      <c r="L34" s="34" t="str">
        <f aca="false">IF($A34="","",SUMIFS(②销售核销!$L$4:$L$603,②销售核销!$E$4:$E$603,$A34))</f>
        <v/>
      </c>
      <c r="M34" s="34" t="str">
        <f aca="false">IF($A34="","",SUMIFS(②销售核销!$L$4:$L$603,②销售核销!$E$4:$E$603,$A34,②销售核销!$M$4:$M$603,"已收汇"))</f>
        <v/>
      </c>
      <c r="N34" s="30" t="str">
        <f aca="false">IF(ISNUMBER(D34),DATE(YEAR(D34)+1,4,30),"")</f>
        <v/>
      </c>
      <c r="O34" s="35" t="str">
        <f aca="true">IF($A34="","",IF(N(H34)=0,IF(AND(ISNUMBER(N34),TODAY()&gt;N34),"超过收汇期限仍未销售","尚未销售"),IF(ROUND(M34,2)&gt;=ROUND(L34,2),"已售部分已收汇",IF(AND(ISNUMBER(N34),TODAY()&gt;N34),"超期未收汇","有回款待收汇"))))</f>
        <v/>
      </c>
      <c r="P34" s="34" t="str">
        <f aca="false">IF($A34="","",SUMIFS(④退税核算!$H$4:$H$303,④退税核算!$A$4:$A$303,$A34))</f>
        <v/>
      </c>
      <c r="Q34" s="34" t="str">
        <f aca="false">IF($A34="","",SUMIFS(④退税核算!$H$4:$H$303,④退税核算!$A$4:$A$303,$A34,④退税核算!$D$4:$D$303,"未售-海外仓预退（HWC-YT）"))</f>
        <v/>
      </c>
      <c r="R34" s="30" t="str">
        <f aca="false">IF($A34="","",IF(COUNTIFS(④退税核算!$A$4:$A$303,$A34,④退税核算!$D$4:$D$303,"未售-海外仓预退（HWC-YT）",④退税核算!$I$4:$I$303,"&gt;0")=0,"",_xlfn.MINIFS(④退税核算!$J$4:$J$303,④退税核算!$A$4:$A$303,$A34,④退税核算!$D$4:$D$303,"未售-海外仓预退（HWC-YT）")))</f>
        <v/>
      </c>
      <c r="S34" s="35" t="str">
        <f aca="false">IF($A34="","",IF(COUNTIFS(④退税核算!$A$4:$A$303,$A34,④退税核算!$D$4:$D$303,"未售-海外仓预退（HWC-YT）")=0,"不涉及",IF(COUNTIFS(④退税核算!$A$4:$A$303,$A34,④退税核算!$S$4:$S$303,"已逾期*")&gt;0,"已逾期",IF(COUNTIFS(④退税核算!$A$4:$A$303,$A34,④退税核算!$S$4:$S$303,"临近*")&gt;0,"临近截止",IF(COUNTIFS(④退税核算!$A$4:$A$303,$A34,④退税核算!$S$4:$S$303,"待*")&gt;0,"待核算","已核算")))))</f>
        <v/>
      </c>
      <c r="T34" s="35" t="str">
        <f aca="false">IF($A34="","",IFERROR(INDEX(⑥单证留存!$P$4:$P$203,MATCH(①出口报关!B31,⑥单证留存!$A$4:$A$203,0)),"未登记"))</f>
        <v/>
      </c>
      <c r="U34" s="36" t="str">
        <f aca="false">IF($A34="","",IF(IF(OR(O34="超期未收汇",O34="超过收汇期限仍未销售")," 收汇超期","")&amp;IF(S34="已逾期"," 核算逾期","")&amp;IF(S34="临近截止"," 核算临近截止","")&amp;IF(LEFT(T34,1)="缺"," 单证"&amp;T34,"")&amp;IF(T34="未登记"," 单证未登记","")&amp;IF(AND(ISNUMBER(G34),N(G34)&lt;&gt;0)," 入仓差异"&amp;G34,"")="","正常",SUBSTITUTE(TRIM(IF(OR(O34="超期未收汇",O34="超过收汇期限仍未销售")," 收汇超期","")&amp;IF(S34="已逾期"," 核算逾期","")&amp;IF(S34="临近截止"," 核算临近截止","")&amp;IF(LEFT(T34,1)="缺"," 单证"&amp;T34,"")&amp;IF(T34="未登记"," 单证未登记","")&amp;IF(AND(ISNUMBER(G34),N(G34)&lt;&gt;0)," 入仓差异"&amp;G34,""))," ","、")))</f>
        <v/>
      </c>
    </row>
    <row r="35" customFormat="false" ht="21.75" hidden="false" customHeight="true" outlineLevel="0" collapsed="false">
      <c r="A35" s="29" t="str">
        <f aca="false">IF(①出口报关!A32="","",①出口报关!A32)</f>
        <v/>
      </c>
      <c r="B35" s="29" t="str">
        <f aca="false">IF($A35="","",①出口报关!I32)</f>
        <v/>
      </c>
      <c r="C35" s="29" t="str">
        <f aca="false">IF($A35="","",①出口报关!J32)</f>
        <v/>
      </c>
      <c r="D35" s="30" t="str">
        <f aca="false">IF($A35="","",IF(①出口报关!D32="","",①出口报关!D32))</f>
        <v/>
      </c>
      <c r="E35" s="31" t="str">
        <f aca="false">IF($A35="","",N(①出口报关!L32))</f>
        <v/>
      </c>
      <c r="F35" s="31" t="str">
        <f aca="false">IF($A35="","",IF(①出口报关!Y32="","未签收",①出口报关!Y32))</f>
        <v/>
      </c>
      <c r="G35" s="32" t="str">
        <f aca="false">IF(OR($A35="",NOT(ISNUMBER(F35))),"",F35-E35)</f>
        <v/>
      </c>
      <c r="H35" s="31" t="str">
        <f aca="false">IF($A35="","",SUMIFS(②销售核销!$I$4:$I$603,②销售核销!$E$4:$E$603,$A35))</f>
        <v/>
      </c>
      <c r="I35" s="31" t="str">
        <f aca="false">IF($A35="","",SUMIFS(⑤库存异常!$E$4:$E$203,⑤库存异常!$B$4:$B$203,$A35))</f>
        <v/>
      </c>
      <c r="J35" s="31" t="str">
        <f aca="false">IF($A35="","",IF(ISNUMBER(F35),F35,E35)-H35-I35)</f>
        <v/>
      </c>
      <c r="K35" s="33" t="str">
        <f aca="false">IF(OR($A35="",N(E35)=0),"",H35/E35)</f>
        <v/>
      </c>
      <c r="L35" s="34" t="str">
        <f aca="false">IF($A35="","",SUMIFS(②销售核销!$L$4:$L$603,②销售核销!$E$4:$E$603,$A35))</f>
        <v/>
      </c>
      <c r="M35" s="34" t="str">
        <f aca="false">IF($A35="","",SUMIFS(②销售核销!$L$4:$L$603,②销售核销!$E$4:$E$603,$A35,②销售核销!$M$4:$M$603,"已收汇"))</f>
        <v/>
      </c>
      <c r="N35" s="30" t="str">
        <f aca="false">IF(ISNUMBER(D35),DATE(YEAR(D35)+1,4,30),"")</f>
        <v/>
      </c>
      <c r="O35" s="35" t="str">
        <f aca="true">IF($A35="","",IF(N(H35)=0,IF(AND(ISNUMBER(N35),TODAY()&gt;N35),"超过收汇期限仍未销售","尚未销售"),IF(ROUND(M35,2)&gt;=ROUND(L35,2),"已售部分已收汇",IF(AND(ISNUMBER(N35),TODAY()&gt;N35),"超期未收汇","有回款待收汇"))))</f>
        <v/>
      </c>
      <c r="P35" s="34" t="str">
        <f aca="false">IF($A35="","",SUMIFS(④退税核算!$H$4:$H$303,④退税核算!$A$4:$A$303,$A35))</f>
        <v/>
      </c>
      <c r="Q35" s="34" t="str">
        <f aca="false">IF($A35="","",SUMIFS(④退税核算!$H$4:$H$303,④退税核算!$A$4:$A$303,$A35,④退税核算!$D$4:$D$303,"未售-海外仓预退（HWC-YT）"))</f>
        <v/>
      </c>
      <c r="R35" s="30" t="str">
        <f aca="false">IF($A35="","",IF(COUNTIFS(④退税核算!$A$4:$A$303,$A35,④退税核算!$D$4:$D$303,"未售-海外仓预退（HWC-YT）",④退税核算!$I$4:$I$303,"&gt;0")=0,"",_xlfn.MINIFS(④退税核算!$J$4:$J$303,④退税核算!$A$4:$A$303,$A35,④退税核算!$D$4:$D$303,"未售-海外仓预退（HWC-YT）")))</f>
        <v/>
      </c>
      <c r="S35" s="35" t="str">
        <f aca="false">IF($A35="","",IF(COUNTIFS(④退税核算!$A$4:$A$303,$A35,④退税核算!$D$4:$D$303,"未售-海外仓预退（HWC-YT）")=0,"不涉及",IF(COUNTIFS(④退税核算!$A$4:$A$303,$A35,④退税核算!$S$4:$S$303,"已逾期*")&gt;0,"已逾期",IF(COUNTIFS(④退税核算!$A$4:$A$303,$A35,④退税核算!$S$4:$S$303,"临近*")&gt;0,"临近截止",IF(COUNTIFS(④退税核算!$A$4:$A$303,$A35,④退税核算!$S$4:$S$303,"待*")&gt;0,"待核算","已核算")))))</f>
        <v/>
      </c>
      <c r="T35" s="35" t="str">
        <f aca="false">IF($A35="","",IFERROR(INDEX(⑥单证留存!$P$4:$P$203,MATCH(①出口报关!B32,⑥单证留存!$A$4:$A$203,0)),"未登记"))</f>
        <v/>
      </c>
      <c r="U35" s="36" t="str">
        <f aca="false">IF($A35="","",IF(IF(OR(O35="超期未收汇",O35="超过收汇期限仍未销售")," 收汇超期","")&amp;IF(S35="已逾期"," 核算逾期","")&amp;IF(S35="临近截止"," 核算临近截止","")&amp;IF(LEFT(T35,1)="缺"," 单证"&amp;T35,"")&amp;IF(T35="未登记"," 单证未登记","")&amp;IF(AND(ISNUMBER(G35),N(G35)&lt;&gt;0)," 入仓差异"&amp;G35,"")="","正常",SUBSTITUTE(TRIM(IF(OR(O35="超期未收汇",O35="超过收汇期限仍未销售")," 收汇超期","")&amp;IF(S35="已逾期"," 核算逾期","")&amp;IF(S35="临近截止"," 核算临近截止","")&amp;IF(LEFT(T35,1)="缺"," 单证"&amp;T35,"")&amp;IF(T35="未登记"," 单证未登记","")&amp;IF(AND(ISNUMBER(G35),N(G35)&lt;&gt;0)," 入仓差异"&amp;G35,""))," ","、")))</f>
        <v/>
      </c>
    </row>
    <row r="36" customFormat="false" ht="21.75" hidden="false" customHeight="true" outlineLevel="0" collapsed="false">
      <c r="A36" s="29" t="str">
        <f aca="false">IF(①出口报关!A33="","",①出口报关!A33)</f>
        <v/>
      </c>
      <c r="B36" s="29" t="str">
        <f aca="false">IF($A36="","",①出口报关!I33)</f>
        <v/>
      </c>
      <c r="C36" s="29" t="str">
        <f aca="false">IF($A36="","",①出口报关!J33)</f>
        <v/>
      </c>
      <c r="D36" s="30" t="str">
        <f aca="false">IF($A36="","",IF(①出口报关!D33="","",①出口报关!D33))</f>
        <v/>
      </c>
      <c r="E36" s="31" t="str">
        <f aca="false">IF($A36="","",N(①出口报关!L33))</f>
        <v/>
      </c>
      <c r="F36" s="31" t="str">
        <f aca="false">IF($A36="","",IF(①出口报关!Y33="","未签收",①出口报关!Y33))</f>
        <v/>
      </c>
      <c r="G36" s="32" t="str">
        <f aca="false">IF(OR($A36="",NOT(ISNUMBER(F36))),"",F36-E36)</f>
        <v/>
      </c>
      <c r="H36" s="31" t="str">
        <f aca="false">IF($A36="","",SUMIFS(②销售核销!$I$4:$I$603,②销售核销!$E$4:$E$603,$A36))</f>
        <v/>
      </c>
      <c r="I36" s="31" t="str">
        <f aca="false">IF($A36="","",SUMIFS(⑤库存异常!$E$4:$E$203,⑤库存异常!$B$4:$B$203,$A36))</f>
        <v/>
      </c>
      <c r="J36" s="31" t="str">
        <f aca="false">IF($A36="","",IF(ISNUMBER(F36),F36,E36)-H36-I36)</f>
        <v/>
      </c>
      <c r="K36" s="33" t="str">
        <f aca="false">IF(OR($A36="",N(E36)=0),"",H36/E36)</f>
        <v/>
      </c>
      <c r="L36" s="34" t="str">
        <f aca="false">IF($A36="","",SUMIFS(②销售核销!$L$4:$L$603,②销售核销!$E$4:$E$603,$A36))</f>
        <v/>
      </c>
      <c r="M36" s="34" t="str">
        <f aca="false">IF($A36="","",SUMIFS(②销售核销!$L$4:$L$603,②销售核销!$E$4:$E$603,$A36,②销售核销!$M$4:$M$603,"已收汇"))</f>
        <v/>
      </c>
      <c r="N36" s="30" t="str">
        <f aca="false">IF(ISNUMBER(D36),DATE(YEAR(D36)+1,4,30),"")</f>
        <v/>
      </c>
      <c r="O36" s="35" t="str">
        <f aca="true">IF($A36="","",IF(N(H36)=0,IF(AND(ISNUMBER(N36),TODAY()&gt;N36),"超过收汇期限仍未销售","尚未销售"),IF(ROUND(M36,2)&gt;=ROUND(L36,2),"已售部分已收汇",IF(AND(ISNUMBER(N36),TODAY()&gt;N36),"超期未收汇","有回款待收汇"))))</f>
        <v/>
      </c>
      <c r="P36" s="34" t="str">
        <f aca="false">IF($A36="","",SUMIFS(④退税核算!$H$4:$H$303,④退税核算!$A$4:$A$303,$A36))</f>
        <v/>
      </c>
      <c r="Q36" s="34" t="str">
        <f aca="false">IF($A36="","",SUMIFS(④退税核算!$H$4:$H$303,④退税核算!$A$4:$A$303,$A36,④退税核算!$D$4:$D$303,"未售-海外仓预退（HWC-YT）"))</f>
        <v/>
      </c>
      <c r="R36" s="30" t="str">
        <f aca="false">IF($A36="","",IF(COUNTIFS(④退税核算!$A$4:$A$303,$A36,④退税核算!$D$4:$D$303,"未售-海外仓预退（HWC-YT）",④退税核算!$I$4:$I$303,"&gt;0")=0,"",_xlfn.MINIFS(④退税核算!$J$4:$J$303,④退税核算!$A$4:$A$303,$A36,④退税核算!$D$4:$D$303,"未售-海外仓预退（HWC-YT）")))</f>
        <v/>
      </c>
      <c r="S36" s="35" t="str">
        <f aca="false">IF($A36="","",IF(COUNTIFS(④退税核算!$A$4:$A$303,$A36,④退税核算!$D$4:$D$303,"未售-海外仓预退（HWC-YT）")=0,"不涉及",IF(COUNTIFS(④退税核算!$A$4:$A$303,$A36,④退税核算!$S$4:$S$303,"已逾期*")&gt;0,"已逾期",IF(COUNTIFS(④退税核算!$A$4:$A$303,$A36,④退税核算!$S$4:$S$303,"临近*")&gt;0,"临近截止",IF(COUNTIFS(④退税核算!$A$4:$A$303,$A36,④退税核算!$S$4:$S$303,"待*")&gt;0,"待核算","已核算")))))</f>
        <v/>
      </c>
      <c r="T36" s="35" t="str">
        <f aca="false">IF($A36="","",IFERROR(INDEX(⑥单证留存!$P$4:$P$203,MATCH(①出口报关!B33,⑥单证留存!$A$4:$A$203,0)),"未登记"))</f>
        <v/>
      </c>
      <c r="U36" s="36" t="str">
        <f aca="false">IF($A36="","",IF(IF(OR(O36="超期未收汇",O36="超过收汇期限仍未销售")," 收汇超期","")&amp;IF(S36="已逾期"," 核算逾期","")&amp;IF(S36="临近截止"," 核算临近截止","")&amp;IF(LEFT(T36,1)="缺"," 单证"&amp;T36,"")&amp;IF(T36="未登记"," 单证未登记","")&amp;IF(AND(ISNUMBER(G36),N(G36)&lt;&gt;0)," 入仓差异"&amp;G36,"")="","正常",SUBSTITUTE(TRIM(IF(OR(O36="超期未收汇",O36="超过收汇期限仍未销售")," 收汇超期","")&amp;IF(S36="已逾期"," 核算逾期","")&amp;IF(S36="临近截止"," 核算临近截止","")&amp;IF(LEFT(T36,1)="缺"," 单证"&amp;T36,"")&amp;IF(T36="未登记"," 单证未登记","")&amp;IF(AND(ISNUMBER(G36),N(G36)&lt;&gt;0)," 入仓差异"&amp;G36,""))," ","、")))</f>
        <v/>
      </c>
    </row>
    <row r="37" customFormat="false" ht="21.75" hidden="false" customHeight="true" outlineLevel="0" collapsed="false">
      <c r="A37" s="29" t="str">
        <f aca="false">IF(①出口报关!A34="","",①出口报关!A34)</f>
        <v/>
      </c>
      <c r="B37" s="29" t="str">
        <f aca="false">IF($A37="","",①出口报关!I34)</f>
        <v/>
      </c>
      <c r="C37" s="29" t="str">
        <f aca="false">IF($A37="","",①出口报关!J34)</f>
        <v/>
      </c>
      <c r="D37" s="30" t="str">
        <f aca="false">IF($A37="","",IF(①出口报关!D34="","",①出口报关!D34))</f>
        <v/>
      </c>
      <c r="E37" s="31" t="str">
        <f aca="false">IF($A37="","",N(①出口报关!L34))</f>
        <v/>
      </c>
      <c r="F37" s="31" t="str">
        <f aca="false">IF($A37="","",IF(①出口报关!Y34="","未签收",①出口报关!Y34))</f>
        <v/>
      </c>
      <c r="G37" s="32" t="str">
        <f aca="false">IF(OR($A37="",NOT(ISNUMBER(F37))),"",F37-E37)</f>
        <v/>
      </c>
      <c r="H37" s="31" t="str">
        <f aca="false">IF($A37="","",SUMIFS(②销售核销!$I$4:$I$603,②销售核销!$E$4:$E$603,$A37))</f>
        <v/>
      </c>
      <c r="I37" s="31" t="str">
        <f aca="false">IF($A37="","",SUMIFS(⑤库存异常!$E$4:$E$203,⑤库存异常!$B$4:$B$203,$A37))</f>
        <v/>
      </c>
      <c r="J37" s="31" t="str">
        <f aca="false">IF($A37="","",IF(ISNUMBER(F37),F37,E37)-H37-I37)</f>
        <v/>
      </c>
      <c r="K37" s="33" t="str">
        <f aca="false">IF(OR($A37="",N(E37)=0),"",H37/E37)</f>
        <v/>
      </c>
      <c r="L37" s="34" t="str">
        <f aca="false">IF($A37="","",SUMIFS(②销售核销!$L$4:$L$603,②销售核销!$E$4:$E$603,$A37))</f>
        <v/>
      </c>
      <c r="M37" s="34" t="str">
        <f aca="false">IF($A37="","",SUMIFS(②销售核销!$L$4:$L$603,②销售核销!$E$4:$E$603,$A37,②销售核销!$M$4:$M$603,"已收汇"))</f>
        <v/>
      </c>
      <c r="N37" s="30" t="str">
        <f aca="false">IF(ISNUMBER(D37),DATE(YEAR(D37)+1,4,30),"")</f>
        <v/>
      </c>
      <c r="O37" s="35" t="str">
        <f aca="true">IF($A37="","",IF(N(H37)=0,IF(AND(ISNUMBER(N37),TODAY()&gt;N37),"超过收汇期限仍未销售","尚未销售"),IF(ROUND(M37,2)&gt;=ROUND(L37,2),"已售部分已收汇",IF(AND(ISNUMBER(N37),TODAY()&gt;N37),"超期未收汇","有回款待收汇"))))</f>
        <v/>
      </c>
      <c r="P37" s="34" t="str">
        <f aca="false">IF($A37="","",SUMIFS(④退税核算!$H$4:$H$303,④退税核算!$A$4:$A$303,$A37))</f>
        <v/>
      </c>
      <c r="Q37" s="34" t="str">
        <f aca="false">IF($A37="","",SUMIFS(④退税核算!$H$4:$H$303,④退税核算!$A$4:$A$303,$A37,④退税核算!$D$4:$D$303,"未售-海外仓预退（HWC-YT）"))</f>
        <v/>
      </c>
      <c r="R37" s="30" t="str">
        <f aca="false">IF($A37="","",IF(COUNTIFS(④退税核算!$A$4:$A$303,$A37,④退税核算!$D$4:$D$303,"未售-海外仓预退（HWC-YT）",④退税核算!$I$4:$I$303,"&gt;0")=0,"",_xlfn.MINIFS(④退税核算!$J$4:$J$303,④退税核算!$A$4:$A$303,$A37,④退税核算!$D$4:$D$303,"未售-海外仓预退（HWC-YT）")))</f>
        <v/>
      </c>
      <c r="S37" s="35" t="str">
        <f aca="false">IF($A37="","",IF(COUNTIFS(④退税核算!$A$4:$A$303,$A37,④退税核算!$D$4:$D$303,"未售-海外仓预退（HWC-YT）")=0,"不涉及",IF(COUNTIFS(④退税核算!$A$4:$A$303,$A37,④退税核算!$S$4:$S$303,"已逾期*")&gt;0,"已逾期",IF(COUNTIFS(④退税核算!$A$4:$A$303,$A37,④退税核算!$S$4:$S$303,"临近*")&gt;0,"临近截止",IF(COUNTIFS(④退税核算!$A$4:$A$303,$A37,④退税核算!$S$4:$S$303,"待*")&gt;0,"待核算","已核算")))))</f>
        <v/>
      </c>
      <c r="T37" s="35" t="str">
        <f aca="false">IF($A37="","",IFERROR(INDEX(⑥单证留存!$P$4:$P$203,MATCH(①出口报关!B34,⑥单证留存!$A$4:$A$203,0)),"未登记"))</f>
        <v/>
      </c>
      <c r="U37" s="36" t="str">
        <f aca="false">IF($A37="","",IF(IF(OR(O37="超期未收汇",O37="超过收汇期限仍未销售")," 收汇超期","")&amp;IF(S37="已逾期"," 核算逾期","")&amp;IF(S37="临近截止"," 核算临近截止","")&amp;IF(LEFT(T37,1)="缺"," 单证"&amp;T37,"")&amp;IF(T37="未登记"," 单证未登记","")&amp;IF(AND(ISNUMBER(G37),N(G37)&lt;&gt;0)," 入仓差异"&amp;G37,"")="","正常",SUBSTITUTE(TRIM(IF(OR(O37="超期未收汇",O37="超过收汇期限仍未销售")," 收汇超期","")&amp;IF(S37="已逾期"," 核算逾期","")&amp;IF(S37="临近截止"," 核算临近截止","")&amp;IF(LEFT(T37,1)="缺"," 单证"&amp;T37,"")&amp;IF(T37="未登记"," 单证未登记","")&amp;IF(AND(ISNUMBER(G37),N(G37)&lt;&gt;0)," 入仓差异"&amp;G37,""))," ","、")))</f>
        <v/>
      </c>
    </row>
    <row r="38" customFormat="false" ht="21.75" hidden="false" customHeight="true" outlineLevel="0" collapsed="false">
      <c r="A38" s="29" t="str">
        <f aca="false">IF(①出口报关!A35="","",①出口报关!A35)</f>
        <v/>
      </c>
      <c r="B38" s="29" t="str">
        <f aca="false">IF($A38="","",①出口报关!I35)</f>
        <v/>
      </c>
      <c r="C38" s="29" t="str">
        <f aca="false">IF($A38="","",①出口报关!J35)</f>
        <v/>
      </c>
      <c r="D38" s="30" t="str">
        <f aca="false">IF($A38="","",IF(①出口报关!D35="","",①出口报关!D35))</f>
        <v/>
      </c>
      <c r="E38" s="31" t="str">
        <f aca="false">IF($A38="","",N(①出口报关!L35))</f>
        <v/>
      </c>
      <c r="F38" s="31" t="str">
        <f aca="false">IF($A38="","",IF(①出口报关!Y35="","未签收",①出口报关!Y35))</f>
        <v/>
      </c>
      <c r="G38" s="32" t="str">
        <f aca="false">IF(OR($A38="",NOT(ISNUMBER(F38))),"",F38-E38)</f>
        <v/>
      </c>
      <c r="H38" s="31" t="str">
        <f aca="false">IF($A38="","",SUMIFS(②销售核销!$I$4:$I$603,②销售核销!$E$4:$E$603,$A38))</f>
        <v/>
      </c>
      <c r="I38" s="31" t="str">
        <f aca="false">IF($A38="","",SUMIFS(⑤库存异常!$E$4:$E$203,⑤库存异常!$B$4:$B$203,$A38))</f>
        <v/>
      </c>
      <c r="J38" s="31" t="str">
        <f aca="false">IF($A38="","",IF(ISNUMBER(F38),F38,E38)-H38-I38)</f>
        <v/>
      </c>
      <c r="K38" s="33" t="str">
        <f aca="false">IF(OR($A38="",N(E38)=0),"",H38/E38)</f>
        <v/>
      </c>
      <c r="L38" s="34" t="str">
        <f aca="false">IF($A38="","",SUMIFS(②销售核销!$L$4:$L$603,②销售核销!$E$4:$E$603,$A38))</f>
        <v/>
      </c>
      <c r="M38" s="34" t="str">
        <f aca="false">IF($A38="","",SUMIFS(②销售核销!$L$4:$L$603,②销售核销!$E$4:$E$603,$A38,②销售核销!$M$4:$M$603,"已收汇"))</f>
        <v/>
      </c>
      <c r="N38" s="30" t="str">
        <f aca="false">IF(ISNUMBER(D38),DATE(YEAR(D38)+1,4,30),"")</f>
        <v/>
      </c>
      <c r="O38" s="35" t="str">
        <f aca="true">IF($A38="","",IF(N(H38)=0,IF(AND(ISNUMBER(N38),TODAY()&gt;N38),"超过收汇期限仍未销售","尚未销售"),IF(ROUND(M38,2)&gt;=ROUND(L38,2),"已售部分已收汇",IF(AND(ISNUMBER(N38),TODAY()&gt;N38),"超期未收汇","有回款待收汇"))))</f>
        <v/>
      </c>
      <c r="P38" s="34" t="str">
        <f aca="false">IF($A38="","",SUMIFS(④退税核算!$H$4:$H$303,④退税核算!$A$4:$A$303,$A38))</f>
        <v/>
      </c>
      <c r="Q38" s="34" t="str">
        <f aca="false">IF($A38="","",SUMIFS(④退税核算!$H$4:$H$303,④退税核算!$A$4:$A$303,$A38,④退税核算!$D$4:$D$303,"未售-海外仓预退（HWC-YT）"))</f>
        <v/>
      </c>
      <c r="R38" s="30" t="str">
        <f aca="false">IF($A38="","",IF(COUNTIFS(④退税核算!$A$4:$A$303,$A38,④退税核算!$D$4:$D$303,"未售-海外仓预退（HWC-YT）",④退税核算!$I$4:$I$303,"&gt;0")=0,"",_xlfn.MINIFS(④退税核算!$J$4:$J$303,④退税核算!$A$4:$A$303,$A38,④退税核算!$D$4:$D$303,"未售-海外仓预退（HWC-YT）")))</f>
        <v/>
      </c>
      <c r="S38" s="35" t="str">
        <f aca="false">IF($A38="","",IF(COUNTIFS(④退税核算!$A$4:$A$303,$A38,④退税核算!$D$4:$D$303,"未售-海外仓预退（HWC-YT）")=0,"不涉及",IF(COUNTIFS(④退税核算!$A$4:$A$303,$A38,④退税核算!$S$4:$S$303,"已逾期*")&gt;0,"已逾期",IF(COUNTIFS(④退税核算!$A$4:$A$303,$A38,④退税核算!$S$4:$S$303,"临近*")&gt;0,"临近截止",IF(COUNTIFS(④退税核算!$A$4:$A$303,$A38,④退税核算!$S$4:$S$303,"待*")&gt;0,"待核算","已核算")))))</f>
        <v/>
      </c>
      <c r="T38" s="35" t="str">
        <f aca="false">IF($A38="","",IFERROR(INDEX(⑥单证留存!$P$4:$P$203,MATCH(①出口报关!B35,⑥单证留存!$A$4:$A$203,0)),"未登记"))</f>
        <v/>
      </c>
      <c r="U38" s="36" t="str">
        <f aca="false">IF($A38="","",IF(IF(OR(O38="超期未收汇",O38="超过收汇期限仍未销售")," 收汇超期","")&amp;IF(S38="已逾期"," 核算逾期","")&amp;IF(S38="临近截止"," 核算临近截止","")&amp;IF(LEFT(T38,1)="缺"," 单证"&amp;T38,"")&amp;IF(T38="未登记"," 单证未登记","")&amp;IF(AND(ISNUMBER(G38),N(G38)&lt;&gt;0)," 入仓差异"&amp;G38,"")="","正常",SUBSTITUTE(TRIM(IF(OR(O38="超期未收汇",O38="超过收汇期限仍未销售")," 收汇超期","")&amp;IF(S38="已逾期"," 核算逾期","")&amp;IF(S38="临近截止"," 核算临近截止","")&amp;IF(LEFT(T38,1)="缺"," 单证"&amp;T38,"")&amp;IF(T38="未登记"," 单证未登记","")&amp;IF(AND(ISNUMBER(G38),N(G38)&lt;&gt;0)," 入仓差异"&amp;G38,""))," ","、")))</f>
        <v/>
      </c>
    </row>
    <row r="39" customFormat="false" ht="21.75" hidden="false" customHeight="true" outlineLevel="0" collapsed="false">
      <c r="A39" s="29" t="str">
        <f aca="false">IF(①出口报关!A36="","",①出口报关!A36)</f>
        <v/>
      </c>
      <c r="B39" s="29" t="str">
        <f aca="false">IF($A39="","",①出口报关!I36)</f>
        <v/>
      </c>
      <c r="C39" s="29" t="str">
        <f aca="false">IF($A39="","",①出口报关!J36)</f>
        <v/>
      </c>
      <c r="D39" s="30" t="str">
        <f aca="false">IF($A39="","",IF(①出口报关!D36="","",①出口报关!D36))</f>
        <v/>
      </c>
      <c r="E39" s="31" t="str">
        <f aca="false">IF($A39="","",N(①出口报关!L36))</f>
        <v/>
      </c>
      <c r="F39" s="31" t="str">
        <f aca="false">IF($A39="","",IF(①出口报关!Y36="","未签收",①出口报关!Y36))</f>
        <v/>
      </c>
      <c r="G39" s="32" t="str">
        <f aca="false">IF(OR($A39="",NOT(ISNUMBER(F39))),"",F39-E39)</f>
        <v/>
      </c>
      <c r="H39" s="31" t="str">
        <f aca="false">IF($A39="","",SUMIFS(②销售核销!$I$4:$I$603,②销售核销!$E$4:$E$603,$A39))</f>
        <v/>
      </c>
      <c r="I39" s="31" t="str">
        <f aca="false">IF($A39="","",SUMIFS(⑤库存异常!$E$4:$E$203,⑤库存异常!$B$4:$B$203,$A39))</f>
        <v/>
      </c>
      <c r="J39" s="31" t="str">
        <f aca="false">IF($A39="","",IF(ISNUMBER(F39),F39,E39)-H39-I39)</f>
        <v/>
      </c>
      <c r="K39" s="33" t="str">
        <f aca="false">IF(OR($A39="",N(E39)=0),"",H39/E39)</f>
        <v/>
      </c>
      <c r="L39" s="34" t="str">
        <f aca="false">IF($A39="","",SUMIFS(②销售核销!$L$4:$L$603,②销售核销!$E$4:$E$603,$A39))</f>
        <v/>
      </c>
      <c r="M39" s="34" t="str">
        <f aca="false">IF($A39="","",SUMIFS(②销售核销!$L$4:$L$603,②销售核销!$E$4:$E$603,$A39,②销售核销!$M$4:$M$603,"已收汇"))</f>
        <v/>
      </c>
      <c r="N39" s="30" t="str">
        <f aca="false">IF(ISNUMBER(D39),DATE(YEAR(D39)+1,4,30),"")</f>
        <v/>
      </c>
      <c r="O39" s="35" t="str">
        <f aca="true">IF($A39="","",IF(N(H39)=0,IF(AND(ISNUMBER(N39),TODAY()&gt;N39),"超过收汇期限仍未销售","尚未销售"),IF(ROUND(M39,2)&gt;=ROUND(L39,2),"已售部分已收汇",IF(AND(ISNUMBER(N39),TODAY()&gt;N39),"超期未收汇","有回款待收汇"))))</f>
        <v/>
      </c>
      <c r="P39" s="34" t="str">
        <f aca="false">IF($A39="","",SUMIFS(④退税核算!$H$4:$H$303,④退税核算!$A$4:$A$303,$A39))</f>
        <v/>
      </c>
      <c r="Q39" s="34" t="str">
        <f aca="false">IF($A39="","",SUMIFS(④退税核算!$H$4:$H$303,④退税核算!$A$4:$A$303,$A39,④退税核算!$D$4:$D$303,"未售-海外仓预退（HWC-YT）"))</f>
        <v/>
      </c>
      <c r="R39" s="30" t="str">
        <f aca="false">IF($A39="","",IF(COUNTIFS(④退税核算!$A$4:$A$303,$A39,④退税核算!$D$4:$D$303,"未售-海外仓预退（HWC-YT）",④退税核算!$I$4:$I$303,"&gt;0")=0,"",_xlfn.MINIFS(④退税核算!$J$4:$J$303,④退税核算!$A$4:$A$303,$A39,④退税核算!$D$4:$D$303,"未售-海外仓预退（HWC-YT）")))</f>
        <v/>
      </c>
      <c r="S39" s="35" t="str">
        <f aca="false">IF($A39="","",IF(COUNTIFS(④退税核算!$A$4:$A$303,$A39,④退税核算!$D$4:$D$303,"未售-海外仓预退（HWC-YT）")=0,"不涉及",IF(COUNTIFS(④退税核算!$A$4:$A$303,$A39,④退税核算!$S$4:$S$303,"已逾期*")&gt;0,"已逾期",IF(COUNTIFS(④退税核算!$A$4:$A$303,$A39,④退税核算!$S$4:$S$303,"临近*")&gt;0,"临近截止",IF(COUNTIFS(④退税核算!$A$4:$A$303,$A39,④退税核算!$S$4:$S$303,"待*")&gt;0,"待核算","已核算")))))</f>
        <v/>
      </c>
      <c r="T39" s="35" t="str">
        <f aca="false">IF($A39="","",IFERROR(INDEX(⑥单证留存!$P$4:$P$203,MATCH(①出口报关!B36,⑥单证留存!$A$4:$A$203,0)),"未登记"))</f>
        <v/>
      </c>
      <c r="U39" s="36" t="str">
        <f aca="false">IF($A39="","",IF(IF(OR(O39="超期未收汇",O39="超过收汇期限仍未销售")," 收汇超期","")&amp;IF(S39="已逾期"," 核算逾期","")&amp;IF(S39="临近截止"," 核算临近截止","")&amp;IF(LEFT(T39,1)="缺"," 单证"&amp;T39,"")&amp;IF(T39="未登记"," 单证未登记","")&amp;IF(AND(ISNUMBER(G39),N(G39)&lt;&gt;0)," 入仓差异"&amp;G39,"")="","正常",SUBSTITUTE(TRIM(IF(OR(O39="超期未收汇",O39="超过收汇期限仍未销售")," 收汇超期","")&amp;IF(S39="已逾期"," 核算逾期","")&amp;IF(S39="临近截止"," 核算临近截止","")&amp;IF(LEFT(T39,1)="缺"," 单证"&amp;T39,"")&amp;IF(T39="未登记"," 单证未登记","")&amp;IF(AND(ISNUMBER(G39),N(G39)&lt;&gt;0)," 入仓差异"&amp;G39,""))," ","、")))</f>
        <v/>
      </c>
    </row>
    <row r="40" customFormat="false" ht="21.75" hidden="false" customHeight="true" outlineLevel="0" collapsed="false">
      <c r="A40" s="29" t="str">
        <f aca="false">IF(①出口报关!A37="","",①出口报关!A37)</f>
        <v/>
      </c>
      <c r="B40" s="29" t="str">
        <f aca="false">IF($A40="","",①出口报关!I37)</f>
        <v/>
      </c>
      <c r="C40" s="29" t="str">
        <f aca="false">IF($A40="","",①出口报关!J37)</f>
        <v/>
      </c>
      <c r="D40" s="30" t="str">
        <f aca="false">IF($A40="","",IF(①出口报关!D37="","",①出口报关!D37))</f>
        <v/>
      </c>
      <c r="E40" s="31" t="str">
        <f aca="false">IF($A40="","",N(①出口报关!L37))</f>
        <v/>
      </c>
      <c r="F40" s="31" t="str">
        <f aca="false">IF($A40="","",IF(①出口报关!Y37="","未签收",①出口报关!Y37))</f>
        <v/>
      </c>
      <c r="G40" s="32" t="str">
        <f aca="false">IF(OR($A40="",NOT(ISNUMBER(F40))),"",F40-E40)</f>
        <v/>
      </c>
      <c r="H40" s="31" t="str">
        <f aca="false">IF($A40="","",SUMIFS(②销售核销!$I$4:$I$603,②销售核销!$E$4:$E$603,$A40))</f>
        <v/>
      </c>
      <c r="I40" s="31" t="str">
        <f aca="false">IF($A40="","",SUMIFS(⑤库存异常!$E$4:$E$203,⑤库存异常!$B$4:$B$203,$A40))</f>
        <v/>
      </c>
      <c r="J40" s="31" t="str">
        <f aca="false">IF($A40="","",IF(ISNUMBER(F40),F40,E40)-H40-I40)</f>
        <v/>
      </c>
      <c r="K40" s="33" t="str">
        <f aca="false">IF(OR($A40="",N(E40)=0),"",H40/E40)</f>
        <v/>
      </c>
      <c r="L40" s="34" t="str">
        <f aca="false">IF($A40="","",SUMIFS(②销售核销!$L$4:$L$603,②销售核销!$E$4:$E$603,$A40))</f>
        <v/>
      </c>
      <c r="M40" s="34" t="str">
        <f aca="false">IF($A40="","",SUMIFS(②销售核销!$L$4:$L$603,②销售核销!$E$4:$E$603,$A40,②销售核销!$M$4:$M$603,"已收汇"))</f>
        <v/>
      </c>
      <c r="N40" s="30" t="str">
        <f aca="false">IF(ISNUMBER(D40),DATE(YEAR(D40)+1,4,30),"")</f>
        <v/>
      </c>
      <c r="O40" s="35" t="str">
        <f aca="true">IF($A40="","",IF(N(H40)=0,IF(AND(ISNUMBER(N40),TODAY()&gt;N40),"超过收汇期限仍未销售","尚未销售"),IF(ROUND(M40,2)&gt;=ROUND(L40,2),"已售部分已收汇",IF(AND(ISNUMBER(N40),TODAY()&gt;N40),"超期未收汇","有回款待收汇"))))</f>
        <v/>
      </c>
      <c r="P40" s="34" t="str">
        <f aca="false">IF($A40="","",SUMIFS(④退税核算!$H$4:$H$303,④退税核算!$A$4:$A$303,$A40))</f>
        <v/>
      </c>
      <c r="Q40" s="34" t="str">
        <f aca="false">IF($A40="","",SUMIFS(④退税核算!$H$4:$H$303,④退税核算!$A$4:$A$303,$A40,④退税核算!$D$4:$D$303,"未售-海外仓预退（HWC-YT）"))</f>
        <v/>
      </c>
      <c r="R40" s="30" t="str">
        <f aca="false">IF($A40="","",IF(COUNTIFS(④退税核算!$A$4:$A$303,$A40,④退税核算!$D$4:$D$303,"未售-海外仓预退（HWC-YT）",④退税核算!$I$4:$I$303,"&gt;0")=0,"",_xlfn.MINIFS(④退税核算!$J$4:$J$303,④退税核算!$A$4:$A$303,$A40,④退税核算!$D$4:$D$303,"未售-海外仓预退（HWC-YT）")))</f>
        <v/>
      </c>
      <c r="S40" s="35" t="str">
        <f aca="false">IF($A40="","",IF(COUNTIFS(④退税核算!$A$4:$A$303,$A40,④退税核算!$D$4:$D$303,"未售-海外仓预退（HWC-YT）")=0,"不涉及",IF(COUNTIFS(④退税核算!$A$4:$A$303,$A40,④退税核算!$S$4:$S$303,"已逾期*")&gt;0,"已逾期",IF(COUNTIFS(④退税核算!$A$4:$A$303,$A40,④退税核算!$S$4:$S$303,"临近*")&gt;0,"临近截止",IF(COUNTIFS(④退税核算!$A$4:$A$303,$A40,④退税核算!$S$4:$S$303,"待*")&gt;0,"待核算","已核算")))))</f>
        <v/>
      </c>
      <c r="T40" s="35" t="str">
        <f aca="false">IF($A40="","",IFERROR(INDEX(⑥单证留存!$P$4:$P$203,MATCH(①出口报关!B37,⑥单证留存!$A$4:$A$203,0)),"未登记"))</f>
        <v/>
      </c>
      <c r="U40" s="36" t="str">
        <f aca="false">IF($A40="","",IF(IF(OR(O40="超期未收汇",O40="超过收汇期限仍未销售")," 收汇超期","")&amp;IF(S40="已逾期"," 核算逾期","")&amp;IF(S40="临近截止"," 核算临近截止","")&amp;IF(LEFT(T40,1)="缺"," 单证"&amp;T40,"")&amp;IF(T40="未登记"," 单证未登记","")&amp;IF(AND(ISNUMBER(G40),N(G40)&lt;&gt;0)," 入仓差异"&amp;G40,"")="","正常",SUBSTITUTE(TRIM(IF(OR(O40="超期未收汇",O40="超过收汇期限仍未销售")," 收汇超期","")&amp;IF(S40="已逾期"," 核算逾期","")&amp;IF(S40="临近截止"," 核算临近截止","")&amp;IF(LEFT(T40,1)="缺"," 单证"&amp;T40,"")&amp;IF(T40="未登记"," 单证未登记","")&amp;IF(AND(ISNUMBER(G40),N(G40)&lt;&gt;0)," 入仓差异"&amp;G40,""))," ","、")))</f>
        <v/>
      </c>
    </row>
    <row r="41" customFormat="false" ht="21.75" hidden="false" customHeight="true" outlineLevel="0" collapsed="false">
      <c r="A41" s="29" t="str">
        <f aca="false">IF(①出口报关!A38="","",①出口报关!A38)</f>
        <v/>
      </c>
      <c r="B41" s="29" t="str">
        <f aca="false">IF($A41="","",①出口报关!I38)</f>
        <v/>
      </c>
      <c r="C41" s="29" t="str">
        <f aca="false">IF($A41="","",①出口报关!J38)</f>
        <v/>
      </c>
      <c r="D41" s="30" t="str">
        <f aca="false">IF($A41="","",IF(①出口报关!D38="","",①出口报关!D38))</f>
        <v/>
      </c>
      <c r="E41" s="31" t="str">
        <f aca="false">IF($A41="","",N(①出口报关!L38))</f>
        <v/>
      </c>
      <c r="F41" s="31" t="str">
        <f aca="false">IF($A41="","",IF(①出口报关!Y38="","未签收",①出口报关!Y38))</f>
        <v/>
      </c>
      <c r="G41" s="32" t="str">
        <f aca="false">IF(OR($A41="",NOT(ISNUMBER(F41))),"",F41-E41)</f>
        <v/>
      </c>
      <c r="H41" s="31" t="str">
        <f aca="false">IF($A41="","",SUMIFS(②销售核销!$I$4:$I$603,②销售核销!$E$4:$E$603,$A41))</f>
        <v/>
      </c>
      <c r="I41" s="31" t="str">
        <f aca="false">IF($A41="","",SUMIFS(⑤库存异常!$E$4:$E$203,⑤库存异常!$B$4:$B$203,$A41))</f>
        <v/>
      </c>
      <c r="J41" s="31" t="str">
        <f aca="false">IF($A41="","",IF(ISNUMBER(F41),F41,E41)-H41-I41)</f>
        <v/>
      </c>
      <c r="K41" s="33" t="str">
        <f aca="false">IF(OR($A41="",N(E41)=0),"",H41/E41)</f>
        <v/>
      </c>
      <c r="L41" s="34" t="str">
        <f aca="false">IF($A41="","",SUMIFS(②销售核销!$L$4:$L$603,②销售核销!$E$4:$E$603,$A41))</f>
        <v/>
      </c>
      <c r="M41" s="34" t="str">
        <f aca="false">IF($A41="","",SUMIFS(②销售核销!$L$4:$L$603,②销售核销!$E$4:$E$603,$A41,②销售核销!$M$4:$M$603,"已收汇"))</f>
        <v/>
      </c>
      <c r="N41" s="30" t="str">
        <f aca="false">IF(ISNUMBER(D41),DATE(YEAR(D41)+1,4,30),"")</f>
        <v/>
      </c>
      <c r="O41" s="35" t="str">
        <f aca="true">IF($A41="","",IF(N(H41)=0,IF(AND(ISNUMBER(N41),TODAY()&gt;N41),"超过收汇期限仍未销售","尚未销售"),IF(ROUND(M41,2)&gt;=ROUND(L41,2),"已售部分已收汇",IF(AND(ISNUMBER(N41),TODAY()&gt;N41),"超期未收汇","有回款待收汇"))))</f>
        <v/>
      </c>
      <c r="P41" s="34" t="str">
        <f aca="false">IF($A41="","",SUMIFS(④退税核算!$H$4:$H$303,④退税核算!$A$4:$A$303,$A41))</f>
        <v/>
      </c>
      <c r="Q41" s="34" t="str">
        <f aca="false">IF($A41="","",SUMIFS(④退税核算!$H$4:$H$303,④退税核算!$A$4:$A$303,$A41,④退税核算!$D$4:$D$303,"未售-海外仓预退（HWC-YT）"))</f>
        <v/>
      </c>
      <c r="R41" s="30" t="str">
        <f aca="false">IF($A41="","",IF(COUNTIFS(④退税核算!$A$4:$A$303,$A41,④退税核算!$D$4:$D$303,"未售-海外仓预退（HWC-YT）",④退税核算!$I$4:$I$303,"&gt;0")=0,"",_xlfn.MINIFS(④退税核算!$J$4:$J$303,④退税核算!$A$4:$A$303,$A41,④退税核算!$D$4:$D$303,"未售-海外仓预退（HWC-YT）")))</f>
        <v/>
      </c>
      <c r="S41" s="35" t="str">
        <f aca="false">IF($A41="","",IF(COUNTIFS(④退税核算!$A$4:$A$303,$A41,④退税核算!$D$4:$D$303,"未售-海外仓预退（HWC-YT）")=0,"不涉及",IF(COUNTIFS(④退税核算!$A$4:$A$303,$A41,④退税核算!$S$4:$S$303,"已逾期*")&gt;0,"已逾期",IF(COUNTIFS(④退税核算!$A$4:$A$303,$A41,④退税核算!$S$4:$S$303,"临近*")&gt;0,"临近截止",IF(COUNTIFS(④退税核算!$A$4:$A$303,$A41,④退税核算!$S$4:$S$303,"待*")&gt;0,"待核算","已核算")))))</f>
        <v/>
      </c>
      <c r="T41" s="35" t="str">
        <f aca="false">IF($A41="","",IFERROR(INDEX(⑥单证留存!$P$4:$P$203,MATCH(①出口报关!B38,⑥单证留存!$A$4:$A$203,0)),"未登记"))</f>
        <v/>
      </c>
      <c r="U41" s="36" t="str">
        <f aca="false">IF($A41="","",IF(IF(OR(O41="超期未收汇",O41="超过收汇期限仍未销售")," 收汇超期","")&amp;IF(S41="已逾期"," 核算逾期","")&amp;IF(S41="临近截止"," 核算临近截止","")&amp;IF(LEFT(T41,1)="缺"," 单证"&amp;T41,"")&amp;IF(T41="未登记"," 单证未登记","")&amp;IF(AND(ISNUMBER(G41),N(G41)&lt;&gt;0)," 入仓差异"&amp;G41,"")="","正常",SUBSTITUTE(TRIM(IF(OR(O41="超期未收汇",O41="超过收汇期限仍未销售")," 收汇超期","")&amp;IF(S41="已逾期"," 核算逾期","")&amp;IF(S41="临近截止"," 核算临近截止","")&amp;IF(LEFT(T41,1)="缺"," 单证"&amp;T41,"")&amp;IF(T41="未登记"," 单证未登记","")&amp;IF(AND(ISNUMBER(G41),N(G41)&lt;&gt;0)," 入仓差异"&amp;G41,""))," ","、")))</f>
        <v/>
      </c>
    </row>
    <row r="42" customFormat="false" ht="21.75" hidden="false" customHeight="true" outlineLevel="0" collapsed="false">
      <c r="A42" s="29" t="str">
        <f aca="false">IF(①出口报关!A39="","",①出口报关!A39)</f>
        <v/>
      </c>
      <c r="B42" s="29" t="str">
        <f aca="false">IF($A42="","",①出口报关!I39)</f>
        <v/>
      </c>
      <c r="C42" s="29" t="str">
        <f aca="false">IF($A42="","",①出口报关!J39)</f>
        <v/>
      </c>
      <c r="D42" s="30" t="str">
        <f aca="false">IF($A42="","",IF(①出口报关!D39="","",①出口报关!D39))</f>
        <v/>
      </c>
      <c r="E42" s="31" t="str">
        <f aca="false">IF($A42="","",N(①出口报关!L39))</f>
        <v/>
      </c>
      <c r="F42" s="31" t="str">
        <f aca="false">IF($A42="","",IF(①出口报关!Y39="","未签收",①出口报关!Y39))</f>
        <v/>
      </c>
      <c r="G42" s="32" t="str">
        <f aca="false">IF(OR($A42="",NOT(ISNUMBER(F42))),"",F42-E42)</f>
        <v/>
      </c>
      <c r="H42" s="31" t="str">
        <f aca="false">IF($A42="","",SUMIFS(②销售核销!$I$4:$I$603,②销售核销!$E$4:$E$603,$A42))</f>
        <v/>
      </c>
      <c r="I42" s="31" t="str">
        <f aca="false">IF($A42="","",SUMIFS(⑤库存异常!$E$4:$E$203,⑤库存异常!$B$4:$B$203,$A42))</f>
        <v/>
      </c>
      <c r="J42" s="31" t="str">
        <f aca="false">IF($A42="","",IF(ISNUMBER(F42),F42,E42)-H42-I42)</f>
        <v/>
      </c>
      <c r="K42" s="33" t="str">
        <f aca="false">IF(OR($A42="",N(E42)=0),"",H42/E42)</f>
        <v/>
      </c>
      <c r="L42" s="34" t="str">
        <f aca="false">IF($A42="","",SUMIFS(②销售核销!$L$4:$L$603,②销售核销!$E$4:$E$603,$A42))</f>
        <v/>
      </c>
      <c r="M42" s="34" t="str">
        <f aca="false">IF($A42="","",SUMIFS(②销售核销!$L$4:$L$603,②销售核销!$E$4:$E$603,$A42,②销售核销!$M$4:$M$603,"已收汇"))</f>
        <v/>
      </c>
      <c r="N42" s="30" t="str">
        <f aca="false">IF(ISNUMBER(D42),DATE(YEAR(D42)+1,4,30),"")</f>
        <v/>
      </c>
      <c r="O42" s="35" t="str">
        <f aca="true">IF($A42="","",IF(N(H42)=0,IF(AND(ISNUMBER(N42),TODAY()&gt;N42),"超过收汇期限仍未销售","尚未销售"),IF(ROUND(M42,2)&gt;=ROUND(L42,2),"已售部分已收汇",IF(AND(ISNUMBER(N42),TODAY()&gt;N42),"超期未收汇","有回款待收汇"))))</f>
        <v/>
      </c>
      <c r="P42" s="34" t="str">
        <f aca="false">IF($A42="","",SUMIFS(④退税核算!$H$4:$H$303,④退税核算!$A$4:$A$303,$A42))</f>
        <v/>
      </c>
      <c r="Q42" s="34" t="str">
        <f aca="false">IF($A42="","",SUMIFS(④退税核算!$H$4:$H$303,④退税核算!$A$4:$A$303,$A42,④退税核算!$D$4:$D$303,"未售-海外仓预退（HWC-YT）"))</f>
        <v/>
      </c>
      <c r="R42" s="30" t="str">
        <f aca="false">IF($A42="","",IF(COUNTIFS(④退税核算!$A$4:$A$303,$A42,④退税核算!$D$4:$D$303,"未售-海外仓预退（HWC-YT）",④退税核算!$I$4:$I$303,"&gt;0")=0,"",_xlfn.MINIFS(④退税核算!$J$4:$J$303,④退税核算!$A$4:$A$303,$A42,④退税核算!$D$4:$D$303,"未售-海外仓预退（HWC-YT）")))</f>
        <v/>
      </c>
      <c r="S42" s="35" t="str">
        <f aca="false">IF($A42="","",IF(COUNTIFS(④退税核算!$A$4:$A$303,$A42,④退税核算!$D$4:$D$303,"未售-海外仓预退（HWC-YT）")=0,"不涉及",IF(COUNTIFS(④退税核算!$A$4:$A$303,$A42,④退税核算!$S$4:$S$303,"已逾期*")&gt;0,"已逾期",IF(COUNTIFS(④退税核算!$A$4:$A$303,$A42,④退税核算!$S$4:$S$303,"临近*")&gt;0,"临近截止",IF(COUNTIFS(④退税核算!$A$4:$A$303,$A42,④退税核算!$S$4:$S$303,"待*")&gt;0,"待核算","已核算")))))</f>
        <v/>
      </c>
      <c r="T42" s="35" t="str">
        <f aca="false">IF($A42="","",IFERROR(INDEX(⑥单证留存!$P$4:$P$203,MATCH(①出口报关!B39,⑥单证留存!$A$4:$A$203,0)),"未登记"))</f>
        <v/>
      </c>
      <c r="U42" s="36" t="str">
        <f aca="false">IF($A42="","",IF(IF(OR(O42="超期未收汇",O42="超过收汇期限仍未销售")," 收汇超期","")&amp;IF(S42="已逾期"," 核算逾期","")&amp;IF(S42="临近截止"," 核算临近截止","")&amp;IF(LEFT(T42,1)="缺"," 单证"&amp;T42,"")&amp;IF(T42="未登记"," 单证未登记","")&amp;IF(AND(ISNUMBER(G42),N(G42)&lt;&gt;0)," 入仓差异"&amp;G42,"")="","正常",SUBSTITUTE(TRIM(IF(OR(O42="超期未收汇",O42="超过收汇期限仍未销售")," 收汇超期","")&amp;IF(S42="已逾期"," 核算逾期","")&amp;IF(S42="临近截止"," 核算临近截止","")&amp;IF(LEFT(T42,1)="缺"," 单证"&amp;T42,"")&amp;IF(T42="未登记"," 单证未登记","")&amp;IF(AND(ISNUMBER(G42),N(G42)&lt;&gt;0)," 入仓差异"&amp;G42,""))," ","、")))</f>
        <v/>
      </c>
    </row>
    <row r="43" customFormat="false" ht="21.75" hidden="false" customHeight="true" outlineLevel="0" collapsed="false">
      <c r="A43" s="29" t="str">
        <f aca="false">IF(①出口报关!A40="","",①出口报关!A40)</f>
        <v/>
      </c>
      <c r="B43" s="29" t="str">
        <f aca="false">IF($A43="","",①出口报关!I40)</f>
        <v/>
      </c>
      <c r="C43" s="29" t="str">
        <f aca="false">IF($A43="","",①出口报关!J40)</f>
        <v/>
      </c>
      <c r="D43" s="30" t="str">
        <f aca="false">IF($A43="","",IF(①出口报关!D40="","",①出口报关!D40))</f>
        <v/>
      </c>
      <c r="E43" s="31" t="str">
        <f aca="false">IF($A43="","",N(①出口报关!L40))</f>
        <v/>
      </c>
      <c r="F43" s="31" t="str">
        <f aca="false">IF($A43="","",IF(①出口报关!Y40="","未签收",①出口报关!Y40))</f>
        <v/>
      </c>
      <c r="G43" s="32" t="str">
        <f aca="false">IF(OR($A43="",NOT(ISNUMBER(F43))),"",F43-E43)</f>
        <v/>
      </c>
      <c r="H43" s="31" t="str">
        <f aca="false">IF($A43="","",SUMIFS(②销售核销!$I$4:$I$603,②销售核销!$E$4:$E$603,$A43))</f>
        <v/>
      </c>
      <c r="I43" s="31" t="str">
        <f aca="false">IF($A43="","",SUMIFS(⑤库存异常!$E$4:$E$203,⑤库存异常!$B$4:$B$203,$A43))</f>
        <v/>
      </c>
      <c r="J43" s="31" t="str">
        <f aca="false">IF($A43="","",IF(ISNUMBER(F43),F43,E43)-H43-I43)</f>
        <v/>
      </c>
      <c r="K43" s="33" t="str">
        <f aca="false">IF(OR($A43="",N(E43)=0),"",H43/E43)</f>
        <v/>
      </c>
      <c r="L43" s="34" t="str">
        <f aca="false">IF($A43="","",SUMIFS(②销售核销!$L$4:$L$603,②销售核销!$E$4:$E$603,$A43))</f>
        <v/>
      </c>
      <c r="M43" s="34" t="str">
        <f aca="false">IF($A43="","",SUMIFS(②销售核销!$L$4:$L$603,②销售核销!$E$4:$E$603,$A43,②销售核销!$M$4:$M$603,"已收汇"))</f>
        <v/>
      </c>
      <c r="N43" s="30" t="str">
        <f aca="false">IF(ISNUMBER(D43),DATE(YEAR(D43)+1,4,30),"")</f>
        <v/>
      </c>
      <c r="O43" s="35" t="str">
        <f aca="true">IF($A43="","",IF(N(H43)=0,IF(AND(ISNUMBER(N43),TODAY()&gt;N43),"超过收汇期限仍未销售","尚未销售"),IF(ROUND(M43,2)&gt;=ROUND(L43,2),"已售部分已收汇",IF(AND(ISNUMBER(N43),TODAY()&gt;N43),"超期未收汇","有回款待收汇"))))</f>
        <v/>
      </c>
      <c r="P43" s="34" t="str">
        <f aca="false">IF($A43="","",SUMIFS(④退税核算!$H$4:$H$303,④退税核算!$A$4:$A$303,$A43))</f>
        <v/>
      </c>
      <c r="Q43" s="34" t="str">
        <f aca="false">IF($A43="","",SUMIFS(④退税核算!$H$4:$H$303,④退税核算!$A$4:$A$303,$A43,④退税核算!$D$4:$D$303,"未售-海外仓预退（HWC-YT）"))</f>
        <v/>
      </c>
      <c r="R43" s="30" t="str">
        <f aca="false">IF($A43="","",IF(COUNTIFS(④退税核算!$A$4:$A$303,$A43,④退税核算!$D$4:$D$303,"未售-海外仓预退（HWC-YT）",④退税核算!$I$4:$I$303,"&gt;0")=0,"",_xlfn.MINIFS(④退税核算!$J$4:$J$303,④退税核算!$A$4:$A$303,$A43,④退税核算!$D$4:$D$303,"未售-海外仓预退（HWC-YT）")))</f>
        <v/>
      </c>
      <c r="S43" s="35" t="str">
        <f aca="false">IF($A43="","",IF(COUNTIFS(④退税核算!$A$4:$A$303,$A43,④退税核算!$D$4:$D$303,"未售-海外仓预退（HWC-YT）")=0,"不涉及",IF(COUNTIFS(④退税核算!$A$4:$A$303,$A43,④退税核算!$S$4:$S$303,"已逾期*")&gt;0,"已逾期",IF(COUNTIFS(④退税核算!$A$4:$A$303,$A43,④退税核算!$S$4:$S$303,"临近*")&gt;0,"临近截止",IF(COUNTIFS(④退税核算!$A$4:$A$303,$A43,④退税核算!$S$4:$S$303,"待*")&gt;0,"待核算","已核算")))))</f>
        <v/>
      </c>
      <c r="T43" s="35" t="str">
        <f aca="false">IF($A43="","",IFERROR(INDEX(⑥单证留存!$P$4:$P$203,MATCH(①出口报关!B40,⑥单证留存!$A$4:$A$203,0)),"未登记"))</f>
        <v/>
      </c>
      <c r="U43" s="36" t="str">
        <f aca="false">IF($A43="","",IF(IF(OR(O43="超期未收汇",O43="超过收汇期限仍未销售")," 收汇超期","")&amp;IF(S43="已逾期"," 核算逾期","")&amp;IF(S43="临近截止"," 核算临近截止","")&amp;IF(LEFT(T43,1)="缺"," 单证"&amp;T43,"")&amp;IF(T43="未登记"," 单证未登记","")&amp;IF(AND(ISNUMBER(G43),N(G43)&lt;&gt;0)," 入仓差异"&amp;G43,"")="","正常",SUBSTITUTE(TRIM(IF(OR(O43="超期未收汇",O43="超过收汇期限仍未销售")," 收汇超期","")&amp;IF(S43="已逾期"," 核算逾期","")&amp;IF(S43="临近截止"," 核算临近截止","")&amp;IF(LEFT(T43,1)="缺"," 单证"&amp;T43,"")&amp;IF(T43="未登记"," 单证未登记","")&amp;IF(AND(ISNUMBER(G43),N(G43)&lt;&gt;0)," 入仓差异"&amp;G43,""))," ","、")))</f>
        <v/>
      </c>
    </row>
    <row r="44" customFormat="false" ht="21.75" hidden="false" customHeight="true" outlineLevel="0" collapsed="false">
      <c r="A44" s="29" t="str">
        <f aca="false">IF(①出口报关!A41="","",①出口报关!A41)</f>
        <v/>
      </c>
      <c r="B44" s="29" t="str">
        <f aca="false">IF($A44="","",①出口报关!I41)</f>
        <v/>
      </c>
      <c r="C44" s="29" t="str">
        <f aca="false">IF($A44="","",①出口报关!J41)</f>
        <v/>
      </c>
      <c r="D44" s="30" t="str">
        <f aca="false">IF($A44="","",IF(①出口报关!D41="","",①出口报关!D41))</f>
        <v/>
      </c>
      <c r="E44" s="31" t="str">
        <f aca="false">IF($A44="","",N(①出口报关!L41))</f>
        <v/>
      </c>
      <c r="F44" s="31" t="str">
        <f aca="false">IF($A44="","",IF(①出口报关!Y41="","未签收",①出口报关!Y41))</f>
        <v/>
      </c>
      <c r="G44" s="32" t="str">
        <f aca="false">IF(OR($A44="",NOT(ISNUMBER(F44))),"",F44-E44)</f>
        <v/>
      </c>
      <c r="H44" s="31" t="str">
        <f aca="false">IF($A44="","",SUMIFS(②销售核销!$I$4:$I$603,②销售核销!$E$4:$E$603,$A44))</f>
        <v/>
      </c>
      <c r="I44" s="31" t="str">
        <f aca="false">IF($A44="","",SUMIFS(⑤库存异常!$E$4:$E$203,⑤库存异常!$B$4:$B$203,$A44))</f>
        <v/>
      </c>
      <c r="J44" s="31" t="str">
        <f aca="false">IF($A44="","",IF(ISNUMBER(F44),F44,E44)-H44-I44)</f>
        <v/>
      </c>
      <c r="K44" s="33" t="str">
        <f aca="false">IF(OR($A44="",N(E44)=0),"",H44/E44)</f>
        <v/>
      </c>
      <c r="L44" s="34" t="str">
        <f aca="false">IF($A44="","",SUMIFS(②销售核销!$L$4:$L$603,②销售核销!$E$4:$E$603,$A44))</f>
        <v/>
      </c>
      <c r="M44" s="34" t="str">
        <f aca="false">IF($A44="","",SUMIFS(②销售核销!$L$4:$L$603,②销售核销!$E$4:$E$603,$A44,②销售核销!$M$4:$M$603,"已收汇"))</f>
        <v/>
      </c>
      <c r="N44" s="30" t="str">
        <f aca="false">IF(ISNUMBER(D44),DATE(YEAR(D44)+1,4,30),"")</f>
        <v/>
      </c>
      <c r="O44" s="35" t="str">
        <f aca="true">IF($A44="","",IF(N(H44)=0,IF(AND(ISNUMBER(N44),TODAY()&gt;N44),"超过收汇期限仍未销售","尚未销售"),IF(ROUND(M44,2)&gt;=ROUND(L44,2),"已售部分已收汇",IF(AND(ISNUMBER(N44),TODAY()&gt;N44),"超期未收汇","有回款待收汇"))))</f>
        <v/>
      </c>
      <c r="P44" s="34" t="str">
        <f aca="false">IF($A44="","",SUMIFS(④退税核算!$H$4:$H$303,④退税核算!$A$4:$A$303,$A44))</f>
        <v/>
      </c>
      <c r="Q44" s="34" t="str">
        <f aca="false">IF($A44="","",SUMIFS(④退税核算!$H$4:$H$303,④退税核算!$A$4:$A$303,$A44,④退税核算!$D$4:$D$303,"未售-海外仓预退（HWC-YT）"))</f>
        <v/>
      </c>
      <c r="R44" s="30" t="str">
        <f aca="false">IF($A44="","",IF(COUNTIFS(④退税核算!$A$4:$A$303,$A44,④退税核算!$D$4:$D$303,"未售-海外仓预退（HWC-YT）",④退税核算!$I$4:$I$303,"&gt;0")=0,"",_xlfn.MINIFS(④退税核算!$J$4:$J$303,④退税核算!$A$4:$A$303,$A44,④退税核算!$D$4:$D$303,"未售-海外仓预退（HWC-YT）")))</f>
        <v/>
      </c>
      <c r="S44" s="35" t="str">
        <f aca="false">IF($A44="","",IF(COUNTIFS(④退税核算!$A$4:$A$303,$A44,④退税核算!$D$4:$D$303,"未售-海外仓预退（HWC-YT）")=0,"不涉及",IF(COUNTIFS(④退税核算!$A$4:$A$303,$A44,④退税核算!$S$4:$S$303,"已逾期*")&gt;0,"已逾期",IF(COUNTIFS(④退税核算!$A$4:$A$303,$A44,④退税核算!$S$4:$S$303,"临近*")&gt;0,"临近截止",IF(COUNTIFS(④退税核算!$A$4:$A$303,$A44,④退税核算!$S$4:$S$303,"待*")&gt;0,"待核算","已核算")))))</f>
        <v/>
      </c>
      <c r="T44" s="35" t="str">
        <f aca="false">IF($A44="","",IFERROR(INDEX(⑥单证留存!$P$4:$P$203,MATCH(①出口报关!B41,⑥单证留存!$A$4:$A$203,0)),"未登记"))</f>
        <v/>
      </c>
      <c r="U44" s="36" t="str">
        <f aca="false">IF($A44="","",IF(IF(OR(O44="超期未收汇",O44="超过收汇期限仍未销售")," 收汇超期","")&amp;IF(S44="已逾期"," 核算逾期","")&amp;IF(S44="临近截止"," 核算临近截止","")&amp;IF(LEFT(T44,1)="缺"," 单证"&amp;T44,"")&amp;IF(T44="未登记"," 单证未登记","")&amp;IF(AND(ISNUMBER(G44),N(G44)&lt;&gt;0)," 入仓差异"&amp;G44,"")="","正常",SUBSTITUTE(TRIM(IF(OR(O44="超期未收汇",O44="超过收汇期限仍未销售")," 收汇超期","")&amp;IF(S44="已逾期"," 核算逾期","")&amp;IF(S44="临近截止"," 核算临近截止","")&amp;IF(LEFT(T44,1)="缺"," 单证"&amp;T44,"")&amp;IF(T44="未登记"," 单证未登记","")&amp;IF(AND(ISNUMBER(G44),N(G44)&lt;&gt;0)," 入仓差异"&amp;G44,""))," ","、")))</f>
        <v/>
      </c>
    </row>
    <row r="45" customFormat="false" ht="21.75" hidden="false" customHeight="true" outlineLevel="0" collapsed="false">
      <c r="A45" s="29" t="str">
        <f aca="false">IF(①出口报关!A42="","",①出口报关!A42)</f>
        <v/>
      </c>
      <c r="B45" s="29" t="str">
        <f aca="false">IF($A45="","",①出口报关!I42)</f>
        <v/>
      </c>
      <c r="C45" s="29" t="str">
        <f aca="false">IF($A45="","",①出口报关!J42)</f>
        <v/>
      </c>
      <c r="D45" s="30" t="str">
        <f aca="false">IF($A45="","",IF(①出口报关!D42="","",①出口报关!D42))</f>
        <v/>
      </c>
      <c r="E45" s="31" t="str">
        <f aca="false">IF($A45="","",N(①出口报关!L42))</f>
        <v/>
      </c>
      <c r="F45" s="31" t="str">
        <f aca="false">IF($A45="","",IF(①出口报关!Y42="","未签收",①出口报关!Y42))</f>
        <v/>
      </c>
      <c r="G45" s="32" t="str">
        <f aca="false">IF(OR($A45="",NOT(ISNUMBER(F45))),"",F45-E45)</f>
        <v/>
      </c>
      <c r="H45" s="31" t="str">
        <f aca="false">IF($A45="","",SUMIFS(②销售核销!$I$4:$I$603,②销售核销!$E$4:$E$603,$A45))</f>
        <v/>
      </c>
      <c r="I45" s="31" t="str">
        <f aca="false">IF($A45="","",SUMIFS(⑤库存异常!$E$4:$E$203,⑤库存异常!$B$4:$B$203,$A45))</f>
        <v/>
      </c>
      <c r="J45" s="31" t="str">
        <f aca="false">IF($A45="","",IF(ISNUMBER(F45),F45,E45)-H45-I45)</f>
        <v/>
      </c>
      <c r="K45" s="33" t="str">
        <f aca="false">IF(OR($A45="",N(E45)=0),"",H45/E45)</f>
        <v/>
      </c>
      <c r="L45" s="34" t="str">
        <f aca="false">IF($A45="","",SUMIFS(②销售核销!$L$4:$L$603,②销售核销!$E$4:$E$603,$A45))</f>
        <v/>
      </c>
      <c r="M45" s="34" t="str">
        <f aca="false">IF($A45="","",SUMIFS(②销售核销!$L$4:$L$603,②销售核销!$E$4:$E$603,$A45,②销售核销!$M$4:$M$603,"已收汇"))</f>
        <v/>
      </c>
      <c r="N45" s="30" t="str">
        <f aca="false">IF(ISNUMBER(D45),DATE(YEAR(D45)+1,4,30),"")</f>
        <v/>
      </c>
      <c r="O45" s="35" t="str">
        <f aca="true">IF($A45="","",IF(N(H45)=0,IF(AND(ISNUMBER(N45),TODAY()&gt;N45),"超过收汇期限仍未销售","尚未销售"),IF(ROUND(M45,2)&gt;=ROUND(L45,2),"已售部分已收汇",IF(AND(ISNUMBER(N45),TODAY()&gt;N45),"超期未收汇","有回款待收汇"))))</f>
        <v/>
      </c>
      <c r="P45" s="34" t="str">
        <f aca="false">IF($A45="","",SUMIFS(④退税核算!$H$4:$H$303,④退税核算!$A$4:$A$303,$A45))</f>
        <v/>
      </c>
      <c r="Q45" s="34" t="str">
        <f aca="false">IF($A45="","",SUMIFS(④退税核算!$H$4:$H$303,④退税核算!$A$4:$A$303,$A45,④退税核算!$D$4:$D$303,"未售-海外仓预退（HWC-YT）"))</f>
        <v/>
      </c>
      <c r="R45" s="30" t="str">
        <f aca="false">IF($A45="","",IF(COUNTIFS(④退税核算!$A$4:$A$303,$A45,④退税核算!$D$4:$D$303,"未售-海外仓预退（HWC-YT）",④退税核算!$I$4:$I$303,"&gt;0")=0,"",_xlfn.MINIFS(④退税核算!$J$4:$J$303,④退税核算!$A$4:$A$303,$A45,④退税核算!$D$4:$D$303,"未售-海外仓预退（HWC-YT）")))</f>
        <v/>
      </c>
      <c r="S45" s="35" t="str">
        <f aca="false">IF($A45="","",IF(COUNTIFS(④退税核算!$A$4:$A$303,$A45,④退税核算!$D$4:$D$303,"未售-海外仓预退（HWC-YT）")=0,"不涉及",IF(COUNTIFS(④退税核算!$A$4:$A$303,$A45,④退税核算!$S$4:$S$303,"已逾期*")&gt;0,"已逾期",IF(COUNTIFS(④退税核算!$A$4:$A$303,$A45,④退税核算!$S$4:$S$303,"临近*")&gt;0,"临近截止",IF(COUNTIFS(④退税核算!$A$4:$A$303,$A45,④退税核算!$S$4:$S$303,"待*")&gt;0,"待核算","已核算")))))</f>
        <v/>
      </c>
      <c r="T45" s="35" t="str">
        <f aca="false">IF($A45="","",IFERROR(INDEX(⑥单证留存!$P$4:$P$203,MATCH(①出口报关!B42,⑥单证留存!$A$4:$A$203,0)),"未登记"))</f>
        <v/>
      </c>
      <c r="U45" s="36" t="str">
        <f aca="false">IF($A45="","",IF(IF(OR(O45="超期未收汇",O45="超过收汇期限仍未销售")," 收汇超期","")&amp;IF(S45="已逾期"," 核算逾期","")&amp;IF(S45="临近截止"," 核算临近截止","")&amp;IF(LEFT(T45,1)="缺"," 单证"&amp;T45,"")&amp;IF(T45="未登记"," 单证未登记","")&amp;IF(AND(ISNUMBER(G45),N(G45)&lt;&gt;0)," 入仓差异"&amp;G45,"")="","正常",SUBSTITUTE(TRIM(IF(OR(O45="超期未收汇",O45="超过收汇期限仍未销售")," 收汇超期","")&amp;IF(S45="已逾期"," 核算逾期","")&amp;IF(S45="临近截止"," 核算临近截止","")&amp;IF(LEFT(T45,1)="缺"," 单证"&amp;T45,"")&amp;IF(T45="未登记"," 单证未登记","")&amp;IF(AND(ISNUMBER(G45),N(G45)&lt;&gt;0)," 入仓差异"&amp;G45,""))," ","、")))</f>
        <v/>
      </c>
    </row>
    <row r="46" customFormat="false" ht="21.75" hidden="false" customHeight="true" outlineLevel="0" collapsed="false">
      <c r="A46" s="29" t="str">
        <f aca="false">IF(①出口报关!A43="","",①出口报关!A43)</f>
        <v/>
      </c>
      <c r="B46" s="29" t="str">
        <f aca="false">IF($A46="","",①出口报关!I43)</f>
        <v/>
      </c>
      <c r="C46" s="29" t="str">
        <f aca="false">IF($A46="","",①出口报关!J43)</f>
        <v/>
      </c>
      <c r="D46" s="30" t="str">
        <f aca="false">IF($A46="","",IF(①出口报关!D43="","",①出口报关!D43))</f>
        <v/>
      </c>
      <c r="E46" s="31" t="str">
        <f aca="false">IF($A46="","",N(①出口报关!L43))</f>
        <v/>
      </c>
      <c r="F46" s="31" t="str">
        <f aca="false">IF($A46="","",IF(①出口报关!Y43="","未签收",①出口报关!Y43))</f>
        <v/>
      </c>
      <c r="G46" s="32" t="str">
        <f aca="false">IF(OR($A46="",NOT(ISNUMBER(F46))),"",F46-E46)</f>
        <v/>
      </c>
      <c r="H46" s="31" t="str">
        <f aca="false">IF($A46="","",SUMIFS(②销售核销!$I$4:$I$603,②销售核销!$E$4:$E$603,$A46))</f>
        <v/>
      </c>
      <c r="I46" s="31" t="str">
        <f aca="false">IF($A46="","",SUMIFS(⑤库存异常!$E$4:$E$203,⑤库存异常!$B$4:$B$203,$A46))</f>
        <v/>
      </c>
      <c r="J46" s="31" t="str">
        <f aca="false">IF($A46="","",IF(ISNUMBER(F46),F46,E46)-H46-I46)</f>
        <v/>
      </c>
      <c r="K46" s="33" t="str">
        <f aca="false">IF(OR($A46="",N(E46)=0),"",H46/E46)</f>
        <v/>
      </c>
      <c r="L46" s="34" t="str">
        <f aca="false">IF($A46="","",SUMIFS(②销售核销!$L$4:$L$603,②销售核销!$E$4:$E$603,$A46))</f>
        <v/>
      </c>
      <c r="M46" s="34" t="str">
        <f aca="false">IF($A46="","",SUMIFS(②销售核销!$L$4:$L$603,②销售核销!$E$4:$E$603,$A46,②销售核销!$M$4:$M$603,"已收汇"))</f>
        <v/>
      </c>
      <c r="N46" s="30" t="str">
        <f aca="false">IF(ISNUMBER(D46),DATE(YEAR(D46)+1,4,30),"")</f>
        <v/>
      </c>
      <c r="O46" s="35" t="str">
        <f aca="true">IF($A46="","",IF(N(H46)=0,IF(AND(ISNUMBER(N46),TODAY()&gt;N46),"超过收汇期限仍未销售","尚未销售"),IF(ROUND(M46,2)&gt;=ROUND(L46,2),"已售部分已收汇",IF(AND(ISNUMBER(N46),TODAY()&gt;N46),"超期未收汇","有回款待收汇"))))</f>
        <v/>
      </c>
      <c r="P46" s="34" t="str">
        <f aca="false">IF($A46="","",SUMIFS(④退税核算!$H$4:$H$303,④退税核算!$A$4:$A$303,$A46))</f>
        <v/>
      </c>
      <c r="Q46" s="34" t="str">
        <f aca="false">IF($A46="","",SUMIFS(④退税核算!$H$4:$H$303,④退税核算!$A$4:$A$303,$A46,④退税核算!$D$4:$D$303,"未售-海外仓预退（HWC-YT）"))</f>
        <v/>
      </c>
      <c r="R46" s="30" t="str">
        <f aca="false">IF($A46="","",IF(COUNTIFS(④退税核算!$A$4:$A$303,$A46,④退税核算!$D$4:$D$303,"未售-海外仓预退（HWC-YT）",④退税核算!$I$4:$I$303,"&gt;0")=0,"",_xlfn.MINIFS(④退税核算!$J$4:$J$303,④退税核算!$A$4:$A$303,$A46,④退税核算!$D$4:$D$303,"未售-海外仓预退（HWC-YT）")))</f>
        <v/>
      </c>
      <c r="S46" s="35" t="str">
        <f aca="false">IF($A46="","",IF(COUNTIFS(④退税核算!$A$4:$A$303,$A46,④退税核算!$D$4:$D$303,"未售-海外仓预退（HWC-YT）")=0,"不涉及",IF(COUNTIFS(④退税核算!$A$4:$A$303,$A46,④退税核算!$S$4:$S$303,"已逾期*")&gt;0,"已逾期",IF(COUNTIFS(④退税核算!$A$4:$A$303,$A46,④退税核算!$S$4:$S$303,"临近*")&gt;0,"临近截止",IF(COUNTIFS(④退税核算!$A$4:$A$303,$A46,④退税核算!$S$4:$S$303,"待*")&gt;0,"待核算","已核算")))))</f>
        <v/>
      </c>
      <c r="T46" s="35" t="str">
        <f aca="false">IF($A46="","",IFERROR(INDEX(⑥单证留存!$P$4:$P$203,MATCH(①出口报关!B43,⑥单证留存!$A$4:$A$203,0)),"未登记"))</f>
        <v/>
      </c>
      <c r="U46" s="36" t="str">
        <f aca="false">IF($A46="","",IF(IF(OR(O46="超期未收汇",O46="超过收汇期限仍未销售")," 收汇超期","")&amp;IF(S46="已逾期"," 核算逾期","")&amp;IF(S46="临近截止"," 核算临近截止","")&amp;IF(LEFT(T46,1)="缺"," 单证"&amp;T46,"")&amp;IF(T46="未登记"," 单证未登记","")&amp;IF(AND(ISNUMBER(G46),N(G46)&lt;&gt;0)," 入仓差异"&amp;G46,"")="","正常",SUBSTITUTE(TRIM(IF(OR(O46="超期未收汇",O46="超过收汇期限仍未销售")," 收汇超期","")&amp;IF(S46="已逾期"," 核算逾期","")&amp;IF(S46="临近截止"," 核算临近截止","")&amp;IF(LEFT(T46,1)="缺"," 单证"&amp;T46,"")&amp;IF(T46="未登记"," 单证未登记","")&amp;IF(AND(ISNUMBER(G46),N(G46)&lt;&gt;0)," 入仓差异"&amp;G46,""))," ","、")))</f>
        <v/>
      </c>
    </row>
    <row r="47" customFormat="false" ht="21.75" hidden="false" customHeight="true" outlineLevel="0" collapsed="false">
      <c r="A47" s="29" t="str">
        <f aca="false">IF(①出口报关!A44="","",①出口报关!A44)</f>
        <v/>
      </c>
      <c r="B47" s="29" t="str">
        <f aca="false">IF($A47="","",①出口报关!I44)</f>
        <v/>
      </c>
      <c r="C47" s="29" t="str">
        <f aca="false">IF($A47="","",①出口报关!J44)</f>
        <v/>
      </c>
      <c r="D47" s="30" t="str">
        <f aca="false">IF($A47="","",IF(①出口报关!D44="","",①出口报关!D44))</f>
        <v/>
      </c>
      <c r="E47" s="31" t="str">
        <f aca="false">IF($A47="","",N(①出口报关!L44))</f>
        <v/>
      </c>
      <c r="F47" s="31" t="str">
        <f aca="false">IF($A47="","",IF(①出口报关!Y44="","未签收",①出口报关!Y44))</f>
        <v/>
      </c>
      <c r="G47" s="32" t="str">
        <f aca="false">IF(OR($A47="",NOT(ISNUMBER(F47))),"",F47-E47)</f>
        <v/>
      </c>
      <c r="H47" s="31" t="str">
        <f aca="false">IF($A47="","",SUMIFS(②销售核销!$I$4:$I$603,②销售核销!$E$4:$E$603,$A47))</f>
        <v/>
      </c>
      <c r="I47" s="31" t="str">
        <f aca="false">IF($A47="","",SUMIFS(⑤库存异常!$E$4:$E$203,⑤库存异常!$B$4:$B$203,$A47))</f>
        <v/>
      </c>
      <c r="J47" s="31" t="str">
        <f aca="false">IF($A47="","",IF(ISNUMBER(F47),F47,E47)-H47-I47)</f>
        <v/>
      </c>
      <c r="K47" s="33" t="str">
        <f aca="false">IF(OR($A47="",N(E47)=0),"",H47/E47)</f>
        <v/>
      </c>
      <c r="L47" s="34" t="str">
        <f aca="false">IF($A47="","",SUMIFS(②销售核销!$L$4:$L$603,②销售核销!$E$4:$E$603,$A47))</f>
        <v/>
      </c>
      <c r="M47" s="34" t="str">
        <f aca="false">IF($A47="","",SUMIFS(②销售核销!$L$4:$L$603,②销售核销!$E$4:$E$603,$A47,②销售核销!$M$4:$M$603,"已收汇"))</f>
        <v/>
      </c>
      <c r="N47" s="30" t="str">
        <f aca="false">IF(ISNUMBER(D47),DATE(YEAR(D47)+1,4,30),"")</f>
        <v/>
      </c>
      <c r="O47" s="35" t="str">
        <f aca="true">IF($A47="","",IF(N(H47)=0,IF(AND(ISNUMBER(N47),TODAY()&gt;N47),"超过收汇期限仍未销售","尚未销售"),IF(ROUND(M47,2)&gt;=ROUND(L47,2),"已售部分已收汇",IF(AND(ISNUMBER(N47),TODAY()&gt;N47),"超期未收汇","有回款待收汇"))))</f>
        <v/>
      </c>
      <c r="P47" s="34" t="str">
        <f aca="false">IF($A47="","",SUMIFS(④退税核算!$H$4:$H$303,④退税核算!$A$4:$A$303,$A47))</f>
        <v/>
      </c>
      <c r="Q47" s="34" t="str">
        <f aca="false">IF($A47="","",SUMIFS(④退税核算!$H$4:$H$303,④退税核算!$A$4:$A$303,$A47,④退税核算!$D$4:$D$303,"未售-海外仓预退（HWC-YT）"))</f>
        <v/>
      </c>
      <c r="R47" s="30" t="str">
        <f aca="false">IF($A47="","",IF(COUNTIFS(④退税核算!$A$4:$A$303,$A47,④退税核算!$D$4:$D$303,"未售-海外仓预退（HWC-YT）",④退税核算!$I$4:$I$303,"&gt;0")=0,"",_xlfn.MINIFS(④退税核算!$J$4:$J$303,④退税核算!$A$4:$A$303,$A47,④退税核算!$D$4:$D$303,"未售-海外仓预退（HWC-YT）")))</f>
        <v/>
      </c>
      <c r="S47" s="35" t="str">
        <f aca="false">IF($A47="","",IF(COUNTIFS(④退税核算!$A$4:$A$303,$A47,④退税核算!$D$4:$D$303,"未售-海外仓预退（HWC-YT）")=0,"不涉及",IF(COUNTIFS(④退税核算!$A$4:$A$303,$A47,④退税核算!$S$4:$S$303,"已逾期*")&gt;0,"已逾期",IF(COUNTIFS(④退税核算!$A$4:$A$303,$A47,④退税核算!$S$4:$S$303,"临近*")&gt;0,"临近截止",IF(COUNTIFS(④退税核算!$A$4:$A$303,$A47,④退税核算!$S$4:$S$303,"待*")&gt;0,"待核算","已核算")))))</f>
        <v/>
      </c>
      <c r="T47" s="35" t="str">
        <f aca="false">IF($A47="","",IFERROR(INDEX(⑥单证留存!$P$4:$P$203,MATCH(①出口报关!B44,⑥单证留存!$A$4:$A$203,0)),"未登记"))</f>
        <v/>
      </c>
      <c r="U47" s="36" t="str">
        <f aca="false">IF($A47="","",IF(IF(OR(O47="超期未收汇",O47="超过收汇期限仍未销售")," 收汇超期","")&amp;IF(S47="已逾期"," 核算逾期","")&amp;IF(S47="临近截止"," 核算临近截止","")&amp;IF(LEFT(T47,1)="缺"," 单证"&amp;T47,"")&amp;IF(T47="未登记"," 单证未登记","")&amp;IF(AND(ISNUMBER(G47),N(G47)&lt;&gt;0)," 入仓差异"&amp;G47,"")="","正常",SUBSTITUTE(TRIM(IF(OR(O47="超期未收汇",O47="超过收汇期限仍未销售")," 收汇超期","")&amp;IF(S47="已逾期"," 核算逾期","")&amp;IF(S47="临近截止"," 核算临近截止","")&amp;IF(LEFT(T47,1)="缺"," 单证"&amp;T47,"")&amp;IF(T47="未登记"," 单证未登记","")&amp;IF(AND(ISNUMBER(G47),N(G47)&lt;&gt;0)," 入仓差异"&amp;G47,""))," ","、")))</f>
        <v/>
      </c>
    </row>
    <row r="48" customFormat="false" ht="21.75" hidden="false" customHeight="true" outlineLevel="0" collapsed="false">
      <c r="A48" s="29" t="str">
        <f aca="false">IF(①出口报关!A45="","",①出口报关!A45)</f>
        <v/>
      </c>
      <c r="B48" s="29" t="str">
        <f aca="false">IF($A48="","",①出口报关!I45)</f>
        <v/>
      </c>
      <c r="C48" s="29" t="str">
        <f aca="false">IF($A48="","",①出口报关!J45)</f>
        <v/>
      </c>
      <c r="D48" s="30" t="str">
        <f aca="false">IF($A48="","",IF(①出口报关!D45="","",①出口报关!D45))</f>
        <v/>
      </c>
      <c r="E48" s="31" t="str">
        <f aca="false">IF($A48="","",N(①出口报关!L45))</f>
        <v/>
      </c>
      <c r="F48" s="31" t="str">
        <f aca="false">IF($A48="","",IF(①出口报关!Y45="","未签收",①出口报关!Y45))</f>
        <v/>
      </c>
      <c r="G48" s="32" t="str">
        <f aca="false">IF(OR($A48="",NOT(ISNUMBER(F48))),"",F48-E48)</f>
        <v/>
      </c>
      <c r="H48" s="31" t="str">
        <f aca="false">IF($A48="","",SUMIFS(②销售核销!$I$4:$I$603,②销售核销!$E$4:$E$603,$A48))</f>
        <v/>
      </c>
      <c r="I48" s="31" t="str">
        <f aca="false">IF($A48="","",SUMIFS(⑤库存异常!$E$4:$E$203,⑤库存异常!$B$4:$B$203,$A48))</f>
        <v/>
      </c>
      <c r="J48" s="31" t="str">
        <f aca="false">IF($A48="","",IF(ISNUMBER(F48),F48,E48)-H48-I48)</f>
        <v/>
      </c>
      <c r="K48" s="33" t="str">
        <f aca="false">IF(OR($A48="",N(E48)=0),"",H48/E48)</f>
        <v/>
      </c>
      <c r="L48" s="34" t="str">
        <f aca="false">IF($A48="","",SUMIFS(②销售核销!$L$4:$L$603,②销售核销!$E$4:$E$603,$A48))</f>
        <v/>
      </c>
      <c r="M48" s="34" t="str">
        <f aca="false">IF($A48="","",SUMIFS(②销售核销!$L$4:$L$603,②销售核销!$E$4:$E$603,$A48,②销售核销!$M$4:$M$603,"已收汇"))</f>
        <v/>
      </c>
      <c r="N48" s="30" t="str">
        <f aca="false">IF(ISNUMBER(D48),DATE(YEAR(D48)+1,4,30),"")</f>
        <v/>
      </c>
      <c r="O48" s="35" t="str">
        <f aca="true">IF($A48="","",IF(N(H48)=0,IF(AND(ISNUMBER(N48),TODAY()&gt;N48),"超过收汇期限仍未销售","尚未销售"),IF(ROUND(M48,2)&gt;=ROUND(L48,2),"已售部分已收汇",IF(AND(ISNUMBER(N48),TODAY()&gt;N48),"超期未收汇","有回款待收汇"))))</f>
        <v/>
      </c>
      <c r="P48" s="34" t="str">
        <f aca="false">IF($A48="","",SUMIFS(④退税核算!$H$4:$H$303,④退税核算!$A$4:$A$303,$A48))</f>
        <v/>
      </c>
      <c r="Q48" s="34" t="str">
        <f aca="false">IF($A48="","",SUMIFS(④退税核算!$H$4:$H$303,④退税核算!$A$4:$A$303,$A48,④退税核算!$D$4:$D$303,"未售-海外仓预退（HWC-YT）"))</f>
        <v/>
      </c>
      <c r="R48" s="30" t="str">
        <f aca="false">IF($A48="","",IF(COUNTIFS(④退税核算!$A$4:$A$303,$A48,④退税核算!$D$4:$D$303,"未售-海外仓预退（HWC-YT）",④退税核算!$I$4:$I$303,"&gt;0")=0,"",_xlfn.MINIFS(④退税核算!$J$4:$J$303,④退税核算!$A$4:$A$303,$A48,④退税核算!$D$4:$D$303,"未售-海外仓预退（HWC-YT）")))</f>
        <v/>
      </c>
      <c r="S48" s="35" t="str">
        <f aca="false">IF($A48="","",IF(COUNTIFS(④退税核算!$A$4:$A$303,$A48,④退税核算!$D$4:$D$303,"未售-海外仓预退（HWC-YT）")=0,"不涉及",IF(COUNTIFS(④退税核算!$A$4:$A$303,$A48,④退税核算!$S$4:$S$303,"已逾期*")&gt;0,"已逾期",IF(COUNTIFS(④退税核算!$A$4:$A$303,$A48,④退税核算!$S$4:$S$303,"临近*")&gt;0,"临近截止",IF(COUNTIFS(④退税核算!$A$4:$A$303,$A48,④退税核算!$S$4:$S$303,"待*")&gt;0,"待核算","已核算")))))</f>
        <v/>
      </c>
      <c r="T48" s="35" t="str">
        <f aca="false">IF($A48="","",IFERROR(INDEX(⑥单证留存!$P$4:$P$203,MATCH(①出口报关!B45,⑥单证留存!$A$4:$A$203,0)),"未登记"))</f>
        <v/>
      </c>
      <c r="U48" s="36" t="str">
        <f aca="false">IF($A48="","",IF(IF(OR(O48="超期未收汇",O48="超过收汇期限仍未销售")," 收汇超期","")&amp;IF(S48="已逾期"," 核算逾期","")&amp;IF(S48="临近截止"," 核算临近截止","")&amp;IF(LEFT(T48,1)="缺"," 单证"&amp;T48,"")&amp;IF(T48="未登记"," 单证未登记","")&amp;IF(AND(ISNUMBER(G48),N(G48)&lt;&gt;0)," 入仓差异"&amp;G48,"")="","正常",SUBSTITUTE(TRIM(IF(OR(O48="超期未收汇",O48="超过收汇期限仍未销售")," 收汇超期","")&amp;IF(S48="已逾期"," 核算逾期","")&amp;IF(S48="临近截止"," 核算临近截止","")&amp;IF(LEFT(T48,1)="缺"," 单证"&amp;T48,"")&amp;IF(T48="未登记"," 单证未登记","")&amp;IF(AND(ISNUMBER(G48),N(G48)&lt;&gt;0)," 入仓差异"&amp;G48,""))," ","、")))</f>
        <v/>
      </c>
    </row>
    <row r="49" customFormat="false" ht="21.75" hidden="false" customHeight="true" outlineLevel="0" collapsed="false">
      <c r="A49" s="29" t="str">
        <f aca="false">IF(①出口报关!A46="","",①出口报关!A46)</f>
        <v/>
      </c>
      <c r="B49" s="29" t="str">
        <f aca="false">IF($A49="","",①出口报关!I46)</f>
        <v/>
      </c>
      <c r="C49" s="29" t="str">
        <f aca="false">IF($A49="","",①出口报关!J46)</f>
        <v/>
      </c>
      <c r="D49" s="30" t="str">
        <f aca="false">IF($A49="","",IF(①出口报关!D46="","",①出口报关!D46))</f>
        <v/>
      </c>
      <c r="E49" s="31" t="str">
        <f aca="false">IF($A49="","",N(①出口报关!L46))</f>
        <v/>
      </c>
      <c r="F49" s="31" t="str">
        <f aca="false">IF($A49="","",IF(①出口报关!Y46="","未签收",①出口报关!Y46))</f>
        <v/>
      </c>
      <c r="G49" s="32" t="str">
        <f aca="false">IF(OR($A49="",NOT(ISNUMBER(F49))),"",F49-E49)</f>
        <v/>
      </c>
      <c r="H49" s="31" t="str">
        <f aca="false">IF($A49="","",SUMIFS(②销售核销!$I$4:$I$603,②销售核销!$E$4:$E$603,$A49))</f>
        <v/>
      </c>
      <c r="I49" s="31" t="str">
        <f aca="false">IF($A49="","",SUMIFS(⑤库存异常!$E$4:$E$203,⑤库存异常!$B$4:$B$203,$A49))</f>
        <v/>
      </c>
      <c r="J49" s="31" t="str">
        <f aca="false">IF($A49="","",IF(ISNUMBER(F49),F49,E49)-H49-I49)</f>
        <v/>
      </c>
      <c r="K49" s="33" t="str">
        <f aca="false">IF(OR($A49="",N(E49)=0),"",H49/E49)</f>
        <v/>
      </c>
      <c r="L49" s="34" t="str">
        <f aca="false">IF($A49="","",SUMIFS(②销售核销!$L$4:$L$603,②销售核销!$E$4:$E$603,$A49))</f>
        <v/>
      </c>
      <c r="M49" s="34" t="str">
        <f aca="false">IF($A49="","",SUMIFS(②销售核销!$L$4:$L$603,②销售核销!$E$4:$E$603,$A49,②销售核销!$M$4:$M$603,"已收汇"))</f>
        <v/>
      </c>
      <c r="N49" s="30" t="str">
        <f aca="false">IF(ISNUMBER(D49),DATE(YEAR(D49)+1,4,30),"")</f>
        <v/>
      </c>
      <c r="O49" s="35" t="str">
        <f aca="true">IF($A49="","",IF(N(H49)=0,IF(AND(ISNUMBER(N49),TODAY()&gt;N49),"超过收汇期限仍未销售","尚未销售"),IF(ROUND(M49,2)&gt;=ROUND(L49,2),"已售部分已收汇",IF(AND(ISNUMBER(N49),TODAY()&gt;N49),"超期未收汇","有回款待收汇"))))</f>
        <v/>
      </c>
      <c r="P49" s="34" t="str">
        <f aca="false">IF($A49="","",SUMIFS(④退税核算!$H$4:$H$303,④退税核算!$A$4:$A$303,$A49))</f>
        <v/>
      </c>
      <c r="Q49" s="34" t="str">
        <f aca="false">IF($A49="","",SUMIFS(④退税核算!$H$4:$H$303,④退税核算!$A$4:$A$303,$A49,④退税核算!$D$4:$D$303,"未售-海外仓预退（HWC-YT）"))</f>
        <v/>
      </c>
      <c r="R49" s="30" t="str">
        <f aca="false">IF($A49="","",IF(COUNTIFS(④退税核算!$A$4:$A$303,$A49,④退税核算!$D$4:$D$303,"未售-海外仓预退（HWC-YT）",④退税核算!$I$4:$I$303,"&gt;0")=0,"",_xlfn.MINIFS(④退税核算!$J$4:$J$303,④退税核算!$A$4:$A$303,$A49,④退税核算!$D$4:$D$303,"未售-海外仓预退（HWC-YT）")))</f>
        <v/>
      </c>
      <c r="S49" s="35" t="str">
        <f aca="false">IF($A49="","",IF(COUNTIFS(④退税核算!$A$4:$A$303,$A49,④退税核算!$D$4:$D$303,"未售-海外仓预退（HWC-YT）")=0,"不涉及",IF(COUNTIFS(④退税核算!$A$4:$A$303,$A49,④退税核算!$S$4:$S$303,"已逾期*")&gt;0,"已逾期",IF(COUNTIFS(④退税核算!$A$4:$A$303,$A49,④退税核算!$S$4:$S$303,"临近*")&gt;0,"临近截止",IF(COUNTIFS(④退税核算!$A$4:$A$303,$A49,④退税核算!$S$4:$S$303,"待*")&gt;0,"待核算","已核算")))))</f>
        <v/>
      </c>
      <c r="T49" s="35" t="str">
        <f aca="false">IF($A49="","",IFERROR(INDEX(⑥单证留存!$P$4:$P$203,MATCH(①出口报关!B46,⑥单证留存!$A$4:$A$203,0)),"未登记"))</f>
        <v/>
      </c>
      <c r="U49" s="36" t="str">
        <f aca="false">IF($A49="","",IF(IF(OR(O49="超期未收汇",O49="超过收汇期限仍未销售")," 收汇超期","")&amp;IF(S49="已逾期"," 核算逾期","")&amp;IF(S49="临近截止"," 核算临近截止","")&amp;IF(LEFT(T49,1)="缺"," 单证"&amp;T49,"")&amp;IF(T49="未登记"," 单证未登记","")&amp;IF(AND(ISNUMBER(G49),N(G49)&lt;&gt;0)," 入仓差异"&amp;G49,"")="","正常",SUBSTITUTE(TRIM(IF(OR(O49="超期未收汇",O49="超过收汇期限仍未销售")," 收汇超期","")&amp;IF(S49="已逾期"," 核算逾期","")&amp;IF(S49="临近截止"," 核算临近截止","")&amp;IF(LEFT(T49,1)="缺"," 单证"&amp;T49,"")&amp;IF(T49="未登记"," 单证未登记","")&amp;IF(AND(ISNUMBER(G49),N(G49)&lt;&gt;0)," 入仓差异"&amp;G49,""))," ","、")))</f>
        <v/>
      </c>
    </row>
    <row r="50" customFormat="false" ht="21.75" hidden="false" customHeight="true" outlineLevel="0" collapsed="false">
      <c r="A50" s="29" t="str">
        <f aca="false">IF(①出口报关!A47="","",①出口报关!A47)</f>
        <v/>
      </c>
      <c r="B50" s="29" t="str">
        <f aca="false">IF($A50="","",①出口报关!I47)</f>
        <v/>
      </c>
      <c r="C50" s="29" t="str">
        <f aca="false">IF($A50="","",①出口报关!J47)</f>
        <v/>
      </c>
      <c r="D50" s="30" t="str">
        <f aca="false">IF($A50="","",IF(①出口报关!D47="","",①出口报关!D47))</f>
        <v/>
      </c>
      <c r="E50" s="31" t="str">
        <f aca="false">IF($A50="","",N(①出口报关!L47))</f>
        <v/>
      </c>
      <c r="F50" s="31" t="str">
        <f aca="false">IF($A50="","",IF(①出口报关!Y47="","未签收",①出口报关!Y47))</f>
        <v/>
      </c>
      <c r="G50" s="32" t="str">
        <f aca="false">IF(OR($A50="",NOT(ISNUMBER(F50))),"",F50-E50)</f>
        <v/>
      </c>
      <c r="H50" s="31" t="str">
        <f aca="false">IF($A50="","",SUMIFS(②销售核销!$I$4:$I$603,②销售核销!$E$4:$E$603,$A50))</f>
        <v/>
      </c>
      <c r="I50" s="31" t="str">
        <f aca="false">IF($A50="","",SUMIFS(⑤库存异常!$E$4:$E$203,⑤库存异常!$B$4:$B$203,$A50))</f>
        <v/>
      </c>
      <c r="J50" s="31" t="str">
        <f aca="false">IF($A50="","",IF(ISNUMBER(F50),F50,E50)-H50-I50)</f>
        <v/>
      </c>
      <c r="K50" s="33" t="str">
        <f aca="false">IF(OR($A50="",N(E50)=0),"",H50/E50)</f>
        <v/>
      </c>
      <c r="L50" s="34" t="str">
        <f aca="false">IF($A50="","",SUMIFS(②销售核销!$L$4:$L$603,②销售核销!$E$4:$E$603,$A50))</f>
        <v/>
      </c>
      <c r="M50" s="34" t="str">
        <f aca="false">IF($A50="","",SUMIFS(②销售核销!$L$4:$L$603,②销售核销!$E$4:$E$603,$A50,②销售核销!$M$4:$M$603,"已收汇"))</f>
        <v/>
      </c>
      <c r="N50" s="30" t="str">
        <f aca="false">IF(ISNUMBER(D50),DATE(YEAR(D50)+1,4,30),"")</f>
        <v/>
      </c>
      <c r="O50" s="35" t="str">
        <f aca="true">IF($A50="","",IF(N(H50)=0,IF(AND(ISNUMBER(N50),TODAY()&gt;N50),"超过收汇期限仍未销售","尚未销售"),IF(ROUND(M50,2)&gt;=ROUND(L50,2),"已售部分已收汇",IF(AND(ISNUMBER(N50),TODAY()&gt;N50),"超期未收汇","有回款待收汇"))))</f>
        <v/>
      </c>
      <c r="P50" s="34" t="str">
        <f aca="false">IF($A50="","",SUMIFS(④退税核算!$H$4:$H$303,④退税核算!$A$4:$A$303,$A50))</f>
        <v/>
      </c>
      <c r="Q50" s="34" t="str">
        <f aca="false">IF($A50="","",SUMIFS(④退税核算!$H$4:$H$303,④退税核算!$A$4:$A$303,$A50,④退税核算!$D$4:$D$303,"未售-海外仓预退（HWC-YT）"))</f>
        <v/>
      </c>
      <c r="R50" s="30" t="str">
        <f aca="false">IF($A50="","",IF(COUNTIFS(④退税核算!$A$4:$A$303,$A50,④退税核算!$D$4:$D$303,"未售-海外仓预退（HWC-YT）",④退税核算!$I$4:$I$303,"&gt;0")=0,"",_xlfn.MINIFS(④退税核算!$J$4:$J$303,④退税核算!$A$4:$A$303,$A50,④退税核算!$D$4:$D$303,"未售-海外仓预退（HWC-YT）")))</f>
        <v/>
      </c>
      <c r="S50" s="35" t="str">
        <f aca="false">IF($A50="","",IF(COUNTIFS(④退税核算!$A$4:$A$303,$A50,④退税核算!$D$4:$D$303,"未售-海外仓预退（HWC-YT）")=0,"不涉及",IF(COUNTIFS(④退税核算!$A$4:$A$303,$A50,④退税核算!$S$4:$S$303,"已逾期*")&gt;0,"已逾期",IF(COUNTIFS(④退税核算!$A$4:$A$303,$A50,④退税核算!$S$4:$S$303,"临近*")&gt;0,"临近截止",IF(COUNTIFS(④退税核算!$A$4:$A$303,$A50,④退税核算!$S$4:$S$303,"待*")&gt;0,"待核算","已核算")))))</f>
        <v/>
      </c>
      <c r="T50" s="35" t="str">
        <f aca="false">IF($A50="","",IFERROR(INDEX(⑥单证留存!$P$4:$P$203,MATCH(①出口报关!B47,⑥单证留存!$A$4:$A$203,0)),"未登记"))</f>
        <v/>
      </c>
      <c r="U50" s="36" t="str">
        <f aca="false">IF($A50="","",IF(IF(OR(O50="超期未收汇",O50="超过收汇期限仍未销售")," 收汇超期","")&amp;IF(S50="已逾期"," 核算逾期","")&amp;IF(S50="临近截止"," 核算临近截止","")&amp;IF(LEFT(T50,1)="缺"," 单证"&amp;T50,"")&amp;IF(T50="未登记"," 单证未登记","")&amp;IF(AND(ISNUMBER(G50),N(G50)&lt;&gt;0)," 入仓差异"&amp;G50,"")="","正常",SUBSTITUTE(TRIM(IF(OR(O50="超期未收汇",O50="超过收汇期限仍未销售")," 收汇超期","")&amp;IF(S50="已逾期"," 核算逾期","")&amp;IF(S50="临近截止"," 核算临近截止","")&amp;IF(LEFT(T50,1)="缺"," 单证"&amp;T50,"")&amp;IF(T50="未登记"," 单证未登记","")&amp;IF(AND(ISNUMBER(G50),N(G50)&lt;&gt;0)," 入仓差异"&amp;G50,""))," ","、")))</f>
        <v/>
      </c>
    </row>
    <row r="51" customFormat="false" ht="21.75" hidden="false" customHeight="true" outlineLevel="0" collapsed="false">
      <c r="A51" s="29" t="str">
        <f aca="false">IF(①出口报关!A48="","",①出口报关!A48)</f>
        <v/>
      </c>
      <c r="B51" s="29" t="str">
        <f aca="false">IF($A51="","",①出口报关!I48)</f>
        <v/>
      </c>
      <c r="C51" s="29" t="str">
        <f aca="false">IF($A51="","",①出口报关!J48)</f>
        <v/>
      </c>
      <c r="D51" s="30" t="str">
        <f aca="false">IF($A51="","",IF(①出口报关!D48="","",①出口报关!D48))</f>
        <v/>
      </c>
      <c r="E51" s="31" t="str">
        <f aca="false">IF($A51="","",N(①出口报关!L48))</f>
        <v/>
      </c>
      <c r="F51" s="31" t="str">
        <f aca="false">IF($A51="","",IF(①出口报关!Y48="","未签收",①出口报关!Y48))</f>
        <v/>
      </c>
      <c r="G51" s="32" t="str">
        <f aca="false">IF(OR($A51="",NOT(ISNUMBER(F51))),"",F51-E51)</f>
        <v/>
      </c>
      <c r="H51" s="31" t="str">
        <f aca="false">IF($A51="","",SUMIFS(②销售核销!$I$4:$I$603,②销售核销!$E$4:$E$603,$A51))</f>
        <v/>
      </c>
      <c r="I51" s="31" t="str">
        <f aca="false">IF($A51="","",SUMIFS(⑤库存异常!$E$4:$E$203,⑤库存异常!$B$4:$B$203,$A51))</f>
        <v/>
      </c>
      <c r="J51" s="31" t="str">
        <f aca="false">IF($A51="","",IF(ISNUMBER(F51),F51,E51)-H51-I51)</f>
        <v/>
      </c>
      <c r="K51" s="33" t="str">
        <f aca="false">IF(OR($A51="",N(E51)=0),"",H51/E51)</f>
        <v/>
      </c>
      <c r="L51" s="34" t="str">
        <f aca="false">IF($A51="","",SUMIFS(②销售核销!$L$4:$L$603,②销售核销!$E$4:$E$603,$A51))</f>
        <v/>
      </c>
      <c r="M51" s="34" t="str">
        <f aca="false">IF($A51="","",SUMIFS(②销售核销!$L$4:$L$603,②销售核销!$E$4:$E$603,$A51,②销售核销!$M$4:$M$603,"已收汇"))</f>
        <v/>
      </c>
      <c r="N51" s="30" t="str">
        <f aca="false">IF(ISNUMBER(D51),DATE(YEAR(D51)+1,4,30),"")</f>
        <v/>
      </c>
      <c r="O51" s="35" t="str">
        <f aca="true">IF($A51="","",IF(N(H51)=0,IF(AND(ISNUMBER(N51),TODAY()&gt;N51),"超过收汇期限仍未销售","尚未销售"),IF(ROUND(M51,2)&gt;=ROUND(L51,2),"已售部分已收汇",IF(AND(ISNUMBER(N51),TODAY()&gt;N51),"超期未收汇","有回款待收汇"))))</f>
        <v/>
      </c>
      <c r="P51" s="34" t="str">
        <f aca="false">IF($A51="","",SUMIFS(④退税核算!$H$4:$H$303,④退税核算!$A$4:$A$303,$A51))</f>
        <v/>
      </c>
      <c r="Q51" s="34" t="str">
        <f aca="false">IF($A51="","",SUMIFS(④退税核算!$H$4:$H$303,④退税核算!$A$4:$A$303,$A51,④退税核算!$D$4:$D$303,"未售-海外仓预退（HWC-YT）"))</f>
        <v/>
      </c>
      <c r="R51" s="30" t="str">
        <f aca="false">IF($A51="","",IF(COUNTIFS(④退税核算!$A$4:$A$303,$A51,④退税核算!$D$4:$D$303,"未售-海外仓预退（HWC-YT）",④退税核算!$I$4:$I$303,"&gt;0")=0,"",_xlfn.MINIFS(④退税核算!$J$4:$J$303,④退税核算!$A$4:$A$303,$A51,④退税核算!$D$4:$D$303,"未售-海外仓预退（HWC-YT）")))</f>
        <v/>
      </c>
      <c r="S51" s="35" t="str">
        <f aca="false">IF($A51="","",IF(COUNTIFS(④退税核算!$A$4:$A$303,$A51,④退税核算!$D$4:$D$303,"未售-海外仓预退（HWC-YT）")=0,"不涉及",IF(COUNTIFS(④退税核算!$A$4:$A$303,$A51,④退税核算!$S$4:$S$303,"已逾期*")&gt;0,"已逾期",IF(COUNTIFS(④退税核算!$A$4:$A$303,$A51,④退税核算!$S$4:$S$303,"临近*")&gt;0,"临近截止",IF(COUNTIFS(④退税核算!$A$4:$A$303,$A51,④退税核算!$S$4:$S$303,"待*")&gt;0,"待核算","已核算")))))</f>
        <v/>
      </c>
      <c r="T51" s="35" t="str">
        <f aca="false">IF($A51="","",IFERROR(INDEX(⑥单证留存!$P$4:$P$203,MATCH(①出口报关!B48,⑥单证留存!$A$4:$A$203,0)),"未登记"))</f>
        <v/>
      </c>
      <c r="U51" s="36" t="str">
        <f aca="false">IF($A51="","",IF(IF(OR(O51="超期未收汇",O51="超过收汇期限仍未销售")," 收汇超期","")&amp;IF(S51="已逾期"," 核算逾期","")&amp;IF(S51="临近截止"," 核算临近截止","")&amp;IF(LEFT(T51,1)="缺"," 单证"&amp;T51,"")&amp;IF(T51="未登记"," 单证未登记","")&amp;IF(AND(ISNUMBER(G51),N(G51)&lt;&gt;0)," 入仓差异"&amp;G51,"")="","正常",SUBSTITUTE(TRIM(IF(OR(O51="超期未收汇",O51="超过收汇期限仍未销售")," 收汇超期","")&amp;IF(S51="已逾期"," 核算逾期","")&amp;IF(S51="临近截止"," 核算临近截止","")&amp;IF(LEFT(T51,1)="缺"," 单证"&amp;T51,"")&amp;IF(T51="未登记"," 单证未登记","")&amp;IF(AND(ISNUMBER(G51),N(G51)&lt;&gt;0)," 入仓差异"&amp;G51,""))," ","、")))</f>
        <v/>
      </c>
    </row>
    <row r="52" customFormat="false" ht="21.75" hidden="false" customHeight="true" outlineLevel="0" collapsed="false">
      <c r="A52" s="29" t="str">
        <f aca="false">IF(①出口报关!A49="","",①出口报关!A49)</f>
        <v/>
      </c>
      <c r="B52" s="29" t="str">
        <f aca="false">IF($A52="","",①出口报关!I49)</f>
        <v/>
      </c>
      <c r="C52" s="29" t="str">
        <f aca="false">IF($A52="","",①出口报关!J49)</f>
        <v/>
      </c>
      <c r="D52" s="30" t="str">
        <f aca="false">IF($A52="","",IF(①出口报关!D49="","",①出口报关!D49))</f>
        <v/>
      </c>
      <c r="E52" s="31" t="str">
        <f aca="false">IF($A52="","",N(①出口报关!L49))</f>
        <v/>
      </c>
      <c r="F52" s="31" t="str">
        <f aca="false">IF($A52="","",IF(①出口报关!Y49="","未签收",①出口报关!Y49))</f>
        <v/>
      </c>
      <c r="G52" s="32" t="str">
        <f aca="false">IF(OR($A52="",NOT(ISNUMBER(F52))),"",F52-E52)</f>
        <v/>
      </c>
      <c r="H52" s="31" t="str">
        <f aca="false">IF($A52="","",SUMIFS(②销售核销!$I$4:$I$603,②销售核销!$E$4:$E$603,$A52))</f>
        <v/>
      </c>
      <c r="I52" s="31" t="str">
        <f aca="false">IF($A52="","",SUMIFS(⑤库存异常!$E$4:$E$203,⑤库存异常!$B$4:$B$203,$A52))</f>
        <v/>
      </c>
      <c r="J52" s="31" t="str">
        <f aca="false">IF($A52="","",IF(ISNUMBER(F52),F52,E52)-H52-I52)</f>
        <v/>
      </c>
      <c r="K52" s="33" t="str">
        <f aca="false">IF(OR($A52="",N(E52)=0),"",H52/E52)</f>
        <v/>
      </c>
      <c r="L52" s="34" t="str">
        <f aca="false">IF($A52="","",SUMIFS(②销售核销!$L$4:$L$603,②销售核销!$E$4:$E$603,$A52))</f>
        <v/>
      </c>
      <c r="M52" s="34" t="str">
        <f aca="false">IF($A52="","",SUMIFS(②销售核销!$L$4:$L$603,②销售核销!$E$4:$E$603,$A52,②销售核销!$M$4:$M$603,"已收汇"))</f>
        <v/>
      </c>
      <c r="N52" s="30" t="str">
        <f aca="false">IF(ISNUMBER(D52),DATE(YEAR(D52)+1,4,30),"")</f>
        <v/>
      </c>
      <c r="O52" s="35" t="str">
        <f aca="true">IF($A52="","",IF(N(H52)=0,IF(AND(ISNUMBER(N52),TODAY()&gt;N52),"超过收汇期限仍未销售","尚未销售"),IF(ROUND(M52,2)&gt;=ROUND(L52,2),"已售部分已收汇",IF(AND(ISNUMBER(N52),TODAY()&gt;N52),"超期未收汇","有回款待收汇"))))</f>
        <v/>
      </c>
      <c r="P52" s="34" t="str">
        <f aca="false">IF($A52="","",SUMIFS(④退税核算!$H$4:$H$303,④退税核算!$A$4:$A$303,$A52))</f>
        <v/>
      </c>
      <c r="Q52" s="34" t="str">
        <f aca="false">IF($A52="","",SUMIFS(④退税核算!$H$4:$H$303,④退税核算!$A$4:$A$303,$A52,④退税核算!$D$4:$D$303,"未售-海外仓预退（HWC-YT）"))</f>
        <v/>
      </c>
      <c r="R52" s="30" t="str">
        <f aca="false">IF($A52="","",IF(COUNTIFS(④退税核算!$A$4:$A$303,$A52,④退税核算!$D$4:$D$303,"未售-海外仓预退（HWC-YT）",④退税核算!$I$4:$I$303,"&gt;0")=0,"",_xlfn.MINIFS(④退税核算!$J$4:$J$303,④退税核算!$A$4:$A$303,$A52,④退税核算!$D$4:$D$303,"未售-海外仓预退（HWC-YT）")))</f>
        <v/>
      </c>
      <c r="S52" s="35" t="str">
        <f aca="false">IF($A52="","",IF(COUNTIFS(④退税核算!$A$4:$A$303,$A52,④退税核算!$D$4:$D$303,"未售-海外仓预退（HWC-YT）")=0,"不涉及",IF(COUNTIFS(④退税核算!$A$4:$A$303,$A52,④退税核算!$S$4:$S$303,"已逾期*")&gt;0,"已逾期",IF(COUNTIFS(④退税核算!$A$4:$A$303,$A52,④退税核算!$S$4:$S$303,"临近*")&gt;0,"临近截止",IF(COUNTIFS(④退税核算!$A$4:$A$303,$A52,④退税核算!$S$4:$S$303,"待*")&gt;0,"待核算","已核算")))))</f>
        <v/>
      </c>
      <c r="T52" s="35" t="str">
        <f aca="false">IF($A52="","",IFERROR(INDEX(⑥单证留存!$P$4:$P$203,MATCH(①出口报关!B49,⑥单证留存!$A$4:$A$203,0)),"未登记"))</f>
        <v/>
      </c>
      <c r="U52" s="36" t="str">
        <f aca="false">IF($A52="","",IF(IF(OR(O52="超期未收汇",O52="超过收汇期限仍未销售")," 收汇超期","")&amp;IF(S52="已逾期"," 核算逾期","")&amp;IF(S52="临近截止"," 核算临近截止","")&amp;IF(LEFT(T52,1)="缺"," 单证"&amp;T52,"")&amp;IF(T52="未登记"," 单证未登记","")&amp;IF(AND(ISNUMBER(G52),N(G52)&lt;&gt;0)," 入仓差异"&amp;G52,"")="","正常",SUBSTITUTE(TRIM(IF(OR(O52="超期未收汇",O52="超过收汇期限仍未销售")," 收汇超期","")&amp;IF(S52="已逾期"," 核算逾期","")&amp;IF(S52="临近截止"," 核算临近截止","")&amp;IF(LEFT(T52,1)="缺"," 单证"&amp;T52,"")&amp;IF(T52="未登记"," 单证未登记","")&amp;IF(AND(ISNUMBER(G52),N(G52)&lt;&gt;0)," 入仓差异"&amp;G52,""))," ","、")))</f>
        <v/>
      </c>
    </row>
    <row r="53" customFormat="false" ht="21.75" hidden="false" customHeight="true" outlineLevel="0" collapsed="false">
      <c r="A53" s="29" t="str">
        <f aca="false">IF(①出口报关!A50="","",①出口报关!A50)</f>
        <v/>
      </c>
      <c r="B53" s="29" t="str">
        <f aca="false">IF($A53="","",①出口报关!I50)</f>
        <v/>
      </c>
      <c r="C53" s="29" t="str">
        <f aca="false">IF($A53="","",①出口报关!J50)</f>
        <v/>
      </c>
      <c r="D53" s="30" t="str">
        <f aca="false">IF($A53="","",IF(①出口报关!D50="","",①出口报关!D50))</f>
        <v/>
      </c>
      <c r="E53" s="31" t="str">
        <f aca="false">IF($A53="","",N(①出口报关!L50))</f>
        <v/>
      </c>
      <c r="F53" s="31" t="str">
        <f aca="false">IF($A53="","",IF(①出口报关!Y50="","未签收",①出口报关!Y50))</f>
        <v/>
      </c>
      <c r="G53" s="32" t="str">
        <f aca="false">IF(OR($A53="",NOT(ISNUMBER(F53))),"",F53-E53)</f>
        <v/>
      </c>
      <c r="H53" s="31" t="str">
        <f aca="false">IF($A53="","",SUMIFS(②销售核销!$I$4:$I$603,②销售核销!$E$4:$E$603,$A53))</f>
        <v/>
      </c>
      <c r="I53" s="31" t="str">
        <f aca="false">IF($A53="","",SUMIFS(⑤库存异常!$E$4:$E$203,⑤库存异常!$B$4:$B$203,$A53))</f>
        <v/>
      </c>
      <c r="J53" s="31" t="str">
        <f aca="false">IF($A53="","",IF(ISNUMBER(F53),F53,E53)-H53-I53)</f>
        <v/>
      </c>
      <c r="K53" s="33" t="str">
        <f aca="false">IF(OR($A53="",N(E53)=0),"",H53/E53)</f>
        <v/>
      </c>
      <c r="L53" s="34" t="str">
        <f aca="false">IF($A53="","",SUMIFS(②销售核销!$L$4:$L$603,②销售核销!$E$4:$E$603,$A53))</f>
        <v/>
      </c>
      <c r="M53" s="34" t="str">
        <f aca="false">IF($A53="","",SUMIFS(②销售核销!$L$4:$L$603,②销售核销!$E$4:$E$603,$A53,②销售核销!$M$4:$M$603,"已收汇"))</f>
        <v/>
      </c>
      <c r="N53" s="30" t="str">
        <f aca="false">IF(ISNUMBER(D53),DATE(YEAR(D53)+1,4,30),"")</f>
        <v/>
      </c>
      <c r="O53" s="35" t="str">
        <f aca="true">IF($A53="","",IF(N(H53)=0,IF(AND(ISNUMBER(N53),TODAY()&gt;N53),"超过收汇期限仍未销售","尚未销售"),IF(ROUND(M53,2)&gt;=ROUND(L53,2),"已售部分已收汇",IF(AND(ISNUMBER(N53),TODAY()&gt;N53),"超期未收汇","有回款待收汇"))))</f>
        <v/>
      </c>
      <c r="P53" s="34" t="str">
        <f aca="false">IF($A53="","",SUMIFS(④退税核算!$H$4:$H$303,④退税核算!$A$4:$A$303,$A53))</f>
        <v/>
      </c>
      <c r="Q53" s="34" t="str">
        <f aca="false">IF($A53="","",SUMIFS(④退税核算!$H$4:$H$303,④退税核算!$A$4:$A$303,$A53,④退税核算!$D$4:$D$303,"未售-海外仓预退（HWC-YT）"))</f>
        <v/>
      </c>
      <c r="R53" s="30" t="str">
        <f aca="false">IF($A53="","",IF(COUNTIFS(④退税核算!$A$4:$A$303,$A53,④退税核算!$D$4:$D$303,"未售-海外仓预退（HWC-YT）",④退税核算!$I$4:$I$303,"&gt;0")=0,"",_xlfn.MINIFS(④退税核算!$J$4:$J$303,④退税核算!$A$4:$A$303,$A53,④退税核算!$D$4:$D$303,"未售-海外仓预退（HWC-YT）")))</f>
        <v/>
      </c>
      <c r="S53" s="35" t="str">
        <f aca="false">IF($A53="","",IF(COUNTIFS(④退税核算!$A$4:$A$303,$A53,④退税核算!$D$4:$D$303,"未售-海外仓预退（HWC-YT）")=0,"不涉及",IF(COUNTIFS(④退税核算!$A$4:$A$303,$A53,④退税核算!$S$4:$S$303,"已逾期*")&gt;0,"已逾期",IF(COUNTIFS(④退税核算!$A$4:$A$303,$A53,④退税核算!$S$4:$S$303,"临近*")&gt;0,"临近截止",IF(COUNTIFS(④退税核算!$A$4:$A$303,$A53,④退税核算!$S$4:$S$303,"待*")&gt;0,"待核算","已核算")))))</f>
        <v/>
      </c>
      <c r="T53" s="35" t="str">
        <f aca="false">IF($A53="","",IFERROR(INDEX(⑥单证留存!$P$4:$P$203,MATCH(①出口报关!B50,⑥单证留存!$A$4:$A$203,0)),"未登记"))</f>
        <v/>
      </c>
      <c r="U53" s="36" t="str">
        <f aca="false">IF($A53="","",IF(IF(OR(O53="超期未收汇",O53="超过收汇期限仍未销售")," 收汇超期","")&amp;IF(S53="已逾期"," 核算逾期","")&amp;IF(S53="临近截止"," 核算临近截止","")&amp;IF(LEFT(T53,1)="缺"," 单证"&amp;T53,"")&amp;IF(T53="未登记"," 单证未登记","")&amp;IF(AND(ISNUMBER(G53),N(G53)&lt;&gt;0)," 入仓差异"&amp;G53,"")="","正常",SUBSTITUTE(TRIM(IF(OR(O53="超期未收汇",O53="超过收汇期限仍未销售")," 收汇超期","")&amp;IF(S53="已逾期"," 核算逾期","")&amp;IF(S53="临近截止"," 核算临近截止","")&amp;IF(LEFT(T53,1)="缺"," 单证"&amp;T53,"")&amp;IF(T53="未登记"," 单证未登记","")&amp;IF(AND(ISNUMBER(G53),N(G53)&lt;&gt;0)," 入仓差异"&amp;G53,""))," ","、")))</f>
        <v/>
      </c>
    </row>
    <row r="54" customFormat="false" ht="21.75" hidden="false" customHeight="true" outlineLevel="0" collapsed="false">
      <c r="A54" s="29" t="str">
        <f aca="false">IF(①出口报关!A51="","",①出口报关!A51)</f>
        <v/>
      </c>
      <c r="B54" s="29" t="str">
        <f aca="false">IF($A54="","",①出口报关!I51)</f>
        <v/>
      </c>
      <c r="C54" s="29" t="str">
        <f aca="false">IF($A54="","",①出口报关!J51)</f>
        <v/>
      </c>
      <c r="D54" s="30" t="str">
        <f aca="false">IF($A54="","",IF(①出口报关!D51="","",①出口报关!D51))</f>
        <v/>
      </c>
      <c r="E54" s="31" t="str">
        <f aca="false">IF($A54="","",N(①出口报关!L51))</f>
        <v/>
      </c>
      <c r="F54" s="31" t="str">
        <f aca="false">IF($A54="","",IF(①出口报关!Y51="","未签收",①出口报关!Y51))</f>
        <v/>
      </c>
      <c r="G54" s="32" t="str">
        <f aca="false">IF(OR($A54="",NOT(ISNUMBER(F54))),"",F54-E54)</f>
        <v/>
      </c>
      <c r="H54" s="31" t="str">
        <f aca="false">IF($A54="","",SUMIFS(②销售核销!$I$4:$I$603,②销售核销!$E$4:$E$603,$A54))</f>
        <v/>
      </c>
      <c r="I54" s="31" t="str">
        <f aca="false">IF($A54="","",SUMIFS(⑤库存异常!$E$4:$E$203,⑤库存异常!$B$4:$B$203,$A54))</f>
        <v/>
      </c>
      <c r="J54" s="31" t="str">
        <f aca="false">IF($A54="","",IF(ISNUMBER(F54),F54,E54)-H54-I54)</f>
        <v/>
      </c>
      <c r="K54" s="33" t="str">
        <f aca="false">IF(OR($A54="",N(E54)=0),"",H54/E54)</f>
        <v/>
      </c>
      <c r="L54" s="34" t="str">
        <f aca="false">IF($A54="","",SUMIFS(②销售核销!$L$4:$L$603,②销售核销!$E$4:$E$603,$A54))</f>
        <v/>
      </c>
      <c r="M54" s="34" t="str">
        <f aca="false">IF($A54="","",SUMIFS(②销售核销!$L$4:$L$603,②销售核销!$E$4:$E$603,$A54,②销售核销!$M$4:$M$603,"已收汇"))</f>
        <v/>
      </c>
      <c r="N54" s="30" t="str">
        <f aca="false">IF(ISNUMBER(D54),DATE(YEAR(D54)+1,4,30),"")</f>
        <v/>
      </c>
      <c r="O54" s="35" t="str">
        <f aca="true">IF($A54="","",IF(N(H54)=0,IF(AND(ISNUMBER(N54),TODAY()&gt;N54),"超过收汇期限仍未销售","尚未销售"),IF(ROUND(M54,2)&gt;=ROUND(L54,2),"已售部分已收汇",IF(AND(ISNUMBER(N54),TODAY()&gt;N54),"超期未收汇","有回款待收汇"))))</f>
        <v/>
      </c>
      <c r="P54" s="34" t="str">
        <f aca="false">IF($A54="","",SUMIFS(④退税核算!$H$4:$H$303,④退税核算!$A$4:$A$303,$A54))</f>
        <v/>
      </c>
      <c r="Q54" s="34" t="str">
        <f aca="false">IF($A54="","",SUMIFS(④退税核算!$H$4:$H$303,④退税核算!$A$4:$A$303,$A54,④退税核算!$D$4:$D$303,"未售-海外仓预退（HWC-YT）"))</f>
        <v/>
      </c>
      <c r="R54" s="30" t="str">
        <f aca="false">IF($A54="","",IF(COUNTIFS(④退税核算!$A$4:$A$303,$A54,④退税核算!$D$4:$D$303,"未售-海外仓预退（HWC-YT）",④退税核算!$I$4:$I$303,"&gt;0")=0,"",_xlfn.MINIFS(④退税核算!$J$4:$J$303,④退税核算!$A$4:$A$303,$A54,④退税核算!$D$4:$D$303,"未售-海外仓预退（HWC-YT）")))</f>
        <v/>
      </c>
      <c r="S54" s="35" t="str">
        <f aca="false">IF($A54="","",IF(COUNTIFS(④退税核算!$A$4:$A$303,$A54,④退税核算!$D$4:$D$303,"未售-海外仓预退（HWC-YT）")=0,"不涉及",IF(COUNTIFS(④退税核算!$A$4:$A$303,$A54,④退税核算!$S$4:$S$303,"已逾期*")&gt;0,"已逾期",IF(COUNTIFS(④退税核算!$A$4:$A$303,$A54,④退税核算!$S$4:$S$303,"临近*")&gt;0,"临近截止",IF(COUNTIFS(④退税核算!$A$4:$A$303,$A54,④退税核算!$S$4:$S$303,"待*")&gt;0,"待核算","已核算")))))</f>
        <v/>
      </c>
      <c r="T54" s="35" t="str">
        <f aca="false">IF($A54="","",IFERROR(INDEX(⑥单证留存!$P$4:$P$203,MATCH(①出口报关!B51,⑥单证留存!$A$4:$A$203,0)),"未登记"))</f>
        <v/>
      </c>
      <c r="U54" s="36" t="str">
        <f aca="false">IF($A54="","",IF(IF(OR(O54="超期未收汇",O54="超过收汇期限仍未销售")," 收汇超期","")&amp;IF(S54="已逾期"," 核算逾期","")&amp;IF(S54="临近截止"," 核算临近截止","")&amp;IF(LEFT(T54,1)="缺"," 单证"&amp;T54,"")&amp;IF(T54="未登记"," 单证未登记","")&amp;IF(AND(ISNUMBER(G54),N(G54)&lt;&gt;0)," 入仓差异"&amp;G54,"")="","正常",SUBSTITUTE(TRIM(IF(OR(O54="超期未收汇",O54="超过收汇期限仍未销售")," 收汇超期","")&amp;IF(S54="已逾期"," 核算逾期","")&amp;IF(S54="临近截止"," 核算临近截止","")&amp;IF(LEFT(T54,1)="缺"," 单证"&amp;T54,"")&amp;IF(T54="未登记"," 单证未登记","")&amp;IF(AND(ISNUMBER(G54),N(G54)&lt;&gt;0)," 入仓差异"&amp;G54,""))," ","、")))</f>
        <v/>
      </c>
    </row>
    <row r="55" customFormat="false" ht="21.75" hidden="false" customHeight="true" outlineLevel="0" collapsed="false">
      <c r="A55" s="29" t="str">
        <f aca="false">IF(①出口报关!A52="","",①出口报关!A52)</f>
        <v/>
      </c>
      <c r="B55" s="29" t="str">
        <f aca="false">IF($A55="","",①出口报关!I52)</f>
        <v/>
      </c>
      <c r="C55" s="29" t="str">
        <f aca="false">IF($A55="","",①出口报关!J52)</f>
        <v/>
      </c>
      <c r="D55" s="30" t="str">
        <f aca="false">IF($A55="","",IF(①出口报关!D52="","",①出口报关!D52))</f>
        <v/>
      </c>
      <c r="E55" s="31" t="str">
        <f aca="false">IF($A55="","",N(①出口报关!L52))</f>
        <v/>
      </c>
      <c r="F55" s="31" t="str">
        <f aca="false">IF($A55="","",IF(①出口报关!Y52="","未签收",①出口报关!Y52))</f>
        <v/>
      </c>
      <c r="G55" s="32" t="str">
        <f aca="false">IF(OR($A55="",NOT(ISNUMBER(F55))),"",F55-E55)</f>
        <v/>
      </c>
      <c r="H55" s="31" t="str">
        <f aca="false">IF($A55="","",SUMIFS(②销售核销!$I$4:$I$603,②销售核销!$E$4:$E$603,$A55))</f>
        <v/>
      </c>
      <c r="I55" s="31" t="str">
        <f aca="false">IF($A55="","",SUMIFS(⑤库存异常!$E$4:$E$203,⑤库存异常!$B$4:$B$203,$A55))</f>
        <v/>
      </c>
      <c r="J55" s="31" t="str">
        <f aca="false">IF($A55="","",IF(ISNUMBER(F55),F55,E55)-H55-I55)</f>
        <v/>
      </c>
      <c r="K55" s="33" t="str">
        <f aca="false">IF(OR($A55="",N(E55)=0),"",H55/E55)</f>
        <v/>
      </c>
      <c r="L55" s="34" t="str">
        <f aca="false">IF($A55="","",SUMIFS(②销售核销!$L$4:$L$603,②销售核销!$E$4:$E$603,$A55))</f>
        <v/>
      </c>
      <c r="M55" s="34" t="str">
        <f aca="false">IF($A55="","",SUMIFS(②销售核销!$L$4:$L$603,②销售核销!$E$4:$E$603,$A55,②销售核销!$M$4:$M$603,"已收汇"))</f>
        <v/>
      </c>
      <c r="N55" s="30" t="str">
        <f aca="false">IF(ISNUMBER(D55),DATE(YEAR(D55)+1,4,30),"")</f>
        <v/>
      </c>
      <c r="O55" s="35" t="str">
        <f aca="true">IF($A55="","",IF(N(H55)=0,IF(AND(ISNUMBER(N55),TODAY()&gt;N55),"超过收汇期限仍未销售","尚未销售"),IF(ROUND(M55,2)&gt;=ROUND(L55,2),"已售部分已收汇",IF(AND(ISNUMBER(N55),TODAY()&gt;N55),"超期未收汇","有回款待收汇"))))</f>
        <v/>
      </c>
      <c r="P55" s="34" t="str">
        <f aca="false">IF($A55="","",SUMIFS(④退税核算!$H$4:$H$303,④退税核算!$A$4:$A$303,$A55))</f>
        <v/>
      </c>
      <c r="Q55" s="34" t="str">
        <f aca="false">IF($A55="","",SUMIFS(④退税核算!$H$4:$H$303,④退税核算!$A$4:$A$303,$A55,④退税核算!$D$4:$D$303,"未售-海外仓预退（HWC-YT）"))</f>
        <v/>
      </c>
      <c r="R55" s="30" t="str">
        <f aca="false">IF($A55="","",IF(COUNTIFS(④退税核算!$A$4:$A$303,$A55,④退税核算!$D$4:$D$303,"未售-海外仓预退（HWC-YT）",④退税核算!$I$4:$I$303,"&gt;0")=0,"",_xlfn.MINIFS(④退税核算!$J$4:$J$303,④退税核算!$A$4:$A$303,$A55,④退税核算!$D$4:$D$303,"未售-海外仓预退（HWC-YT）")))</f>
        <v/>
      </c>
      <c r="S55" s="35" t="str">
        <f aca="false">IF($A55="","",IF(COUNTIFS(④退税核算!$A$4:$A$303,$A55,④退税核算!$D$4:$D$303,"未售-海外仓预退（HWC-YT）")=0,"不涉及",IF(COUNTIFS(④退税核算!$A$4:$A$303,$A55,④退税核算!$S$4:$S$303,"已逾期*")&gt;0,"已逾期",IF(COUNTIFS(④退税核算!$A$4:$A$303,$A55,④退税核算!$S$4:$S$303,"临近*")&gt;0,"临近截止",IF(COUNTIFS(④退税核算!$A$4:$A$303,$A55,④退税核算!$S$4:$S$303,"待*")&gt;0,"待核算","已核算")))))</f>
        <v/>
      </c>
      <c r="T55" s="35" t="str">
        <f aca="false">IF($A55="","",IFERROR(INDEX(⑥单证留存!$P$4:$P$203,MATCH(①出口报关!B52,⑥单证留存!$A$4:$A$203,0)),"未登记"))</f>
        <v/>
      </c>
      <c r="U55" s="36" t="str">
        <f aca="false">IF($A55="","",IF(IF(OR(O55="超期未收汇",O55="超过收汇期限仍未销售")," 收汇超期","")&amp;IF(S55="已逾期"," 核算逾期","")&amp;IF(S55="临近截止"," 核算临近截止","")&amp;IF(LEFT(T55,1)="缺"," 单证"&amp;T55,"")&amp;IF(T55="未登记"," 单证未登记","")&amp;IF(AND(ISNUMBER(G55),N(G55)&lt;&gt;0)," 入仓差异"&amp;G55,"")="","正常",SUBSTITUTE(TRIM(IF(OR(O55="超期未收汇",O55="超过收汇期限仍未销售")," 收汇超期","")&amp;IF(S55="已逾期"," 核算逾期","")&amp;IF(S55="临近截止"," 核算临近截止","")&amp;IF(LEFT(T55,1)="缺"," 单证"&amp;T55,"")&amp;IF(T55="未登记"," 单证未登记","")&amp;IF(AND(ISNUMBER(G55),N(G55)&lt;&gt;0)," 入仓差异"&amp;G55,""))," ","、")))</f>
        <v/>
      </c>
    </row>
    <row r="56" customFormat="false" ht="21.75" hidden="false" customHeight="true" outlineLevel="0" collapsed="false">
      <c r="A56" s="29" t="str">
        <f aca="false">IF(①出口报关!A53="","",①出口报关!A53)</f>
        <v/>
      </c>
      <c r="B56" s="29" t="str">
        <f aca="false">IF($A56="","",①出口报关!I53)</f>
        <v/>
      </c>
      <c r="C56" s="29" t="str">
        <f aca="false">IF($A56="","",①出口报关!J53)</f>
        <v/>
      </c>
      <c r="D56" s="30" t="str">
        <f aca="false">IF($A56="","",IF(①出口报关!D53="","",①出口报关!D53))</f>
        <v/>
      </c>
      <c r="E56" s="31" t="str">
        <f aca="false">IF($A56="","",N(①出口报关!L53))</f>
        <v/>
      </c>
      <c r="F56" s="31" t="str">
        <f aca="false">IF($A56="","",IF(①出口报关!Y53="","未签收",①出口报关!Y53))</f>
        <v/>
      </c>
      <c r="G56" s="32" t="str">
        <f aca="false">IF(OR($A56="",NOT(ISNUMBER(F56))),"",F56-E56)</f>
        <v/>
      </c>
      <c r="H56" s="31" t="str">
        <f aca="false">IF($A56="","",SUMIFS(②销售核销!$I$4:$I$603,②销售核销!$E$4:$E$603,$A56))</f>
        <v/>
      </c>
      <c r="I56" s="31" t="str">
        <f aca="false">IF($A56="","",SUMIFS(⑤库存异常!$E$4:$E$203,⑤库存异常!$B$4:$B$203,$A56))</f>
        <v/>
      </c>
      <c r="J56" s="31" t="str">
        <f aca="false">IF($A56="","",IF(ISNUMBER(F56),F56,E56)-H56-I56)</f>
        <v/>
      </c>
      <c r="K56" s="33" t="str">
        <f aca="false">IF(OR($A56="",N(E56)=0),"",H56/E56)</f>
        <v/>
      </c>
      <c r="L56" s="34" t="str">
        <f aca="false">IF($A56="","",SUMIFS(②销售核销!$L$4:$L$603,②销售核销!$E$4:$E$603,$A56))</f>
        <v/>
      </c>
      <c r="M56" s="34" t="str">
        <f aca="false">IF($A56="","",SUMIFS(②销售核销!$L$4:$L$603,②销售核销!$E$4:$E$603,$A56,②销售核销!$M$4:$M$603,"已收汇"))</f>
        <v/>
      </c>
      <c r="N56" s="30" t="str">
        <f aca="false">IF(ISNUMBER(D56),DATE(YEAR(D56)+1,4,30),"")</f>
        <v/>
      </c>
      <c r="O56" s="35" t="str">
        <f aca="true">IF($A56="","",IF(N(H56)=0,IF(AND(ISNUMBER(N56),TODAY()&gt;N56),"超过收汇期限仍未销售","尚未销售"),IF(ROUND(M56,2)&gt;=ROUND(L56,2),"已售部分已收汇",IF(AND(ISNUMBER(N56),TODAY()&gt;N56),"超期未收汇","有回款待收汇"))))</f>
        <v/>
      </c>
      <c r="P56" s="34" t="str">
        <f aca="false">IF($A56="","",SUMIFS(④退税核算!$H$4:$H$303,④退税核算!$A$4:$A$303,$A56))</f>
        <v/>
      </c>
      <c r="Q56" s="34" t="str">
        <f aca="false">IF($A56="","",SUMIFS(④退税核算!$H$4:$H$303,④退税核算!$A$4:$A$303,$A56,④退税核算!$D$4:$D$303,"未售-海外仓预退（HWC-YT）"))</f>
        <v/>
      </c>
      <c r="R56" s="30" t="str">
        <f aca="false">IF($A56="","",IF(COUNTIFS(④退税核算!$A$4:$A$303,$A56,④退税核算!$D$4:$D$303,"未售-海外仓预退（HWC-YT）",④退税核算!$I$4:$I$303,"&gt;0")=0,"",_xlfn.MINIFS(④退税核算!$J$4:$J$303,④退税核算!$A$4:$A$303,$A56,④退税核算!$D$4:$D$303,"未售-海外仓预退（HWC-YT）")))</f>
        <v/>
      </c>
      <c r="S56" s="35" t="str">
        <f aca="false">IF($A56="","",IF(COUNTIFS(④退税核算!$A$4:$A$303,$A56,④退税核算!$D$4:$D$303,"未售-海外仓预退（HWC-YT）")=0,"不涉及",IF(COUNTIFS(④退税核算!$A$4:$A$303,$A56,④退税核算!$S$4:$S$303,"已逾期*")&gt;0,"已逾期",IF(COUNTIFS(④退税核算!$A$4:$A$303,$A56,④退税核算!$S$4:$S$303,"临近*")&gt;0,"临近截止",IF(COUNTIFS(④退税核算!$A$4:$A$303,$A56,④退税核算!$S$4:$S$303,"待*")&gt;0,"待核算","已核算")))))</f>
        <v/>
      </c>
      <c r="T56" s="35" t="str">
        <f aca="false">IF($A56="","",IFERROR(INDEX(⑥单证留存!$P$4:$P$203,MATCH(①出口报关!B53,⑥单证留存!$A$4:$A$203,0)),"未登记"))</f>
        <v/>
      </c>
      <c r="U56" s="36" t="str">
        <f aca="false">IF($A56="","",IF(IF(OR(O56="超期未收汇",O56="超过收汇期限仍未销售")," 收汇超期","")&amp;IF(S56="已逾期"," 核算逾期","")&amp;IF(S56="临近截止"," 核算临近截止","")&amp;IF(LEFT(T56,1)="缺"," 单证"&amp;T56,"")&amp;IF(T56="未登记"," 单证未登记","")&amp;IF(AND(ISNUMBER(G56),N(G56)&lt;&gt;0)," 入仓差异"&amp;G56,"")="","正常",SUBSTITUTE(TRIM(IF(OR(O56="超期未收汇",O56="超过收汇期限仍未销售")," 收汇超期","")&amp;IF(S56="已逾期"," 核算逾期","")&amp;IF(S56="临近截止"," 核算临近截止","")&amp;IF(LEFT(T56,1)="缺"," 单证"&amp;T56,"")&amp;IF(T56="未登记"," 单证未登记","")&amp;IF(AND(ISNUMBER(G56),N(G56)&lt;&gt;0)," 入仓差异"&amp;G56,""))," ","、")))</f>
        <v/>
      </c>
    </row>
    <row r="57" customFormat="false" ht="21.75" hidden="false" customHeight="true" outlineLevel="0" collapsed="false">
      <c r="A57" s="29" t="str">
        <f aca="false">IF(①出口报关!A54="","",①出口报关!A54)</f>
        <v/>
      </c>
      <c r="B57" s="29" t="str">
        <f aca="false">IF($A57="","",①出口报关!I54)</f>
        <v/>
      </c>
      <c r="C57" s="29" t="str">
        <f aca="false">IF($A57="","",①出口报关!J54)</f>
        <v/>
      </c>
      <c r="D57" s="30" t="str">
        <f aca="false">IF($A57="","",IF(①出口报关!D54="","",①出口报关!D54))</f>
        <v/>
      </c>
      <c r="E57" s="31" t="str">
        <f aca="false">IF($A57="","",N(①出口报关!L54))</f>
        <v/>
      </c>
      <c r="F57" s="31" t="str">
        <f aca="false">IF($A57="","",IF(①出口报关!Y54="","未签收",①出口报关!Y54))</f>
        <v/>
      </c>
      <c r="G57" s="32" t="str">
        <f aca="false">IF(OR($A57="",NOT(ISNUMBER(F57))),"",F57-E57)</f>
        <v/>
      </c>
      <c r="H57" s="31" t="str">
        <f aca="false">IF($A57="","",SUMIFS(②销售核销!$I$4:$I$603,②销售核销!$E$4:$E$603,$A57))</f>
        <v/>
      </c>
      <c r="I57" s="31" t="str">
        <f aca="false">IF($A57="","",SUMIFS(⑤库存异常!$E$4:$E$203,⑤库存异常!$B$4:$B$203,$A57))</f>
        <v/>
      </c>
      <c r="J57" s="31" t="str">
        <f aca="false">IF($A57="","",IF(ISNUMBER(F57),F57,E57)-H57-I57)</f>
        <v/>
      </c>
      <c r="K57" s="33" t="str">
        <f aca="false">IF(OR($A57="",N(E57)=0),"",H57/E57)</f>
        <v/>
      </c>
      <c r="L57" s="34" t="str">
        <f aca="false">IF($A57="","",SUMIFS(②销售核销!$L$4:$L$603,②销售核销!$E$4:$E$603,$A57))</f>
        <v/>
      </c>
      <c r="M57" s="34" t="str">
        <f aca="false">IF($A57="","",SUMIFS(②销售核销!$L$4:$L$603,②销售核销!$E$4:$E$603,$A57,②销售核销!$M$4:$M$603,"已收汇"))</f>
        <v/>
      </c>
      <c r="N57" s="30" t="str">
        <f aca="false">IF(ISNUMBER(D57),DATE(YEAR(D57)+1,4,30),"")</f>
        <v/>
      </c>
      <c r="O57" s="35" t="str">
        <f aca="true">IF($A57="","",IF(N(H57)=0,IF(AND(ISNUMBER(N57),TODAY()&gt;N57),"超过收汇期限仍未销售","尚未销售"),IF(ROUND(M57,2)&gt;=ROUND(L57,2),"已售部分已收汇",IF(AND(ISNUMBER(N57),TODAY()&gt;N57),"超期未收汇","有回款待收汇"))))</f>
        <v/>
      </c>
      <c r="P57" s="34" t="str">
        <f aca="false">IF($A57="","",SUMIFS(④退税核算!$H$4:$H$303,④退税核算!$A$4:$A$303,$A57))</f>
        <v/>
      </c>
      <c r="Q57" s="34" t="str">
        <f aca="false">IF($A57="","",SUMIFS(④退税核算!$H$4:$H$303,④退税核算!$A$4:$A$303,$A57,④退税核算!$D$4:$D$303,"未售-海外仓预退（HWC-YT）"))</f>
        <v/>
      </c>
      <c r="R57" s="30" t="str">
        <f aca="false">IF($A57="","",IF(COUNTIFS(④退税核算!$A$4:$A$303,$A57,④退税核算!$D$4:$D$303,"未售-海外仓预退（HWC-YT）",④退税核算!$I$4:$I$303,"&gt;0")=0,"",_xlfn.MINIFS(④退税核算!$J$4:$J$303,④退税核算!$A$4:$A$303,$A57,④退税核算!$D$4:$D$303,"未售-海外仓预退（HWC-YT）")))</f>
        <v/>
      </c>
      <c r="S57" s="35" t="str">
        <f aca="false">IF($A57="","",IF(COUNTIFS(④退税核算!$A$4:$A$303,$A57,④退税核算!$D$4:$D$303,"未售-海外仓预退（HWC-YT）")=0,"不涉及",IF(COUNTIFS(④退税核算!$A$4:$A$303,$A57,④退税核算!$S$4:$S$303,"已逾期*")&gt;0,"已逾期",IF(COUNTIFS(④退税核算!$A$4:$A$303,$A57,④退税核算!$S$4:$S$303,"临近*")&gt;0,"临近截止",IF(COUNTIFS(④退税核算!$A$4:$A$303,$A57,④退税核算!$S$4:$S$303,"待*")&gt;0,"待核算","已核算")))))</f>
        <v/>
      </c>
      <c r="T57" s="35" t="str">
        <f aca="false">IF($A57="","",IFERROR(INDEX(⑥单证留存!$P$4:$P$203,MATCH(①出口报关!B54,⑥单证留存!$A$4:$A$203,0)),"未登记"))</f>
        <v/>
      </c>
      <c r="U57" s="36" t="str">
        <f aca="false">IF($A57="","",IF(IF(OR(O57="超期未收汇",O57="超过收汇期限仍未销售")," 收汇超期","")&amp;IF(S57="已逾期"," 核算逾期","")&amp;IF(S57="临近截止"," 核算临近截止","")&amp;IF(LEFT(T57,1)="缺"," 单证"&amp;T57,"")&amp;IF(T57="未登记"," 单证未登记","")&amp;IF(AND(ISNUMBER(G57),N(G57)&lt;&gt;0)," 入仓差异"&amp;G57,"")="","正常",SUBSTITUTE(TRIM(IF(OR(O57="超期未收汇",O57="超过收汇期限仍未销售")," 收汇超期","")&amp;IF(S57="已逾期"," 核算逾期","")&amp;IF(S57="临近截止"," 核算临近截止","")&amp;IF(LEFT(T57,1)="缺"," 单证"&amp;T57,"")&amp;IF(T57="未登记"," 单证未登记","")&amp;IF(AND(ISNUMBER(G57),N(G57)&lt;&gt;0)," 入仓差异"&amp;G57,""))," ","、")))</f>
        <v/>
      </c>
    </row>
    <row r="58" customFormat="false" ht="21.75" hidden="false" customHeight="true" outlineLevel="0" collapsed="false">
      <c r="A58" s="29" t="str">
        <f aca="false">IF(①出口报关!A55="","",①出口报关!A55)</f>
        <v/>
      </c>
      <c r="B58" s="29" t="str">
        <f aca="false">IF($A58="","",①出口报关!I55)</f>
        <v/>
      </c>
      <c r="C58" s="29" t="str">
        <f aca="false">IF($A58="","",①出口报关!J55)</f>
        <v/>
      </c>
      <c r="D58" s="30" t="str">
        <f aca="false">IF($A58="","",IF(①出口报关!D55="","",①出口报关!D55))</f>
        <v/>
      </c>
      <c r="E58" s="31" t="str">
        <f aca="false">IF($A58="","",N(①出口报关!L55))</f>
        <v/>
      </c>
      <c r="F58" s="31" t="str">
        <f aca="false">IF($A58="","",IF(①出口报关!Y55="","未签收",①出口报关!Y55))</f>
        <v/>
      </c>
      <c r="G58" s="32" t="str">
        <f aca="false">IF(OR($A58="",NOT(ISNUMBER(F58))),"",F58-E58)</f>
        <v/>
      </c>
      <c r="H58" s="31" t="str">
        <f aca="false">IF($A58="","",SUMIFS(②销售核销!$I$4:$I$603,②销售核销!$E$4:$E$603,$A58))</f>
        <v/>
      </c>
      <c r="I58" s="31" t="str">
        <f aca="false">IF($A58="","",SUMIFS(⑤库存异常!$E$4:$E$203,⑤库存异常!$B$4:$B$203,$A58))</f>
        <v/>
      </c>
      <c r="J58" s="31" t="str">
        <f aca="false">IF($A58="","",IF(ISNUMBER(F58),F58,E58)-H58-I58)</f>
        <v/>
      </c>
      <c r="K58" s="33" t="str">
        <f aca="false">IF(OR($A58="",N(E58)=0),"",H58/E58)</f>
        <v/>
      </c>
      <c r="L58" s="34" t="str">
        <f aca="false">IF($A58="","",SUMIFS(②销售核销!$L$4:$L$603,②销售核销!$E$4:$E$603,$A58))</f>
        <v/>
      </c>
      <c r="M58" s="34" t="str">
        <f aca="false">IF($A58="","",SUMIFS(②销售核销!$L$4:$L$603,②销售核销!$E$4:$E$603,$A58,②销售核销!$M$4:$M$603,"已收汇"))</f>
        <v/>
      </c>
      <c r="N58" s="30" t="str">
        <f aca="false">IF(ISNUMBER(D58),DATE(YEAR(D58)+1,4,30),"")</f>
        <v/>
      </c>
      <c r="O58" s="35" t="str">
        <f aca="true">IF($A58="","",IF(N(H58)=0,IF(AND(ISNUMBER(N58),TODAY()&gt;N58),"超过收汇期限仍未销售","尚未销售"),IF(ROUND(M58,2)&gt;=ROUND(L58,2),"已售部分已收汇",IF(AND(ISNUMBER(N58),TODAY()&gt;N58),"超期未收汇","有回款待收汇"))))</f>
        <v/>
      </c>
      <c r="P58" s="34" t="str">
        <f aca="false">IF($A58="","",SUMIFS(④退税核算!$H$4:$H$303,④退税核算!$A$4:$A$303,$A58))</f>
        <v/>
      </c>
      <c r="Q58" s="34" t="str">
        <f aca="false">IF($A58="","",SUMIFS(④退税核算!$H$4:$H$303,④退税核算!$A$4:$A$303,$A58,④退税核算!$D$4:$D$303,"未售-海外仓预退（HWC-YT）"))</f>
        <v/>
      </c>
      <c r="R58" s="30" t="str">
        <f aca="false">IF($A58="","",IF(COUNTIFS(④退税核算!$A$4:$A$303,$A58,④退税核算!$D$4:$D$303,"未售-海外仓预退（HWC-YT）",④退税核算!$I$4:$I$303,"&gt;0")=0,"",_xlfn.MINIFS(④退税核算!$J$4:$J$303,④退税核算!$A$4:$A$303,$A58,④退税核算!$D$4:$D$303,"未售-海外仓预退（HWC-YT）")))</f>
        <v/>
      </c>
      <c r="S58" s="35" t="str">
        <f aca="false">IF($A58="","",IF(COUNTIFS(④退税核算!$A$4:$A$303,$A58,④退税核算!$D$4:$D$303,"未售-海外仓预退（HWC-YT）")=0,"不涉及",IF(COUNTIFS(④退税核算!$A$4:$A$303,$A58,④退税核算!$S$4:$S$303,"已逾期*")&gt;0,"已逾期",IF(COUNTIFS(④退税核算!$A$4:$A$303,$A58,④退税核算!$S$4:$S$303,"临近*")&gt;0,"临近截止",IF(COUNTIFS(④退税核算!$A$4:$A$303,$A58,④退税核算!$S$4:$S$303,"待*")&gt;0,"待核算","已核算")))))</f>
        <v/>
      </c>
      <c r="T58" s="35" t="str">
        <f aca="false">IF($A58="","",IFERROR(INDEX(⑥单证留存!$P$4:$P$203,MATCH(①出口报关!B55,⑥单证留存!$A$4:$A$203,0)),"未登记"))</f>
        <v/>
      </c>
      <c r="U58" s="36" t="str">
        <f aca="false">IF($A58="","",IF(IF(OR(O58="超期未收汇",O58="超过收汇期限仍未销售")," 收汇超期","")&amp;IF(S58="已逾期"," 核算逾期","")&amp;IF(S58="临近截止"," 核算临近截止","")&amp;IF(LEFT(T58,1)="缺"," 单证"&amp;T58,"")&amp;IF(T58="未登记"," 单证未登记","")&amp;IF(AND(ISNUMBER(G58),N(G58)&lt;&gt;0)," 入仓差异"&amp;G58,"")="","正常",SUBSTITUTE(TRIM(IF(OR(O58="超期未收汇",O58="超过收汇期限仍未销售")," 收汇超期","")&amp;IF(S58="已逾期"," 核算逾期","")&amp;IF(S58="临近截止"," 核算临近截止","")&amp;IF(LEFT(T58,1)="缺"," 单证"&amp;T58,"")&amp;IF(T58="未登记"," 单证未登记","")&amp;IF(AND(ISNUMBER(G58),N(G58)&lt;&gt;0)," 入仓差异"&amp;G58,""))," ","、")))</f>
        <v/>
      </c>
    </row>
    <row r="59" customFormat="false" ht="21.75" hidden="false" customHeight="true" outlineLevel="0" collapsed="false">
      <c r="A59" s="29" t="str">
        <f aca="false">IF(①出口报关!A56="","",①出口报关!A56)</f>
        <v/>
      </c>
      <c r="B59" s="29" t="str">
        <f aca="false">IF($A59="","",①出口报关!I56)</f>
        <v/>
      </c>
      <c r="C59" s="29" t="str">
        <f aca="false">IF($A59="","",①出口报关!J56)</f>
        <v/>
      </c>
      <c r="D59" s="30" t="str">
        <f aca="false">IF($A59="","",IF(①出口报关!D56="","",①出口报关!D56))</f>
        <v/>
      </c>
      <c r="E59" s="31" t="str">
        <f aca="false">IF($A59="","",N(①出口报关!L56))</f>
        <v/>
      </c>
      <c r="F59" s="31" t="str">
        <f aca="false">IF($A59="","",IF(①出口报关!Y56="","未签收",①出口报关!Y56))</f>
        <v/>
      </c>
      <c r="G59" s="32" t="str">
        <f aca="false">IF(OR($A59="",NOT(ISNUMBER(F59))),"",F59-E59)</f>
        <v/>
      </c>
      <c r="H59" s="31" t="str">
        <f aca="false">IF($A59="","",SUMIFS(②销售核销!$I$4:$I$603,②销售核销!$E$4:$E$603,$A59))</f>
        <v/>
      </c>
      <c r="I59" s="31" t="str">
        <f aca="false">IF($A59="","",SUMIFS(⑤库存异常!$E$4:$E$203,⑤库存异常!$B$4:$B$203,$A59))</f>
        <v/>
      </c>
      <c r="J59" s="31" t="str">
        <f aca="false">IF($A59="","",IF(ISNUMBER(F59),F59,E59)-H59-I59)</f>
        <v/>
      </c>
      <c r="K59" s="33" t="str">
        <f aca="false">IF(OR($A59="",N(E59)=0),"",H59/E59)</f>
        <v/>
      </c>
      <c r="L59" s="34" t="str">
        <f aca="false">IF($A59="","",SUMIFS(②销售核销!$L$4:$L$603,②销售核销!$E$4:$E$603,$A59))</f>
        <v/>
      </c>
      <c r="M59" s="34" t="str">
        <f aca="false">IF($A59="","",SUMIFS(②销售核销!$L$4:$L$603,②销售核销!$E$4:$E$603,$A59,②销售核销!$M$4:$M$603,"已收汇"))</f>
        <v/>
      </c>
      <c r="N59" s="30" t="str">
        <f aca="false">IF(ISNUMBER(D59),DATE(YEAR(D59)+1,4,30),"")</f>
        <v/>
      </c>
      <c r="O59" s="35" t="str">
        <f aca="true">IF($A59="","",IF(N(H59)=0,IF(AND(ISNUMBER(N59),TODAY()&gt;N59),"超过收汇期限仍未销售","尚未销售"),IF(ROUND(M59,2)&gt;=ROUND(L59,2),"已售部分已收汇",IF(AND(ISNUMBER(N59),TODAY()&gt;N59),"超期未收汇","有回款待收汇"))))</f>
        <v/>
      </c>
      <c r="P59" s="34" t="str">
        <f aca="false">IF($A59="","",SUMIFS(④退税核算!$H$4:$H$303,④退税核算!$A$4:$A$303,$A59))</f>
        <v/>
      </c>
      <c r="Q59" s="34" t="str">
        <f aca="false">IF($A59="","",SUMIFS(④退税核算!$H$4:$H$303,④退税核算!$A$4:$A$303,$A59,④退税核算!$D$4:$D$303,"未售-海外仓预退（HWC-YT）"))</f>
        <v/>
      </c>
      <c r="R59" s="30" t="str">
        <f aca="false">IF($A59="","",IF(COUNTIFS(④退税核算!$A$4:$A$303,$A59,④退税核算!$D$4:$D$303,"未售-海外仓预退（HWC-YT）",④退税核算!$I$4:$I$303,"&gt;0")=0,"",_xlfn.MINIFS(④退税核算!$J$4:$J$303,④退税核算!$A$4:$A$303,$A59,④退税核算!$D$4:$D$303,"未售-海外仓预退（HWC-YT）")))</f>
        <v/>
      </c>
      <c r="S59" s="35" t="str">
        <f aca="false">IF($A59="","",IF(COUNTIFS(④退税核算!$A$4:$A$303,$A59,④退税核算!$D$4:$D$303,"未售-海外仓预退（HWC-YT）")=0,"不涉及",IF(COUNTIFS(④退税核算!$A$4:$A$303,$A59,④退税核算!$S$4:$S$303,"已逾期*")&gt;0,"已逾期",IF(COUNTIFS(④退税核算!$A$4:$A$303,$A59,④退税核算!$S$4:$S$303,"临近*")&gt;0,"临近截止",IF(COUNTIFS(④退税核算!$A$4:$A$303,$A59,④退税核算!$S$4:$S$303,"待*")&gt;0,"待核算","已核算")))))</f>
        <v/>
      </c>
      <c r="T59" s="35" t="str">
        <f aca="false">IF($A59="","",IFERROR(INDEX(⑥单证留存!$P$4:$P$203,MATCH(①出口报关!B56,⑥单证留存!$A$4:$A$203,0)),"未登记"))</f>
        <v/>
      </c>
      <c r="U59" s="36" t="str">
        <f aca="false">IF($A59="","",IF(IF(OR(O59="超期未收汇",O59="超过收汇期限仍未销售")," 收汇超期","")&amp;IF(S59="已逾期"," 核算逾期","")&amp;IF(S59="临近截止"," 核算临近截止","")&amp;IF(LEFT(T59,1)="缺"," 单证"&amp;T59,"")&amp;IF(T59="未登记"," 单证未登记","")&amp;IF(AND(ISNUMBER(G59),N(G59)&lt;&gt;0)," 入仓差异"&amp;G59,"")="","正常",SUBSTITUTE(TRIM(IF(OR(O59="超期未收汇",O59="超过收汇期限仍未销售")," 收汇超期","")&amp;IF(S59="已逾期"," 核算逾期","")&amp;IF(S59="临近截止"," 核算临近截止","")&amp;IF(LEFT(T59,1)="缺"," 单证"&amp;T59,"")&amp;IF(T59="未登记"," 单证未登记","")&amp;IF(AND(ISNUMBER(G59),N(G59)&lt;&gt;0)," 入仓差异"&amp;G59,""))," ","、")))</f>
        <v/>
      </c>
    </row>
    <row r="60" customFormat="false" ht="21.75" hidden="false" customHeight="true" outlineLevel="0" collapsed="false">
      <c r="A60" s="29" t="str">
        <f aca="false">IF(①出口报关!A57="","",①出口报关!A57)</f>
        <v/>
      </c>
      <c r="B60" s="29" t="str">
        <f aca="false">IF($A60="","",①出口报关!I57)</f>
        <v/>
      </c>
      <c r="C60" s="29" t="str">
        <f aca="false">IF($A60="","",①出口报关!J57)</f>
        <v/>
      </c>
      <c r="D60" s="30" t="str">
        <f aca="false">IF($A60="","",IF(①出口报关!D57="","",①出口报关!D57))</f>
        <v/>
      </c>
      <c r="E60" s="31" t="str">
        <f aca="false">IF($A60="","",N(①出口报关!L57))</f>
        <v/>
      </c>
      <c r="F60" s="31" t="str">
        <f aca="false">IF($A60="","",IF(①出口报关!Y57="","未签收",①出口报关!Y57))</f>
        <v/>
      </c>
      <c r="G60" s="32" t="str">
        <f aca="false">IF(OR($A60="",NOT(ISNUMBER(F60))),"",F60-E60)</f>
        <v/>
      </c>
      <c r="H60" s="31" t="str">
        <f aca="false">IF($A60="","",SUMIFS(②销售核销!$I$4:$I$603,②销售核销!$E$4:$E$603,$A60))</f>
        <v/>
      </c>
      <c r="I60" s="31" t="str">
        <f aca="false">IF($A60="","",SUMIFS(⑤库存异常!$E$4:$E$203,⑤库存异常!$B$4:$B$203,$A60))</f>
        <v/>
      </c>
      <c r="J60" s="31" t="str">
        <f aca="false">IF($A60="","",IF(ISNUMBER(F60),F60,E60)-H60-I60)</f>
        <v/>
      </c>
      <c r="K60" s="33" t="str">
        <f aca="false">IF(OR($A60="",N(E60)=0),"",H60/E60)</f>
        <v/>
      </c>
      <c r="L60" s="34" t="str">
        <f aca="false">IF($A60="","",SUMIFS(②销售核销!$L$4:$L$603,②销售核销!$E$4:$E$603,$A60))</f>
        <v/>
      </c>
      <c r="M60" s="34" t="str">
        <f aca="false">IF($A60="","",SUMIFS(②销售核销!$L$4:$L$603,②销售核销!$E$4:$E$603,$A60,②销售核销!$M$4:$M$603,"已收汇"))</f>
        <v/>
      </c>
      <c r="N60" s="30" t="str">
        <f aca="false">IF(ISNUMBER(D60),DATE(YEAR(D60)+1,4,30),"")</f>
        <v/>
      </c>
      <c r="O60" s="35" t="str">
        <f aca="true">IF($A60="","",IF(N(H60)=0,IF(AND(ISNUMBER(N60),TODAY()&gt;N60),"超过收汇期限仍未销售","尚未销售"),IF(ROUND(M60,2)&gt;=ROUND(L60,2),"已售部分已收汇",IF(AND(ISNUMBER(N60),TODAY()&gt;N60),"超期未收汇","有回款待收汇"))))</f>
        <v/>
      </c>
      <c r="P60" s="34" t="str">
        <f aca="false">IF($A60="","",SUMIFS(④退税核算!$H$4:$H$303,④退税核算!$A$4:$A$303,$A60))</f>
        <v/>
      </c>
      <c r="Q60" s="34" t="str">
        <f aca="false">IF($A60="","",SUMIFS(④退税核算!$H$4:$H$303,④退税核算!$A$4:$A$303,$A60,④退税核算!$D$4:$D$303,"未售-海外仓预退（HWC-YT）"))</f>
        <v/>
      </c>
      <c r="R60" s="30" t="str">
        <f aca="false">IF($A60="","",IF(COUNTIFS(④退税核算!$A$4:$A$303,$A60,④退税核算!$D$4:$D$303,"未售-海外仓预退（HWC-YT）",④退税核算!$I$4:$I$303,"&gt;0")=0,"",_xlfn.MINIFS(④退税核算!$J$4:$J$303,④退税核算!$A$4:$A$303,$A60,④退税核算!$D$4:$D$303,"未售-海外仓预退（HWC-YT）")))</f>
        <v/>
      </c>
      <c r="S60" s="35" t="str">
        <f aca="false">IF($A60="","",IF(COUNTIFS(④退税核算!$A$4:$A$303,$A60,④退税核算!$D$4:$D$303,"未售-海外仓预退（HWC-YT）")=0,"不涉及",IF(COUNTIFS(④退税核算!$A$4:$A$303,$A60,④退税核算!$S$4:$S$303,"已逾期*")&gt;0,"已逾期",IF(COUNTIFS(④退税核算!$A$4:$A$303,$A60,④退税核算!$S$4:$S$303,"临近*")&gt;0,"临近截止",IF(COUNTIFS(④退税核算!$A$4:$A$303,$A60,④退税核算!$S$4:$S$303,"待*")&gt;0,"待核算","已核算")))))</f>
        <v/>
      </c>
      <c r="T60" s="35" t="str">
        <f aca="false">IF($A60="","",IFERROR(INDEX(⑥单证留存!$P$4:$P$203,MATCH(①出口报关!B57,⑥单证留存!$A$4:$A$203,0)),"未登记"))</f>
        <v/>
      </c>
      <c r="U60" s="36" t="str">
        <f aca="false">IF($A60="","",IF(IF(OR(O60="超期未收汇",O60="超过收汇期限仍未销售")," 收汇超期","")&amp;IF(S60="已逾期"," 核算逾期","")&amp;IF(S60="临近截止"," 核算临近截止","")&amp;IF(LEFT(T60,1)="缺"," 单证"&amp;T60,"")&amp;IF(T60="未登记"," 单证未登记","")&amp;IF(AND(ISNUMBER(G60),N(G60)&lt;&gt;0)," 入仓差异"&amp;G60,"")="","正常",SUBSTITUTE(TRIM(IF(OR(O60="超期未收汇",O60="超过收汇期限仍未销售")," 收汇超期","")&amp;IF(S60="已逾期"," 核算逾期","")&amp;IF(S60="临近截止"," 核算临近截止","")&amp;IF(LEFT(T60,1)="缺"," 单证"&amp;T60,"")&amp;IF(T60="未登记"," 单证未登记","")&amp;IF(AND(ISNUMBER(G60),N(G60)&lt;&gt;0)," 入仓差异"&amp;G60,""))," ","、")))</f>
        <v/>
      </c>
    </row>
    <row r="61" customFormat="false" ht="21.75" hidden="false" customHeight="true" outlineLevel="0" collapsed="false">
      <c r="A61" s="29" t="str">
        <f aca="false">IF(①出口报关!A58="","",①出口报关!A58)</f>
        <v/>
      </c>
      <c r="B61" s="29" t="str">
        <f aca="false">IF($A61="","",①出口报关!I58)</f>
        <v/>
      </c>
      <c r="C61" s="29" t="str">
        <f aca="false">IF($A61="","",①出口报关!J58)</f>
        <v/>
      </c>
      <c r="D61" s="30" t="str">
        <f aca="false">IF($A61="","",IF(①出口报关!D58="","",①出口报关!D58))</f>
        <v/>
      </c>
      <c r="E61" s="31" t="str">
        <f aca="false">IF($A61="","",N(①出口报关!L58))</f>
        <v/>
      </c>
      <c r="F61" s="31" t="str">
        <f aca="false">IF($A61="","",IF(①出口报关!Y58="","未签收",①出口报关!Y58))</f>
        <v/>
      </c>
      <c r="G61" s="32" t="str">
        <f aca="false">IF(OR($A61="",NOT(ISNUMBER(F61))),"",F61-E61)</f>
        <v/>
      </c>
      <c r="H61" s="31" t="str">
        <f aca="false">IF($A61="","",SUMIFS(②销售核销!$I$4:$I$603,②销售核销!$E$4:$E$603,$A61))</f>
        <v/>
      </c>
      <c r="I61" s="31" t="str">
        <f aca="false">IF($A61="","",SUMIFS(⑤库存异常!$E$4:$E$203,⑤库存异常!$B$4:$B$203,$A61))</f>
        <v/>
      </c>
      <c r="J61" s="31" t="str">
        <f aca="false">IF($A61="","",IF(ISNUMBER(F61),F61,E61)-H61-I61)</f>
        <v/>
      </c>
      <c r="K61" s="33" t="str">
        <f aca="false">IF(OR($A61="",N(E61)=0),"",H61/E61)</f>
        <v/>
      </c>
      <c r="L61" s="34" t="str">
        <f aca="false">IF($A61="","",SUMIFS(②销售核销!$L$4:$L$603,②销售核销!$E$4:$E$603,$A61))</f>
        <v/>
      </c>
      <c r="M61" s="34" t="str">
        <f aca="false">IF($A61="","",SUMIFS(②销售核销!$L$4:$L$603,②销售核销!$E$4:$E$603,$A61,②销售核销!$M$4:$M$603,"已收汇"))</f>
        <v/>
      </c>
      <c r="N61" s="30" t="str">
        <f aca="false">IF(ISNUMBER(D61),DATE(YEAR(D61)+1,4,30),"")</f>
        <v/>
      </c>
      <c r="O61" s="35" t="str">
        <f aca="true">IF($A61="","",IF(N(H61)=0,IF(AND(ISNUMBER(N61),TODAY()&gt;N61),"超过收汇期限仍未销售","尚未销售"),IF(ROUND(M61,2)&gt;=ROUND(L61,2),"已售部分已收汇",IF(AND(ISNUMBER(N61),TODAY()&gt;N61),"超期未收汇","有回款待收汇"))))</f>
        <v/>
      </c>
      <c r="P61" s="34" t="str">
        <f aca="false">IF($A61="","",SUMIFS(④退税核算!$H$4:$H$303,④退税核算!$A$4:$A$303,$A61))</f>
        <v/>
      </c>
      <c r="Q61" s="34" t="str">
        <f aca="false">IF($A61="","",SUMIFS(④退税核算!$H$4:$H$303,④退税核算!$A$4:$A$303,$A61,④退税核算!$D$4:$D$303,"未售-海外仓预退（HWC-YT）"))</f>
        <v/>
      </c>
      <c r="R61" s="30" t="str">
        <f aca="false">IF($A61="","",IF(COUNTIFS(④退税核算!$A$4:$A$303,$A61,④退税核算!$D$4:$D$303,"未售-海外仓预退（HWC-YT）",④退税核算!$I$4:$I$303,"&gt;0")=0,"",_xlfn.MINIFS(④退税核算!$J$4:$J$303,④退税核算!$A$4:$A$303,$A61,④退税核算!$D$4:$D$303,"未售-海外仓预退（HWC-YT）")))</f>
        <v/>
      </c>
      <c r="S61" s="35" t="str">
        <f aca="false">IF($A61="","",IF(COUNTIFS(④退税核算!$A$4:$A$303,$A61,④退税核算!$D$4:$D$303,"未售-海外仓预退（HWC-YT）")=0,"不涉及",IF(COUNTIFS(④退税核算!$A$4:$A$303,$A61,④退税核算!$S$4:$S$303,"已逾期*")&gt;0,"已逾期",IF(COUNTIFS(④退税核算!$A$4:$A$303,$A61,④退税核算!$S$4:$S$303,"临近*")&gt;0,"临近截止",IF(COUNTIFS(④退税核算!$A$4:$A$303,$A61,④退税核算!$S$4:$S$303,"待*")&gt;0,"待核算","已核算")))))</f>
        <v/>
      </c>
      <c r="T61" s="35" t="str">
        <f aca="false">IF($A61="","",IFERROR(INDEX(⑥单证留存!$P$4:$P$203,MATCH(①出口报关!B58,⑥单证留存!$A$4:$A$203,0)),"未登记"))</f>
        <v/>
      </c>
      <c r="U61" s="36" t="str">
        <f aca="false">IF($A61="","",IF(IF(OR(O61="超期未收汇",O61="超过收汇期限仍未销售")," 收汇超期","")&amp;IF(S61="已逾期"," 核算逾期","")&amp;IF(S61="临近截止"," 核算临近截止","")&amp;IF(LEFT(T61,1)="缺"," 单证"&amp;T61,"")&amp;IF(T61="未登记"," 单证未登记","")&amp;IF(AND(ISNUMBER(G61),N(G61)&lt;&gt;0)," 入仓差异"&amp;G61,"")="","正常",SUBSTITUTE(TRIM(IF(OR(O61="超期未收汇",O61="超过收汇期限仍未销售")," 收汇超期","")&amp;IF(S61="已逾期"," 核算逾期","")&amp;IF(S61="临近截止"," 核算临近截止","")&amp;IF(LEFT(T61,1)="缺"," 单证"&amp;T61,"")&amp;IF(T61="未登记"," 单证未登记","")&amp;IF(AND(ISNUMBER(G61),N(G61)&lt;&gt;0)," 入仓差异"&amp;G61,""))," ","、")))</f>
        <v/>
      </c>
    </row>
    <row r="62" customFormat="false" ht="21.75" hidden="false" customHeight="true" outlineLevel="0" collapsed="false">
      <c r="A62" s="29" t="str">
        <f aca="false">IF(①出口报关!A59="","",①出口报关!A59)</f>
        <v/>
      </c>
      <c r="B62" s="29" t="str">
        <f aca="false">IF($A62="","",①出口报关!I59)</f>
        <v/>
      </c>
      <c r="C62" s="29" t="str">
        <f aca="false">IF($A62="","",①出口报关!J59)</f>
        <v/>
      </c>
      <c r="D62" s="30" t="str">
        <f aca="false">IF($A62="","",IF(①出口报关!D59="","",①出口报关!D59))</f>
        <v/>
      </c>
      <c r="E62" s="31" t="str">
        <f aca="false">IF($A62="","",N(①出口报关!L59))</f>
        <v/>
      </c>
      <c r="F62" s="31" t="str">
        <f aca="false">IF($A62="","",IF(①出口报关!Y59="","未签收",①出口报关!Y59))</f>
        <v/>
      </c>
      <c r="G62" s="32" t="str">
        <f aca="false">IF(OR($A62="",NOT(ISNUMBER(F62))),"",F62-E62)</f>
        <v/>
      </c>
      <c r="H62" s="31" t="str">
        <f aca="false">IF($A62="","",SUMIFS(②销售核销!$I$4:$I$603,②销售核销!$E$4:$E$603,$A62))</f>
        <v/>
      </c>
      <c r="I62" s="31" t="str">
        <f aca="false">IF($A62="","",SUMIFS(⑤库存异常!$E$4:$E$203,⑤库存异常!$B$4:$B$203,$A62))</f>
        <v/>
      </c>
      <c r="J62" s="31" t="str">
        <f aca="false">IF($A62="","",IF(ISNUMBER(F62),F62,E62)-H62-I62)</f>
        <v/>
      </c>
      <c r="K62" s="33" t="str">
        <f aca="false">IF(OR($A62="",N(E62)=0),"",H62/E62)</f>
        <v/>
      </c>
      <c r="L62" s="34" t="str">
        <f aca="false">IF($A62="","",SUMIFS(②销售核销!$L$4:$L$603,②销售核销!$E$4:$E$603,$A62))</f>
        <v/>
      </c>
      <c r="M62" s="34" t="str">
        <f aca="false">IF($A62="","",SUMIFS(②销售核销!$L$4:$L$603,②销售核销!$E$4:$E$603,$A62,②销售核销!$M$4:$M$603,"已收汇"))</f>
        <v/>
      </c>
      <c r="N62" s="30" t="str">
        <f aca="false">IF(ISNUMBER(D62),DATE(YEAR(D62)+1,4,30),"")</f>
        <v/>
      </c>
      <c r="O62" s="35" t="str">
        <f aca="true">IF($A62="","",IF(N(H62)=0,IF(AND(ISNUMBER(N62),TODAY()&gt;N62),"超过收汇期限仍未销售","尚未销售"),IF(ROUND(M62,2)&gt;=ROUND(L62,2),"已售部分已收汇",IF(AND(ISNUMBER(N62),TODAY()&gt;N62),"超期未收汇","有回款待收汇"))))</f>
        <v/>
      </c>
      <c r="P62" s="34" t="str">
        <f aca="false">IF($A62="","",SUMIFS(④退税核算!$H$4:$H$303,④退税核算!$A$4:$A$303,$A62))</f>
        <v/>
      </c>
      <c r="Q62" s="34" t="str">
        <f aca="false">IF($A62="","",SUMIFS(④退税核算!$H$4:$H$303,④退税核算!$A$4:$A$303,$A62,④退税核算!$D$4:$D$303,"未售-海外仓预退（HWC-YT）"))</f>
        <v/>
      </c>
      <c r="R62" s="30" t="str">
        <f aca="false">IF($A62="","",IF(COUNTIFS(④退税核算!$A$4:$A$303,$A62,④退税核算!$D$4:$D$303,"未售-海外仓预退（HWC-YT）",④退税核算!$I$4:$I$303,"&gt;0")=0,"",_xlfn.MINIFS(④退税核算!$J$4:$J$303,④退税核算!$A$4:$A$303,$A62,④退税核算!$D$4:$D$303,"未售-海外仓预退（HWC-YT）")))</f>
        <v/>
      </c>
      <c r="S62" s="35" t="str">
        <f aca="false">IF($A62="","",IF(COUNTIFS(④退税核算!$A$4:$A$303,$A62,④退税核算!$D$4:$D$303,"未售-海外仓预退（HWC-YT）")=0,"不涉及",IF(COUNTIFS(④退税核算!$A$4:$A$303,$A62,④退税核算!$S$4:$S$303,"已逾期*")&gt;0,"已逾期",IF(COUNTIFS(④退税核算!$A$4:$A$303,$A62,④退税核算!$S$4:$S$303,"临近*")&gt;0,"临近截止",IF(COUNTIFS(④退税核算!$A$4:$A$303,$A62,④退税核算!$S$4:$S$303,"待*")&gt;0,"待核算","已核算")))))</f>
        <v/>
      </c>
      <c r="T62" s="35" t="str">
        <f aca="false">IF($A62="","",IFERROR(INDEX(⑥单证留存!$P$4:$P$203,MATCH(①出口报关!B59,⑥单证留存!$A$4:$A$203,0)),"未登记"))</f>
        <v/>
      </c>
      <c r="U62" s="36" t="str">
        <f aca="false">IF($A62="","",IF(IF(OR(O62="超期未收汇",O62="超过收汇期限仍未销售")," 收汇超期","")&amp;IF(S62="已逾期"," 核算逾期","")&amp;IF(S62="临近截止"," 核算临近截止","")&amp;IF(LEFT(T62,1)="缺"," 单证"&amp;T62,"")&amp;IF(T62="未登记"," 单证未登记","")&amp;IF(AND(ISNUMBER(G62),N(G62)&lt;&gt;0)," 入仓差异"&amp;G62,"")="","正常",SUBSTITUTE(TRIM(IF(OR(O62="超期未收汇",O62="超过收汇期限仍未销售")," 收汇超期","")&amp;IF(S62="已逾期"," 核算逾期","")&amp;IF(S62="临近截止"," 核算临近截止","")&amp;IF(LEFT(T62,1)="缺"," 单证"&amp;T62,"")&amp;IF(T62="未登记"," 单证未登记","")&amp;IF(AND(ISNUMBER(G62),N(G62)&lt;&gt;0)," 入仓差异"&amp;G62,""))," ","、")))</f>
        <v/>
      </c>
    </row>
    <row r="63" customFormat="false" ht="21.75" hidden="false" customHeight="true" outlineLevel="0" collapsed="false">
      <c r="A63" s="29" t="str">
        <f aca="false">IF(①出口报关!A60="","",①出口报关!A60)</f>
        <v/>
      </c>
      <c r="B63" s="29" t="str">
        <f aca="false">IF($A63="","",①出口报关!I60)</f>
        <v/>
      </c>
      <c r="C63" s="29" t="str">
        <f aca="false">IF($A63="","",①出口报关!J60)</f>
        <v/>
      </c>
      <c r="D63" s="30" t="str">
        <f aca="false">IF($A63="","",IF(①出口报关!D60="","",①出口报关!D60))</f>
        <v/>
      </c>
      <c r="E63" s="31" t="str">
        <f aca="false">IF($A63="","",N(①出口报关!L60))</f>
        <v/>
      </c>
      <c r="F63" s="31" t="str">
        <f aca="false">IF($A63="","",IF(①出口报关!Y60="","未签收",①出口报关!Y60))</f>
        <v/>
      </c>
      <c r="G63" s="32" t="str">
        <f aca="false">IF(OR($A63="",NOT(ISNUMBER(F63))),"",F63-E63)</f>
        <v/>
      </c>
      <c r="H63" s="31" t="str">
        <f aca="false">IF($A63="","",SUMIFS(②销售核销!$I$4:$I$603,②销售核销!$E$4:$E$603,$A63))</f>
        <v/>
      </c>
      <c r="I63" s="31" t="str">
        <f aca="false">IF($A63="","",SUMIFS(⑤库存异常!$E$4:$E$203,⑤库存异常!$B$4:$B$203,$A63))</f>
        <v/>
      </c>
      <c r="J63" s="31" t="str">
        <f aca="false">IF($A63="","",IF(ISNUMBER(F63),F63,E63)-H63-I63)</f>
        <v/>
      </c>
      <c r="K63" s="33" t="str">
        <f aca="false">IF(OR($A63="",N(E63)=0),"",H63/E63)</f>
        <v/>
      </c>
      <c r="L63" s="34" t="str">
        <f aca="false">IF($A63="","",SUMIFS(②销售核销!$L$4:$L$603,②销售核销!$E$4:$E$603,$A63))</f>
        <v/>
      </c>
      <c r="M63" s="34" t="str">
        <f aca="false">IF($A63="","",SUMIFS(②销售核销!$L$4:$L$603,②销售核销!$E$4:$E$603,$A63,②销售核销!$M$4:$M$603,"已收汇"))</f>
        <v/>
      </c>
      <c r="N63" s="30" t="str">
        <f aca="false">IF(ISNUMBER(D63),DATE(YEAR(D63)+1,4,30),"")</f>
        <v/>
      </c>
      <c r="O63" s="35" t="str">
        <f aca="true">IF($A63="","",IF(N(H63)=0,IF(AND(ISNUMBER(N63),TODAY()&gt;N63),"超过收汇期限仍未销售","尚未销售"),IF(ROUND(M63,2)&gt;=ROUND(L63,2),"已售部分已收汇",IF(AND(ISNUMBER(N63),TODAY()&gt;N63),"超期未收汇","有回款待收汇"))))</f>
        <v/>
      </c>
      <c r="P63" s="34" t="str">
        <f aca="false">IF($A63="","",SUMIFS(④退税核算!$H$4:$H$303,④退税核算!$A$4:$A$303,$A63))</f>
        <v/>
      </c>
      <c r="Q63" s="34" t="str">
        <f aca="false">IF($A63="","",SUMIFS(④退税核算!$H$4:$H$303,④退税核算!$A$4:$A$303,$A63,④退税核算!$D$4:$D$303,"未售-海外仓预退（HWC-YT）"))</f>
        <v/>
      </c>
      <c r="R63" s="30" t="str">
        <f aca="false">IF($A63="","",IF(COUNTIFS(④退税核算!$A$4:$A$303,$A63,④退税核算!$D$4:$D$303,"未售-海外仓预退（HWC-YT）",④退税核算!$I$4:$I$303,"&gt;0")=0,"",_xlfn.MINIFS(④退税核算!$J$4:$J$303,④退税核算!$A$4:$A$303,$A63,④退税核算!$D$4:$D$303,"未售-海外仓预退（HWC-YT）")))</f>
        <v/>
      </c>
      <c r="S63" s="35" t="str">
        <f aca="false">IF($A63="","",IF(COUNTIFS(④退税核算!$A$4:$A$303,$A63,④退税核算!$D$4:$D$303,"未售-海外仓预退（HWC-YT）")=0,"不涉及",IF(COUNTIFS(④退税核算!$A$4:$A$303,$A63,④退税核算!$S$4:$S$303,"已逾期*")&gt;0,"已逾期",IF(COUNTIFS(④退税核算!$A$4:$A$303,$A63,④退税核算!$S$4:$S$303,"临近*")&gt;0,"临近截止",IF(COUNTIFS(④退税核算!$A$4:$A$303,$A63,④退税核算!$S$4:$S$303,"待*")&gt;0,"待核算","已核算")))))</f>
        <v/>
      </c>
      <c r="T63" s="35" t="str">
        <f aca="false">IF($A63="","",IFERROR(INDEX(⑥单证留存!$P$4:$P$203,MATCH(①出口报关!B60,⑥单证留存!$A$4:$A$203,0)),"未登记"))</f>
        <v/>
      </c>
      <c r="U63" s="36" t="str">
        <f aca="false">IF($A63="","",IF(IF(OR(O63="超期未收汇",O63="超过收汇期限仍未销售")," 收汇超期","")&amp;IF(S63="已逾期"," 核算逾期","")&amp;IF(S63="临近截止"," 核算临近截止","")&amp;IF(LEFT(T63,1)="缺"," 单证"&amp;T63,"")&amp;IF(T63="未登记"," 单证未登记","")&amp;IF(AND(ISNUMBER(G63),N(G63)&lt;&gt;0)," 入仓差异"&amp;G63,"")="","正常",SUBSTITUTE(TRIM(IF(OR(O63="超期未收汇",O63="超过收汇期限仍未销售")," 收汇超期","")&amp;IF(S63="已逾期"," 核算逾期","")&amp;IF(S63="临近截止"," 核算临近截止","")&amp;IF(LEFT(T63,1)="缺"," 单证"&amp;T63,"")&amp;IF(T63="未登记"," 单证未登记","")&amp;IF(AND(ISNUMBER(G63),N(G63)&lt;&gt;0)," 入仓差异"&amp;G63,""))," ","、")))</f>
        <v/>
      </c>
    </row>
    <row r="64" customFormat="false" ht="21.75" hidden="false" customHeight="true" outlineLevel="0" collapsed="false">
      <c r="A64" s="29" t="str">
        <f aca="false">IF(①出口报关!A61="","",①出口报关!A61)</f>
        <v/>
      </c>
      <c r="B64" s="29" t="str">
        <f aca="false">IF($A64="","",①出口报关!I61)</f>
        <v/>
      </c>
      <c r="C64" s="29" t="str">
        <f aca="false">IF($A64="","",①出口报关!J61)</f>
        <v/>
      </c>
      <c r="D64" s="30" t="str">
        <f aca="false">IF($A64="","",IF(①出口报关!D61="","",①出口报关!D61))</f>
        <v/>
      </c>
      <c r="E64" s="31" t="str">
        <f aca="false">IF($A64="","",N(①出口报关!L61))</f>
        <v/>
      </c>
      <c r="F64" s="31" t="str">
        <f aca="false">IF($A64="","",IF(①出口报关!Y61="","未签收",①出口报关!Y61))</f>
        <v/>
      </c>
      <c r="G64" s="32" t="str">
        <f aca="false">IF(OR($A64="",NOT(ISNUMBER(F64))),"",F64-E64)</f>
        <v/>
      </c>
      <c r="H64" s="31" t="str">
        <f aca="false">IF($A64="","",SUMIFS(②销售核销!$I$4:$I$603,②销售核销!$E$4:$E$603,$A64))</f>
        <v/>
      </c>
      <c r="I64" s="31" t="str">
        <f aca="false">IF($A64="","",SUMIFS(⑤库存异常!$E$4:$E$203,⑤库存异常!$B$4:$B$203,$A64))</f>
        <v/>
      </c>
      <c r="J64" s="31" t="str">
        <f aca="false">IF($A64="","",IF(ISNUMBER(F64),F64,E64)-H64-I64)</f>
        <v/>
      </c>
      <c r="K64" s="33" t="str">
        <f aca="false">IF(OR($A64="",N(E64)=0),"",H64/E64)</f>
        <v/>
      </c>
      <c r="L64" s="34" t="str">
        <f aca="false">IF($A64="","",SUMIFS(②销售核销!$L$4:$L$603,②销售核销!$E$4:$E$603,$A64))</f>
        <v/>
      </c>
      <c r="M64" s="34" t="str">
        <f aca="false">IF($A64="","",SUMIFS(②销售核销!$L$4:$L$603,②销售核销!$E$4:$E$603,$A64,②销售核销!$M$4:$M$603,"已收汇"))</f>
        <v/>
      </c>
      <c r="N64" s="30" t="str">
        <f aca="false">IF(ISNUMBER(D64),DATE(YEAR(D64)+1,4,30),"")</f>
        <v/>
      </c>
      <c r="O64" s="35" t="str">
        <f aca="true">IF($A64="","",IF(N(H64)=0,IF(AND(ISNUMBER(N64),TODAY()&gt;N64),"超过收汇期限仍未销售","尚未销售"),IF(ROUND(M64,2)&gt;=ROUND(L64,2),"已售部分已收汇",IF(AND(ISNUMBER(N64),TODAY()&gt;N64),"超期未收汇","有回款待收汇"))))</f>
        <v/>
      </c>
      <c r="P64" s="34" t="str">
        <f aca="false">IF($A64="","",SUMIFS(④退税核算!$H$4:$H$303,④退税核算!$A$4:$A$303,$A64))</f>
        <v/>
      </c>
      <c r="Q64" s="34" t="str">
        <f aca="false">IF($A64="","",SUMIFS(④退税核算!$H$4:$H$303,④退税核算!$A$4:$A$303,$A64,④退税核算!$D$4:$D$303,"未售-海外仓预退（HWC-YT）"))</f>
        <v/>
      </c>
      <c r="R64" s="30" t="str">
        <f aca="false">IF($A64="","",IF(COUNTIFS(④退税核算!$A$4:$A$303,$A64,④退税核算!$D$4:$D$303,"未售-海外仓预退（HWC-YT）",④退税核算!$I$4:$I$303,"&gt;0")=0,"",_xlfn.MINIFS(④退税核算!$J$4:$J$303,④退税核算!$A$4:$A$303,$A64,④退税核算!$D$4:$D$303,"未售-海外仓预退（HWC-YT）")))</f>
        <v/>
      </c>
      <c r="S64" s="35" t="str">
        <f aca="false">IF($A64="","",IF(COUNTIFS(④退税核算!$A$4:$A$303,$A64,④退税核算!$D$4:$D$303,"未售-海外仓预退（HWC-YT）")=0,"不涉及",IF(COUNTIFS(④退税核算!$A$4:$A$303,$A64,④退税核算!$S$4:$S$303,"已逾期*")&gt;0,"已逾期",IF(COUNTIFS(④退税核算!$A$4:$A$303,$A64,④退税核算!$S$4:$S$303,"临近*")&gt;0,"临近截止",IF(COUNTIFS(④退税核算!$A$4:$A$303,$A64,④退税核算!$S$4:$S$303,"待*")&gt;0,"待核算","已核算")))))</f>
        <v/>
      </c>
      <c r="T64" s="35" t="str">
        <f aca="false">IF($A64="","",IFERROR(INDEX(⑥单证留存!$P$4:$P$203,MATCH(①出口报关!B61,⑥单证留存!$A$4:$A$203,0)),"未登记"))</f>
        <v/>
      </c>
      <c r="U64" s="36" t="str">
        <f aca="false">IF($A64="","",IF(IF(OR(O64="超期未收汇",O64="超过收汇期限仍未销售")," 收汇超期","")&amp;IF(S64="已逾期"," 核算逾期","")&amp;IF(S64="临近截止"," 核算临近截止","")&amp;IF(LEFT(T64,1)="缺"," 单证"&amp;T64,"")&amp;IF(T64="未登记"," 单证未登记","")&amp;IF(AND(ISNUMBER(G64),N(G64)&lt;&gt;0)," 入仓差异"&amp;G64,"")="","正常",SUBSTITUTE(TRIM(IF(OR(O64="超期未收汇",O64="超过收汇期限仍未销售")," 收汇超期","")&amp;IF(S64="已逾期"," 核算逾期","")&amp;IF(S64="临近截止"," 核算临近截止","")&amp;IF(LEFT(T64,1)="缺"," 单证"&amp;T64,"")&amp;IF(T64="未登记"," 单证未登记","")&amp;IF(AND(ISNUMBER(G64),N(G64)&lt;&gt;0)," 入仓差异"&amp;G64,""))," ","、")))</f>
        <v/>
      </c>
    </row>
    <row r="65" customFormat="false" ht="21.75" hidden="false" customHeight="true" outlineLevel="0" collapsed="false">
      <c r="A65" s="29" t="str">
        <f aca="false">IF(①出口报关!A62="","",①出口报关!A62)</f>
        <v/>
      </c>
      <c r="B65" s="29" t="str">
        <f aca="false">IF($A65="","",①出口报关!I62)</f>
        <v/>
      </c>
      <c r="C65" s="29" t="str">
        <f aca="false">IF($A65="","",①出口报关!J62)</f>
        <v/>
      </c>
      <c r="D65" s="30" t="str">
        <f aca="false">IF($A65="","",IF(①出口报关!D62="","",①出口报关!D62))</f>
        <v/>
      </c>
      <c r="E65" s="31" t="str">
        <f aca="false">IF($A65="","",N(①出口报关!L62))</f>
        <v/>
      </c>
      <c r="F65" s="31" t="str">
        <f aca="false">IF($A65="","",IF(①出口报关!Y62="","未签收",①出口报关!Y62))</f>
        <v/>
      </c>
      <c r="G65" s="32" t="str">
        <f aca="false">IF(OR($A65="",NOT(ISNUMBER(F65))),"",F65-E65)</f>
        <v/>
      </c>
      <c r="H65" s="31" t="str">
        <f aca="false">IF($A65="","",SUMIFS(②销售核销!$I$4:$I$603,②销售核销!$E$4:$E$603,$A65))</f>
        <v/>
      </c>
      <c r="I65" s="31" t="str">
        <f aca="false">IF($A65="","",SUMIFS(⑤库存异常!$E$4:$E$203,⑤库存异常!$B$4:$B$203,$A65))</f>
        <v/>
      </c>
      <c r="J65" s="31" t="str">
        <f aca="false">IF($A65="","",IF(ISNUMBER(F65),F65,E65)-H65-I65)</f>
        <v/>
      </c>
      <c r="K65" s="33" t="str">
        <f aca="false">IF(OR($A65="",N(E65)=0),"",H65/E65)</f>
        <v/>
      </c>
      <c r="L65" s="34" t="str">
        <f aca="false">IF($A65="","",SUMIFS(②销售核销!$L$4:$L$603,②销售核销!$E$4:$E$603,$A65))</f>
        <v/>
      </c>
      <c r="M65" s="34" t="str">
        <f aca="false">IF($A65="","",SUMIFS(②销售核销!$L$4:$L$603,②销售核销!$E$4:$E$603,$A65,②销售核销!$M$4:$M$603,"已收汇"))</f>
        <v/>
      </c>
      <c r="N65" s="30" t="str">
        <f aca="false">IF(ISNUMBER(D65),DATE(YEAR(D65)+1,4,30),"")</f>
        <v/>
      </c>
      <c r="O65" s="35" t="str">
        <f aca="true">IF($A65="","",IF(N(H65)=0,IF(AND(ISNUMBER(N65),TODAY()&gt;N65),"超过收汇期限仍未销售","尚未销售"),IF(ROUND(M65,2)&gt;=ROUND(L65,2),"已售部分已收汇",IF(AND(ISNUMBER(N65),TODAY()&gt;N65),"超期未收汇","有回款待收汇"))))</f>
        <v/>
      </c>
      <c r="P65" s="34" t="str">
        <f aca="false">IF($A65="","",SUMIFS(④退税核算!$H$4:$H$303,④退税核算!$A$4:$A$303,$A65))</f>
        <v/>
      </c>
      <c r="Q65" s="34" t="str">
        <f aca="false">IF($A65="","",SUMIFS(④退税核算!$H$4:$H$303,④退税核算!$A$4:$A$303,$A65,④退税核算!$D$4:$D$303,"未售-海外仓预退（HWC-YT）"))</f>
        <v/>
      </c>
      <c r="R65" s="30" t="str">
        <f aca="false">IF($A65="","",IF(COUNTIFS(④退税核算!$A$4:$A$303,$A65,④退税核算!$D$4:$D$303,"未售-海外仓预退（HWC-YT）",④退税核算!$I$4:$I$303,"&gt;0")=0,"",_xlfn.MINIFS(④退税核算!$J$4:$J$303,④退税核算!$A$4:$A$303,$A65,④退税核算!$D$4:$D$303,"未售-海外仓预退（HWC-YT）")))</f>
        <v/>
      </c>
      <c r="S65" s="35" t="str">
        <f aca="false">IF($A65="","",IF(COUNTIFS(④退税核算!$A$4:$A$303,$A65,④退税核算!$D$4:$D$303,"未售-海外仓预退（HWC-YT）")=0,"不涉及",IF(COUNTIFS(④退税核算!$A$4:$A$303,$A65,④退税核算!$S$4:$S$303,"已逾期*")&gt;0,"已逾期",IF(COUNTIFS(④退税核算!$A$4:$A$303,$A65,④退税核算!$S$4:$S$303,"临近*")&gt;0,"临近截止",IF(COUNTIFS(④退税核算!$A$4:$A$303,$A65,④退税核算!$S$4:$S$303,"待*")&gt;0,"待核算","已核算")))))</f>
        <v/>
      </c>
      <c r="T65" s="35" t="str">
        <f aca="false">IF($A65="","",IFERROR(INDEX(⑥单证留存!$P$4:$P$203,MATCH(①出口报关!B62,⑥单证留存!$A$4:$A$203,0)),"未登记"))</f>
        <v/>
      </c>
      <c r="U65" s="36" t="str">
        <f aca="false">IF($A65="","",IF(IF(OR(O65="超期未收汇",O65="超过收汇期限仍未销售")," 收汇超期","")&amp;IF(S65="已逾期"," 核算逾期","")&amp;IF(S65="临近截止"," 核算临近截止","")&amp;IF(LEFT(T65,1)="缺"," 单证"&amp;T65,"")&amp;IF(T65="未登记"," 单证未登记","")&amp;IF(AND(ISNUMBER(G65),N(G65)&lt;&gt;0)," 入仓差异"&amp;G65,"")="","正常",SUBSTITUTE(TRIM(IF(OR(O65="超期未收汇",O65="超过收汇期限仍未销售")," 收汇超期","")&amp;IF(S65="已逾期"," 核算逾期","")&amp;IF(S65="临近截止"," 核算临近截止","")&amp;IF(LEFT(T65,1)="缺"," 单证"&amp;T65,"")&amp;IF(T65="未登记"," 单证未登记","")&amp;IF(AND(ISNUMBER(G65),N(G65)&lt;&gt;0)," 入仓差异"&amp;G65,""))," ","、")))</f>
        <v/>
      </c>
    </row>
    <row r="66" customFormat="false" ht="21.75" hidden="false" customHeight="true" outlineLevel="0" collapsed="false">
      <c r="A66" s="29" t="str">
        <f aca="false">IF(①出口报关!A63="","",①出口报关!A63)</f>
        <v/>
      </c>
      <c r="B66" s="29" t="str">
        <f aca="false">IF($A66="","",①出口报关!I63)</f>
        <v/>
      </c>
      <c r="C66" s="29" t="str">
        <f aca="false">IF($A66="","",①出口报关!J63)</f>
        <v/>
      </c>
      <c r="D66" s="30" t="str">
        <f aca="false">IF($A66="","",IF(①出口报关!D63="","",①出口报关!D63))</f>
        <v/>
      </c>
      <c r="E66" s="31" t="str">
        <f aca="false">IF($A66="","",N(①出口报关!L63))</f>
        <v/>
      </c>
      <c r="F66" s="31" t="str">
        <f aca="false">IF($A66="","",IF(①出口报关!Y63="","未签收",①出口报关!Y63))</f>
        <v/>
      </c>
      <c r="G66" s="32" t="str">
        <f aca="false">IF(OR($A66="",NOT(ISNUMBER(F66))),"",F66-E66)</f>
        <v/>
      </c>
      <c r="H66" s="31" t="str">
        <f aca="false">IF($A66="","",SUMIFS(②销售核销!$I$4:$I$603,②销售核销!$E$4:$E$603,$A66))</f>
        <v/>
      </c>
      <c r="I66" s="31" t="str">
        <f aca="false">IF($A66="","",SUMIFS(⑤库存异常!$E$4:$E$203,⑤库存异常!$B$4:$B$203,$A66))</f>
        <v/>
      </c>
      <c r="J66" s="31" t="str">
        <f aca="false">IF($A66="","",IF(ISNUMBER(F66),F66,E66)-H66-I66)</f>
        <v/>
      </c>
      <c r="K66" s="33" t="str">
        <f aca="false">IF(OR($A66="",N(E66)=0),"",H66/E66)</f>
        <v/>
      </c>
      <c r="L66" s="34" t="str">
        <f aca="false">IF($A66="","",SUMIFS(②销售核销!$L$4:$L$603,②销售核销!$E$4:$E$603,$A66))</f>
        <v/>
      </c>
      <c r="M66" s="34" t="str">
        <f aca="false">IF($A66="","",SUMIFS(②销售核销!$L$4:$L$603,②销售核销!$E$4:$E$603,$A66,②销售核销!$M$4:$M$603,"已收汇"))</f>
        <v/>
      </c>
      <c r="N66" s="30" t="str">
        <f aca="false">IF(ISNUMBER(D66),DATE(YEAR(D66)+1,4,30),"")</f>
        <v/>
      </c>
      <c r="O66" s="35" t="str">
        <f aca="true">IF($A66="","",IF(N(H66)=0,IF(AND(ISNUMBER(N66),TODAY()&gt;N66),"超过收汇期限仍未销售","尚未销售"),IF(ROUND(M66,2)&gt;=ROUND(L66,2),"已售部分已收汇",IF(AND(ISNUMBER(N66),TODAY()&gt;N66),"超期未收汇","有回款待收汇"))))</f>
        <v/>
      </c>
      <c r="P66" s="34" t="str">
        <f aca="false">IF($A66="","",SUMIFS(④退税核算!$H$4:$H$303,④退税核算!$A$4:$A$303,$A66))</f>
        <v/>
      </c>
      <c r="Q66" s="34" t="str">
        <f aca="false">IF($A66="","",SUMIFS(④退税核算!$H$4:$H$303,④退税核算!$A$4:$A$303,$A66,④退税核算!$D$4:$D$303,"未售-海外仓预退（HWC-YT）"))</f>
        <v/>
      </c>
      <c r="R66" s="30" t="str">
        <f aca="false">IF($A66="","",IF(COUNTIFS(④退税核算!$A$4:$A$303,$A66,④退税核算!$D$4:$D$303,"未售-海外仓预退（HWC-YT）",④退税核算!$I$4:$I$303,"&gt;0")=0,"",_xlfn.MINIFS(④退税核算!$J$4:$J$303,④退税核算!$A$4:$A$303,$A66,④退税核算!$D$4:$D$303,"未售-海外仓预退（HWC-YT）")))</f>
        <v/>
      </c>
      <c r="S66" s="35" t="str">
        <f aca="false">IF($A66="","",IF(COUNTIFS(④退税核算!$A$4:$A$303,$A66,④退税核算!$D$4:$D$303,"未售-海外仓预退（HWC-YT）")=0,"不涉及",IF(COUNTIFS(④退税核算!$A$4:$A$303,$A66,④退税核算!$S$4:$S$303,"已逾期*")&gt;0,"已逾期",IF(COUNTIFS(④退税核算!$A$4:$A$303,$A66,④退税核算!$S$4:$S$303,"临近*")&gt;0,"临近截止",IF(COUNTIFS(④退税核算!$A$4:$A$303,$A66,④退税核算!$S$4:$S$303,"待*")&gt;0,"待核算","已核算")))))</f>
        <v/>
      </c>
      <c r="T66" s="35" t="str">
        <f aca="false">IF($A66="","",IFERROR(INDEX(⑥单证留存!$P$4:$P$203,MATCH(①出口报关!B63,⑥单证留存!$A$4:$A$203,0)),"未登记"))</f>
        <v/>
      </c>
      <c r="U66" s="36" t="str">
        <f aca="false">IF($A66="","",IF(IF(OR(O66="超期未收汇",O66="超过收汇期限仍未销售")," 收汇超期","")&amp;IF(S66="已逾期"," 核算逾期","")&amp;IF(S66="临近截止"," 核算临近截止","")&amp;IF(LEFT(T66,1)="缺"," 单证"&amp;T66,"")&amp;IF(T66="未登记"," 单证未登记","")&amp;IF(AND(ISNUMBER(G66),N(G66)&lt;&gt;0)," 入仓差异"&amp;G66,"")="","正常",SUBSTITUTE(TRIM(IF(OR(O66="超期未收汇",O66="超过收汇期限仍未销售")," 收汇超期","")&amp;IF(S66="已逾期"," 核算逾期","")&amp;IF(S66="临近截止"," 核算临近截止","")&amp;IF(LEFT(T66,1)="缺"," 单证"&amp;T66,"")&amp;IF(T66="未登记"," 单证未登记","")&amp;IF(AND(ISNUMBER(G66),N(G66)&lt;&gt;0)," 入仓差异"&amp;G66,""))," ","、")))</f>
        <v/>
      </c>
    </row>
    <row r="67" customFormat="false" ht="21.75" hidden="false" customHeight="true" outlineLevel="0" collapsed="false">
      <c r="A67" s="29" t="str">
        <f aca="false">IF(①出口报关!A64="","",①出口报关!A64)</f>
        <v/>
      </c>
      <c r="B67" s="29" t="str">
        <f aca="false">IF($A67="","",①出口报关!I64)</f>
        <v/>
      </c>
      <c r="C67" s="29" t="str">
        <f aca="false">IF($A67="","",①出口报关!J64)</f>
        <v/>
      </c>
      <c r="D67" s="30" t="str">
        <f aca="false">IF($A67="","",IF(①出口报关!D64="","",①出口报关!D64))</f>
        <v/>
      </c>
      <c r="E67" s="31" t="str">
        <f aca="false">IF($A67="","",N(①出口报关!L64))</f>
        <v/>
      </c>
      <c r="F67" s="31" t="str">
        <f aca="false">IF($A67="","",IF(①出口报关!Y64="","未签收",①出口报关!Y64))</f>
        <v/>
      </c>
      <c r="G67" s="32" t="str">
        <f aca="false">IF(OR($A67="",NOT(ISNUMBER(F67))),"",F67-E67)</f>
        <v/>
      </c>
      <c r="H67" s="31" t="str">
        <f aca="false">IF($A67="","",SUMIFS(②销售核销!$I$4:$I$603,②销售核销!$E$4:$E$603,$A67))</f>
        <v/>
      </c>
      <c r="I67" s="31" t="str">
        <f aca="false">IF($A67="","",SUMIFS(⑤库存异常!$E$4:$E$203,⑤库存异常!$B$4:$B$203,$A67))</f>
        <v/>
      </c>
      <c r="J67" s="31" t="str">
        <f aca="false">IF($A67="","",IF(ISNUMBER(F67),F67,E67)-H67-I67)</f>
        <v/>
      </c>
      <c r="K67" s="33" t="str">
        <f aca="false">IF(OR($A67="",N(E67)=0),"",H67/E67)</f>
        <v/>
      </c>
      <c r="L67" s="34" t="str">
        <f aca="false">IF($A67="","",SUMIFS(②销售核销!$L$4:$L$603,②销售核销!$E$4:$E$603,$A67))</f>
        <v/>
      </c>
      <c r="M67" s="34" t="str">
        <f aca="false">IF($A67="","",SUMIFS(②销售核销!$L$4:$L$603,②销售核销!$E$4:$E$603,$A67,②销售核销!$M$4:$M$603,"已收汇"))</f>
        <v/>
      </c>
      <c r="N67" s="30" t="str">
        <f aca="false">IF(ISNUMBER(D67),DATE(YEAR(D67)+1,4,30),"")</f>
        <v/>
      </c>
      <c r="O67" s="35" t="str">
        <f aca="true">IF($A67="","",IF(N(H67)=0,IF(AND(ISNUMBER(N67),TODAY()&gt;N67),"超过收汇期限仍未销售","尚未销售"),IF(ROUND(M67,2)&gt;=ROUND(L67,2),"已售部分已收汇",IF(AND(ISNUMBER(N67),TODAY()&gt;N67),"超期未收汇","有回款待收汇"))))</f>
        <v/>
      </c>
      <c r="P67" s="34" t="str">
        <f aca="false">IF($A67="","",SUMIFS(④退税核算!$H$4:$H$303,④退税核算!$A$4:$A$303,$A67))</f>
        <v/>
      </c>
      <c r="Q67" s="34" t="str">
        <f aca="false">IF($A67="","",SUMIFS(④退税核算!$H$4:$H$303,④退税核算!$A$4:$A$303,$A67,④退税核算!$D$4:$D$303,"未售-海外仓预退（HWC-YT）"))</f>
        <v/>
      </c>
      <c r="R67" s="30" t="str">
        <f aca="false">IF($A67="","",IF(COUNTIFS(④退税核算!$A$4:$A$303,$A67,④退税核算!$D$4:$D$303,"未售-海外仓预退（HWC-YT）",④退税核算!$I$4:$I$303,"&gt;0")=0,"",_xlfn.MINIFS(④退税核算!$J$4:$J$303,④退税核算!$A$4:$A$303,$A67,④退税核算!$D$4:$D$303,"未售-海外仓预退（HWC-YT）")))</f>
        <v/>
      </c>
      <c r="S67" s="35" t="str">
        <f aca="false">IF($A67="","",IF(COUNTIFS(④退税核算!$A$4:$A$303,$A67,④退税核算!$D$4:$D$303,"未售-海外仓预退（HWC-YT）")=0,"不涉及",IF(COUNTIFS(④退税核算!$A$4:$A$303,$A67,④退税核算!$S$4:$S$303,"已逾期*")&gt;0,"已逾期",IF(COUNTIFS(④退税核算!$A$4:$A$303,$A67,④退税核算!$S$4:$S$303,"临近*")&gt;0,"临近截止",IF(COUNTIFS(④退税核算!$A$4:$A$303,$A67,④退税核算!$S$4:$S$303,"待*")&gt;0,"待核算","已核算")))))</f>
        <v/>
      </c>
      <c r="T67" s="35" t="str">
        <f aca="false">IF($A67="","",IFERROR(INDEX(⑥单证留存!$P$4:$P$203,MATCH(①出口报关!B64,⑥单证留存!$A$4:$A$203,0)),"未登记"))</f>
        <v/>
      </c>
      <c r="U67" s="36" t="str">
        <f aca="false">IF($A67="","",IF(IF(OR(O67="超期未收汇",O67="超过收汇期限仍未销售")," 收汇超期","")&amp;IF(S67="已逾期"," 核算逾期","")&amp;IF(S67="临近截止"," 核算临近截止","")&amp;IF(LEFT(T67,1)="缺"," 单证"&amp;T67,"")&amp;IF(T67="未登记"," 单证未登记","")&amp;IF(AND(ISNUMBER(G67),N(G67)&lt;&gt;0)," 入仓差异"&amp;G67,"")="","正常",SUBSTITUTE(TRIM(IF(OR(O67="超期未收汇",O67="超过收汇期限仍未销售")," 收汇超期","")&amp;IF(S67="已逾期"," 核算逾期","")&amp;IF(S67="临近截止"," 核算临近截止","")&amp;IF(LEFT(T67,1)="缺"," 单证"&amp;T67,"")&amp;IF(T67="未登记"," 单证未登记","")&amp;IF(AND(ISNUMBER(G67),N(G67)&lt;&gt;0)," 入仓差异"&amp;G67,""))," ","、")))</f>
        <v/>
      </c>
    </row>
    <row r="68" customFormat="false" ht="21.75" hidden="false" customHeight="true" outlineLevel="0" collapsed="false">
      <c r="A68" s="29" t="str">
        <f aca="false">IF(①出口报关!A65="","",①出口报关!A65)</f>
        <v/>
      </c>
      <c r="B68" s="29" t="str">
        <f aca="false">IF($A68="","",①出口报关!I65)</f>
        <v/>
      </c>
      <c r="C68" s="29" t="str">
        <f aca="false">IF($A68="","",①出口报关!J65)</f>
        <v/>
      </c>
      <c r="D68" s="30" t="str">
        <f aca="false">IF($A68="","",IF(①出口报关!D65="","",①出口报关!D65))</f>
        <v/>
      </c>
      <c r="E68" s="31" t="str">
        <f aca="false">IF($A68="","",N(①出口报关!L65))</f>
        <v/>
      </c>
      <c r="F68" s="31" t="str">
        <f aca="false">IF($A68="","",IF(①出口报关!Y65="","未签收",①出口报关!Y65))</f>
        <v/>
      </c>
      <c r="G68" s="32" t="str">
        <f aca="false">IF(OR($A68="",NOT(ISNUMBER(F68))),"",F68-E68)</f>
        <v/>
      </c>
      <c r="H68" s="31" t="str">
        <f aca="false">IF($A68="","",SUMIFS(②销售核销!$I$4:$I$603,②销售核销!$E$4:$E$603,$A68))</f>
        <v/>
      </c>
      <c r="I68" s="31" t="str">
        <f aca="false">IF($A68="","",SUMIFS(⑤库存异常!$E$4:$E$203,⑤库存异常!$B$4:$B$203,$A68))</f>
        <v/>
      </c>
      <c r="J68" s="31" t="str">
        <f aca="false">IF($A68="","",IF(ISNUMBER(F68),F68,E68)-H68-I68)</f>
        <v/>
      </c>
      <c r="K68" s="33" t="str">
        <f aca="false">IF(OR($A68="",N(E68)=0),"",H68/E68)</f>
        <v/>
      </c>
      <c r="L68" s="34" t="str">
        <f aca="false">IF($A68="","",SUMIFS(②销售核销!$L$4:$L$603,②销售核销!$E$4:$E$603,$A68))</f>
        <v/>
      </c>
      <c r="M68" s="34" t="str">
        <f aca="false">IF($A68="","",SUMIFS(②销售核销!$L$4:$L$603,②销售核销!$E$4:$E$603,$A68,②销售核销!$M$4:$M$603,"已收汇"))</f>
        <v/>
      </c>
      <c r="N68" s="30" t="str">
        <f aca="false">IF(ISNUMBER(D68),DATE(YEAR(D68)+1,4,30),"")</f>
        <v/>
      </c>
      <c r="O68" s="35" t="str">
        <f aca="true">IF($A68="","",IF(N(H68)=0,IF(AND(ISNUMBER(N68),TODAY()&gt;N68),"超过收汇期限仍未销售","尚未销售"),IF(ROUND(M68,2)&gt;=ROUND(L68,2),"已售部分已收汇",IF(AND(ISNUMBER(N68),TODAY()&gt;N68),"超期未收汇","有回款待收汇"))))</f>
        <v/>
      </c>
      <c r="P68" s="34" t="str">
        <f aca="false">IF($A68="","",SUMIFS(④退税核算!$H$4:$H$303,④退税核算!$A$4:$A$303,$A68))</f>
        <v/>
      </c>
      <c r="Q68" s="34" t="str">
        <f aca="false">IF($A68="","",SUMIFS(④退税核算!$H$4:$H$303,④退税核算!$A$4:$A$303,$A68,④退税核算!$D$4:$D$303,"未售-海外仓预退（HWC-YT）"))</f>
        <v/>
      </c>
      <c r="R68" s="30" t="str">
        <f aca="false">IF($A68="","",IF(COUNTIFS(④退税核算!$A$4:$A$303,$A68,④退税核算!$D$4:$D$303,"未售-海外仓预退（HWC-YT）",④退税核算!$I$4:$I$303,"&gt;0")=0,"",_xlfn.MINIFS(④退税核算!$J$4:$J$303,④退税核算!$A$4:$A$303,$A68,④退税核算!$D$4:$D$303,"未售-海外仓预退（HWC-YT）")))</f>
        <v/>
      </c>
      <c r="S68" s="35" t="str">
        <f aca="false">IF($A68="","",IF(COUNTIFS(④退税核算!$A$4:$A$303,$A68,④退税核算!$D$4:$D$303,"未售-海外仓预退（HWC-YT）")=0,"不涉及",IF(COUNTIFS(④退税核算!$A$4:$A$303,$A68,④退税核算!$S$4:$S$303,"已逾期*")&gt;0,"已逾期",IF(COUNTIFS(④退税核算!$A$4:$A$303,$A68,④退税核算!$S$4:$S$303,"临近*")&gt;0,"临近截止",IF(COUNTIFS(④退税核算!$A$4:$A$303,$A68,④退税核算!$S$4:$S$303,"待*")&gt;0,"待核算","已核算")))))</f>
        <v/>
      </c>
      <c r="T68" s="35" t="str">
        <f aca="false">IF($A68="","",IFERROR(INDEX(⑥单证留存!$P$4:$P$203,MATCH(①出口报关!B65,⑥单证留存!$A$4:$A$203,0)),"未登记"))</f>
        <v/>
      </c>
      <c r="U68" s="36" t="str">
        <f aca="false">IF($A68="","",IF(IF(OR(O68="超期未收汇",O68="超过收汇期限仍未销售")," 收汇超期","")&amp;IF(S68="已逾期"," 核算逾期","")&amp;IF(S68="临近截止"," 核算临近截止","")&amp;IF(LEFT(T68,1)="缺"," 单证"&amp;T68,"")&amp;IF(T68="未登记"," 单证未登记","")&amp;IF(AND(ISNUMBER(G68),N(G68)&lt;&gt;0)," 入仓差异"&amp;G68,"")="","正常",SUBSTITUTE(TRIM(IF(OR(O68="超期未收汇",O68="超过收汇期限仍未销售")," 收汇超期","")&amp;IF(S68="已逾期"," 核算逾期","")&amp;IF(S68="临近截止"," 核算临近截止","")&amp;IF(LEFT(T68,1)="缺"," 单证"&amp;T68,"")&amp;IF(T68="未登记"," 单证未登记","")&amp;IF(AND(ISNUMBER(G68),N(G68)&lt;&gt;0)," 入仓差异"&amp;G68,""))," ","、")))</f>
        <v/>
      </c>
    </row>
    <row r="69" customFormat="false" ht="21.75" hidden="false" customHeight="true" outlineLevel="0" collapsed="false">
      <c r="A69" s="29" t="str">
        <f aca="false">IF(①出口报关!A66="","",①出口报关!A66)</f>
        <v/>
      </c>
      <c r="B69" s="29" t="str">
        <f aca="false">IF($A69="","",①出口报关!I66)</f>
        <v/>
      </c>
      <c r="C69" s="29" t="str">
        <f aca="false">IF($A69="","",①出口报关!J66)</f>
        <v/>
      </c>
      <c r="D69" s="30" t="str">
        <f aca="false">IF($A69="","",IF(①出口报关!D66="","",①出口报关!D66))</f>
        <v/>
      </c>
      <c r="E69" s="31" t="str">
        <f aca="false">IF($A69="","",N(①出口报关!L66))</f>
        <v/>
      </c>
      <c r="F69" s="31" t="str">
        <f aca="false">IF($A69="","",IF(①出口报关!Y66="","未签收",①出口报关!Y66))</f>
        <v/>
      </c>
      <c r="G69" s="32" t="str">
        <f aca="false">IF(OR($A69="",NOT(ISNUMBER(F69))),"",F69-E69)</f>
        <v/>
      </c>
      <c r="H69" s="31" t="str">
        <f aca="false">IF($A69="","",SUMIFS(②销售核销!$I$4:$I$603,②销售核销!$E$4:$E$603,$A69))</f>
        <v/>
      </c>
      <c r="I69" s="31" t="str">
        <f aca="false">IF($A69="","",SUMIFS(⑤库存异常!$E$4:$E$203,⑤库存异常!$B$4:$B$203,$A69))</f>
        <v/>
      </c>
      <c r="J69" s="31" t="str">
        <f aca="false">IF($A69="","",IF(ISNUMBER(F69),F69,E69)-H69-I69)</f>
        <v/>
      </c>
      <c r="K69" s="33" t="str">
        <f aca="false">IF(OR($A69="",N(E69)=0),"",H69/E69)</f>
        <v/>
      </c>
      <c r="L69" s="34" t="str">
        <f aca="false">IF($A69="","",SUMIFS(②销售核销!$L$4:$L$603,②销售核销!$E$4:$E$603,$A69))</f>
        <v/>
      </c>
      <c r="M69" s="34" t="str">
        <f aca="false">IF($A69="","",SUMIFS(②销售核销!$L$4:$L$603,②销售核销!$E$4:$E$603,$A69,②销售核销!$M$4:$M$603,"已收汇"))</f>
        <v/>
      </c>
      <c r="N69" s="30" t="str">
        <f aca="false">IF(ISNUMBER(D69),DATE(YEAR(D69)+1,4,30),"")</f>
        <v/>
      </c>
      <c r="O69" s="35" t="str">
        <f aca="true">IF($A69="","",IF(N(H69)=0,IF(AND(ISNUMBER(N69),TODAY()&gt;N69),"超过收汇期限仍未销售","尚未销售"),IF(ROUND(M69,2)&gt;=ROUND(L69,2),"已售部分已收汇",IF(AND(ISNUMBER(N69),TODAY()&gt;N69),"超期未收汇","有回款待收汇"))))</f>
        <v/>
      </c>
      <c r="P69" s="34" t="str">
        <f aca="false">IF($A69="","",SUMIFS(④退税核算!$H$4:$H$303,④退税核算!$A$4:$A$303,$A69))</f>
        <v/>
      </c>
      <c r="Q69" s="34" t="str">
        <f aca="false">IF($A69="","",SUMIFS(④退税核算!$H$4:$H$303,④退税核算!$A$4:$A$303,$A69,④退税核算!$D$4:$D$303,"未售-海外仓预退（HWC-YT）"))</f>
        <v/>
      </c>
      <c r="R69" s="30" t="str">
        <f aca="false">IF($A69="","",IF(COUNTIFS(④退税核算!$A$4:$A$303,$A69,④退税核算!$D$4:$D$303,"未售-海外仓预退（HWC-YT）",④退税核算!$I$4:$I$303,"&gt;0")=0,"",_xlfn.MINIFS(④退税核算!$J$4:$J$303,④退税核算!$A$4:$A$303,$A69,④退税核算!$D$4:$D$303,"未售-海外仓预退（HWC-YT）")))</f>
        <v/>
      </c>
      <c r="S69" s="35" t="str">
        <f aca="false">IF($A69="","",IF(COUNTIFS(④退税核算!$A$4:$A$303,$A69,④退税核算!$D$4:$D$303,"未售-海外仓预退（HWC-YT）")=0,"不涉及",IF(COUNTIFS(④退税核算!$A$4:$A$303,$A69,④退税核算!$S$4:$S$303,"已逾期*")&gt;0,"已逾期",IF(COUNTIFS(④退税核算!$A$4:$A$303,$A69,④退税核算!$S$4:$S$303,"临近*")&gt;0,"临近截止",IF(COUNTIFS(④退税核算!$A$4:$A$303,$A69,④退税核算!$S$4:$S$303,"待*")&gt;0,"待核算","已核算")))))</f>
        <v/>
      </c>
      <c r="T69" s="35" t="str">
        <f aca="false">IF($A69="","",IFERROR(INDEX(⑥单证留存!$P$4:$P$203,MATCH(①出口报关!B66,⑥单证留存!$A$4:$A$203,0)),"未登记"))</f>
        <v/>
      </c>
      <c r="U69" s="36" t="str">
        <f aca="false">IF($A69="","",IF(IF(OR(O69="超期未收汇",O69="超过收汇期限仍未销售")," 收汇超期","")&amp;IF(S69="已逾期"," 核算逾期","")&amp;IF(S69="临近截止"," 核算临近截止","")&amp;IF(LEFT(T69,1)="缺"," 单证"&amp;T69,"")&amp;IF(T69="未登记"," 单证未登记","")&amp;IF(AND(ISNUMBER(G69),N(G69)&lt;&gt;0)," 入仓差异"&amp;G69,"")="","正常",SUBSTITUTE(TRIM(IF(OR(O69="超期未收汇",O69="超过收汇期限仍未销售")," 收汇超期","")&amp;IF(S69="已逾期"," 核算逾期","")&amp;IF(S69="临近截止"," 核算临近截止","")&amp;IF(LEFT(T69,1)="缺"," 单证"&amp;T69,"")&amp;IF(T69="未登记"," 单证未登记","")&amp;IF(AND(ISNUMBER(G69),N(G69)&lt;&gt;0)," 入仓差异"&amp;G69,""))," ","、")))</f>
        <v/>
      </c>
    </row>
    <row r="70" customFormat="false" ht="21.75" hidden="false" customHeight="true" outlineLevel="0" collapsed="false">
      <c r="A70" s="29" t="str">
        <f aca="false">IF(①出口报关!A67="","",①出口报关!A67)</f>
        <v/>
      </c>
      <c r="B70" s="29" t="str">
        <f aca="false">IF($A70="","",①出口报关!I67)</f>
        <v/>
      </c>
      <c r="C70" s="29" t="str">
        <f aca="false">IF($A70="","",①出口报关!J67)</f>
        <v/>
      </c>
      <c r="D70" s="30" t="str">
        <f aca="false">IF($A70="","",IF(①出口报关!D67="","",①出口报关!D67))</f>
        <v/>
      </c>
      <c r="E70" s="31" t="str">
        <f aca="false">IF($A70="","",N(①出口报关!L67))</f>
        <v/>
      </c>
      <c r="F70" s="31" t="str">
        <f aca="false">IF($A70="","",IF(①出口报关!Y67="","未签收",①出口报关!Y67))</f>
        <v/>
      </c>
      <c r="G70" s="32" t="str">
        <f aca="false">IF(OR($A70="",NOT(ISNUMBER(F70))),"",F70-E70)</f>
        <v/>
      </c>
      <c r="H70" s="31" t="str">
        <f aca="false">IF($A70="","",SUMIFS(②销售核销!$I$4:$I$603,②销售核销!$E$4:$E$603,$A70))</f>
        <v/>
      </c>
      <c r="I70" s="31" t="str">
        <f aca="false">IF($A70="","",SUMIFS(⑤库存异常!$E$4:$E$203,⑤库存异常!$B$4:$B$203,$A70))</f>
        <v/>
      </c>
      <c r="J70" s="31" t="str">
        <f aca="false">IF($A70="","",IF(ISNUMBER(F70),F70,E70)-H70-I70)</f>
        <v/>
      </c>
      <c r="K70" s="33" t="str">
        <f aca="false">IF(OR($A70="",N(E70)=0),"",H70/E70)</f>
        <v/>
      </c>
      <c r="L70" s="34" t="str">
        <f aca="false">IF($A70="","",SUMIFS(②销售核销!$L$4:$L$603,②销售核销!$E$4:$E$603,$A70))</f>
        <v/>
      </c>
      <c r="M70" s="34" t="str">
        <f aca="false">IF($A70="","",SUMIFS(②销售核销!$L$4:$L$603,②销售核销!$E$4:$E$603,$A70,②销售核销!$M$4:$M$603,"已收汇"))</f>
        <v/>
      </c>
      <c r="N70" s="30" t="str">
        <f aca="false">IF(ISNUMBER(D70),DATE(YEAR(D70)+1,4,30),"")</f>
        <v/>
      </c>
      <c r="O70" s="35" t="str">
        <f aca="true">IF($A70="","",IF(N(H70)=0,IF(AND(ISNUMBER(N70),TODAY()&gt;N70),"超过收汇期限仍未销售","尚未销售"),IF(ROUND(M70,2)&gt;=ROUND(L70,2),"已售部分已收汇",IF(AND(ISNUMBER(N70),TODAY()&gt;N70),"超期未收汇","有回款待收汇"))))</f>
        <v/>
      </c>
      <c r="P70" s="34" t="str">
        <f aca="false">IF($A70="","",SUMIFS(④退税核算!$H$4:$H$303,④退税核算!$A$4:$A$303,$A70))</f>
        <v/>
      </c>
      <c r="Q70" s="34" t="str">
        <f aca="false">IF($A70="","",SUMIFS(④退税核算!$H$4:$H$303,④退税核算!$A$4:$A$303,$A70,④退税核算!$D$4:$D$303,"未售-海外仓预退（HWC-YT）"))</f>
        <v/>
      </c>
      <c r="R70" s="30" t="str">
        <f aca="false">IF($A70="","",IF(COUNTIFS(④退税核算!$A$4:$A$303,$A70,④退税核算!$D$4:$D$303,"未售-海外仓预退（HWC-YT）",④退税核算!$I$4:$I$303,"&gt;0")=0,"",_xlfn.MINIFS(④退税核算!$J$4:$J$303,④退税核算!$A$4:$A$303,$A70,④退税核算!$D$4:$D$303,"未售-海外仓预退（HWC-YT）")))</f>
        <v/>
      </c>
      <c r="S70" s="35" t="str">
        <f aca="false">IF($A70="","",IF(COUNTIFS(④退税核算!$A$4:$A$303,$A70,④退税核算!$D$4:$D$303,"未售-海外仓预退（HWC-YT）")=0,"不涉及",IF(COUNTIFS(④退税核算!$A$4:$A$303,$A70,④退税核算!$S$4:$S$303,"已逾期*")&gt;0,"已逾期",IF(COUNTIFS(④退税核算!$A$4:$A$303,$A70,④退税核算!$S$4:$S$303,"临近*")&gt;0,"临近截止",IF(COUNTIFS(④退税核算!$A$4:$A$303,$A70,④退税核算!$S$4:$S$303,"待*")&gt;0,"待核算","已核算")))))</f>
        <v/>
      </c>
      <c r="T70" s="35" t="str">
        <f aca="false">IF($A70="","",IFERROR(INDEX(⑥单证留存!$P$4:$P$203,MATCH(①出口报关!B67,⑥单证留存!$A$4:$A$203,0)),"未登记"))</f>
        <v/>
      </c>
      <c r="U70" s="36" t="str">
        <f aca="false">IF($A70="","",IF(IF(OR(O70="超期未收汇",O70="超过收汇期限仍未销售")," 收汇超期","")&amp;IF(S70="已逾期"," 核算逾期","")&amp;IF(S70="临近截止"," 核算临近截止","")&amp;IF(LEFT(T70,1)="缺"," 单证"&amp;T70,"")&amp;IF(T70="未登记"," 单证未登记","")&amp;IF(AND(ISNUMBER(G70),N(G70)&lt;&gt;0)," 入仓差异"&amp;G70,"")="","正常",SUBSTITUTE(TRIM(IF(OR(O70="超期未收汇",O70="超过收汇期限仍未销售")," 收汇超期","")&amp;IF(S70="已逾期"," 核算逾期","")&amp;IF(S70="临近截止"," 核算临近截止","")&amp;IF(LEFT(T70,1)="缺"," 单证"&amp;T70,"")&amp;IF(T70="未登记"," 单证未登记","")&amp;IF(AND(ISNUMBER(G70),N(G70)&lt;&gt;0)," 入仓差异"&amp;G70,""))," ","、")))</f>
        <v/>
      </c>
    </row>
    <row r="71" customFormat="false" ht="21.75" hidden="false" customHeight="true" outlineLevel="0" collapsed="false">
      <c r="A71" s="29" t="str">
        <f aca="false">IF(①出口报关!A68="","",①出口报关!A68)</f>
        <v/>
      </c>
      <c r="B71" s="29" t="str">
        <f aca="false">IF($A71="","",①出口报关!I68)</f>
        <v/>
      </c>
      <c r="C71" s="29" t="str">
        <f aca="false">IF($A71="","",①出口报关!J68)</f>
        <v/>
      </c>
      <c r="D71" s="30" t="str">
        <f aca="false">IF($A71="","",IF(①出口报关!D68="","",①出口报关!D68))</f>
        <v/>
      </c>
      <c r="E71" s="31" t="str">
        <f aca="false">IF($A71="","",N(①出口报关!L68))</f>
        <v/>
      </c>
      <c r="F71" s="31" t="str">
        <f aca="false">IF($A71="","",IF(①出口报关!Y68="","未签收",①出口报关!Y68))</f>
        <v/>
      </c>
      <c r="G71" s="32" t="str">
        <f aca="false">IF(OR($A71="",NOT(ISNUMBER(F71))),"",F71-E71)</f>
        <v/>
      </c>
      <c r="H71" s="31" t="str">
        <f aca="false">IF($A71="","",SUMIFS(②销售核销!$I$4:$I$603,②销售核销!$E$4:$E$603,$A71))</f>
        <v/>
      </c>
      <c r="I71" s="31" t="str">
        <f aca="false">IF($A71="","",SUMIFS(⑤库存异常!$E$4:$E$203,⑤库存异常!$B$4:$B$203,$A71))</f>
        <v/>
      </c>
      <c r="J71" s="31" t="str">
        <f aca="false">IF($A71="","",IF(ISNUMBER(F71),F71,E71)-H71-I71)</f>
        <v/>
      </c>
      <c r="K71" s="33" t="str">
        <f aca="false">IF(OR($A71="",N(E71)=0),"",H71/E71)</f>
        <v/>
      </c>
      <c r="L71" s="34" t="str">
        <f aca="false">IF($A71="","",SUMIFS(②销售核销!$L$4:$L$603,②销售核销!$E$4:$E$603,$A71))</f>
        <v/>
      </c>
      <c r="M71" s="34" t="str">
        <f aca="false">IF($A71="","",SUMIFS(②销售核销!$L$4:$L$603,②销售核销!$E$4:$E$603,$A71,②销售核销!$M$4:$M$603,"已收汇"))</f>
        <v/>
      </c>
      <c r="N71" s="30" t="str">
        <f aca="false">IF(ISNUMBER(D71),DATE(YEAR(D71)+1,4,30),"")</f>
        <v/>
      </c>
      <c r="O71" s="35" t="str">
        <f aca="true">IF($A71="","",IF(N(H71)=0,IF(AND(ISNUMBER(N71),TODAY()&gt;N71),"超过收汇期限仍未销售","尚未销售"),IF(ROUND(M71,2)&gt;=ROUND(L71,2),"已售部分已收汇",IF(AND(ISNUMBER(N71),TODAY()&gt;N71),"超期未收汇","有回款待收汇"))))</f>
        <v/>
      </c>
      <c r="P71" s="34" t="str">
        <f aca="false">IF($A71="","",SUMIFS(④退税核算!$H$4:$H$303,④退税核算!$A$4:$A$303,$A71))</f>
        <v/>
      </c>
      <c r="Q71" s="34" t="str">
        <f aca="false">IF($A71="","",SUMIFS(④退税核算!$H$4:$H$303,④退税核算!$A$4:$A$303,$A71,④退税核算!$D$4:$D$303,"未售-海外仓预退（HWC-YT）"))</f>
        <v/>
      </c>
      <c r="R71" s="30" t="str">
        <f aca="false">IF($A71="","",IF(COUNTIFS(④退税核算!$A$4:$A$303,$A71,④退税核算!$D$4:$D$303,"未售-海外仓预退（HWC-YT）",④退税核算!$I$4:$I$303,"&gt;0")=0,"",_xlfn.MINIFS(④退税核算!$J$4:$J$303,④退税核算!$A$4:$A$303,$A71,④退税核算!$D$4:$D$303,"未售-海外仓预退（HWC-YT）")))</f>
        <v/>
      </c>
      <c r="S71" s="35" t="str">
        <f aca="false">IF($A71="","",IF(COUNTIFS(④退税核算!$A$4:$A$303,$A71,④退税核算!$D$4:$D$303,"未售-海外仓预退（HWC-YT）")=0,"不涉及",IF(COUNTIFS(④退税核算!$A$4:$A$303,$A71,④退税核算!$S$4:$S$303,"已逾期*")&gt;0,"已逾期",IF(COUNTIFS(④退税核算!$A$4:$A$303,$A71,④退税核算!$S$4:$S$303,"临近*")&gt;0,"临近截止",IF(COUNTIFS(④退税核算!$A$4:$A$303,$A71,④退税核算!$S$4:$S$303,"待*")&gt;0,"待核算","已核算")))))</f>
        <v/>
      </c>
      <c r="T71" s="35" t="str">
        <f aca="false">IF($A71="","",IFERROR(INDEX(⑥单证留存!$P$4:$P$203,MATCH(①出口报关!B68,⑥单证留存!$A$4:$A$203,0)),"未登记"))</f>
        <v/>
      </c>
      <c r="U71" s="36" t="str">
        <f aca="false">IF($A71="","",IF(IF(OR(O71="超期未收汇",O71="超过收汇期限仍未销售")," 收汇超期","")&amp;IF(S71="已逾期"," 核算逾期","")&amp;IF(S71="临近截止"," 核算临近截止","")&amp;IF(LEFT(T71,1)="缺"," 单证"&amp;T71,"")&amp;IF(T71="未登记"," 单证未登记","")&amp;IF(AND(ISNUMBER(G71),N(G71)&lt;&gt;0)," 入仓差异"&amp;G71,"")="","正常",SUBSTITUTE(TRIM(IF(OR(O71="超期未收汇",O71="超过收汇期限仍未销售")," 收汇超期","")&amp;IF(S71="已逾期"," 核算逾期","")&amp;IF(S71="临近截止"," 核算临近截止","")&amp;IF(LEFT(T71,1)="缺"," 单证"&amp;T71,"")&amp;IF(T71="未登记"," 单证未登记","")&amp;IF(AND(ISNUMBER(G71),N(G71)&lt;&gt;0)," 入仓差异"&amp;G71,""))," ","、")))</f>
        <v/>
      </c>
    </row>
    <row r="72" customFormat="false" ht="21.75" hidden="false" customHeight="true" outlineLevel="0" collapsed="false">
      <c r="A72" s="29" t="str">
        <f aca="false">IF(①出口报关!A69="","",①出口报关!A69)</f>
        <v/>
      </c>
      <c r="B72" s="29" t="str">
        <f aca="false">IF($A72="","",①出口报关!I69)</f>
        <v/>
      </c>
      <c r="C72" s="29" t="str">
        <f aca="false">IF($A72="","",①出口报关!J69)</f>
        <v/>
      </c>
      <c r="D72" s="30" t="str">
        <f aca="false">IF($A72="","",IF(①出口报关!D69="","",①出口报关!D69))</f>
        <v/>
      </c>
      <c r="E72" s="31" t="str">
        <f aca="false">IF($A72="","",N(①出口报关!L69))</f>
        <v/>
      </c>
      <c r="F72" s="31" t="str">
        <f aca="false">IF($A72="","",IF(①出口报关!Y69="","未签收",①出口报关!Y69))</f>
        <v/>
      </c>
      <c r="G72" s="32" t="str">
        <f aca="false">IF(OR($A72="",NOT(ISNUMBER(F72))),"",F72-E72)</f>
        <v/>
      </c>
      <c r="H72" s="31" t="str">
        <f aca="false">IF($A72="","",SUMIFS(②销售核销!$I$4:$I$603,②销售核销!$E$4:$E$603,$A72))</f>
        <v/>
      </c>
      <c r="I72" s="31" t="str">
        <f aca="false">IF($A72="","",SUMIFS(⑤库存异常!$E$4:$E$203,⑤库存异常!$B$4:$B$203,$A72))</f>
        <v/>
      </c>
      <c r="J72" s="31" t="str">
        <f aca="false">IF($A72="","",IF(ISNUMBER(F72),F72,E72)-H72-I72)</f>
        <v/>
      </c>
      <c r="K72" s="33" t="str">
        <f aca="false">IF(OR($A72="",N(E72)=0),"",H72/E72)</f>
        <v/>
      </c>
      <c r="L72" s="34" t="str">
        <f aca="false">IF($A72="","",SUMIFS(②销售核销!$L$4:$L$603,②销售核销!$E$4:$E$603,$A72))</f>
        <v/>
      </c>
      <c r="M72" s="34" t="str">
        <f aca="false">IF($A72="","",SUMIFS(②销售核销!$L$4:$L$603,②销售核销!$E$4:$E$603,$A72,②销售核销!$M$4:$M$603,"已收汇"))</f>
        <v/>
      </c>
      <c r="N72" s="30" t="str">
        <f aca="false">IF(ISNUMBER(D72),DATE(YEAR(D72)+1,4,30),"")</f>
        <v/>
      </c>
      <c r="O72" s="35" t="str">
        <f aca="true">IF($A72="","",IF(N(H72)=0,IF(AND(ISNUMBER(N72),TODAY()&gt;N72),"超过收汇期限仍未销售","尚未销售"),IF(ROUND(M72,2)&gt;=ROUND(L72,2),"已售部分已收汇",IF(AND(ISNUMBER(N72),TODAY()&gt;N72),"超期未收汇","有回款待收汇"))))</f>
        <v/>
      </c>
      <c r="P72" s="34" t="str">
        <f aca="false">IF($A72="","",SUMIFS(④退税核算!$H$4:$H$303,④退税核算!$A$4:$A$303,$A72))</f>
        <v/>
      </c>
      <c r="Q72" s="34" t="str">
        <f aca="false">IF($A72="","",SUMIFS(④退税核算!$H$4:$H$303,④退税核算!$A$4:$A$303,$A72,④退税核算!$D$4:$D$303,"未售-海外仓预退（HWC-YT）"))</f>
        <v/>
      </c>
      <c r="R72" s="30" t="str">
        <f aca="false">IF($A72="","",IF(COUNTIFS(④退税核算!$A$4:$A$303,$A72,④退税核算!$D$4:$D$303,"未售-海外仓预退（HWC-YT）",④退税核算!$I$4:$I$303,"&gt;0")=0,"",_xlfn.MINIFS(④退税核算!$J$4:$J$303,④退税核算!$A$4:$A$303,$A72,④退税核算!$D$4:$D$303,"未售-海外仓预退（HWC-YT）")))</f>
        <v/>
      </c>
      <c r="S72" s="35" t="str">
        <f aca="false">IF($A72="","",IF(COUNTIFS(④退税核算!$A$4:$A$303,$A72,④退税核算!$D$4:$D$303,"未售-海外仓预退（HWC-YT）")=0,"不涉及",IF(COUNTIFS(④退税核算!$A$4:$A$303,$A72,④退税核算!$S$4:$S$303,"已逾期*")&gt;0,"已逾期",IF(COUNTIFS(④退税核算!$A$4:$A$303,$A72,④退税核算!$S$4:$S$303,"临近*")&gt;0,"临近截止",IF(COUNTIFS(④退税核算!$A$4:$A$303,$A72,④退税核算!$S$4:$S$303,"待*")&gt;0,"待核算","已核算")))))</f>
        <v/>
      </c>
      <c r="T72" s="35" t="str">
        <f aca="false">IF($A72="","",IFERROR(INDEX(⑥单证留存!$P$4:$P$203,MATCH(①出口报关!B69,⑥单证留存!$A$4:$A$203,0)),"未登记"))</f>
        <v/>
      </c>
      <c r="U72" s="36" t="str">
        <f aca="false">IF($A72="","",IF(IF(OR(O72="超期未收汇",O72="超过收汇期限仍未销售")," 收汇超期","")&amp;IF(S72="已逾期"," 核算逾期","")&amp;IF(S72="临近截止"," 核算临近截止","")&amp;IF(LEFT(T72,1)="缺"," 单证"&amp;T72,"")&amp;IF(T72="未登记"," 单证未登记","")&amp;IF(AND(ISNUMBER(G72),N(G72)&lt;&gt;0)," 入仓差异"&amp;G72,"")="","正常",SUBSTITUTE(TRIM(IF(OR(O72="超期未收汇",O72="超过收汇期限仍未销售")," 收汇超期","")&amp;IF(S72="已逾期"," 核算逾期","")&amp;IF(S72="临近截止"," 核算临近截止","")&amp;IF(LEFT(T72,1)="缺"," 单证"&amp;T72,"")&amp;IF(T72="未登记"," 单证未登记","")&amp;IF(AND(ISNUMBER(G72),N(G72)&lt;&gt;0)," 入仓差异"&amp;G72,""))," ","、")))</f>
        <v/>
      </c>
    </row>
    <row r="73" customFormat="false" ht="21.75" hidden="false" customHeight="true" outlineLevel="0" collapsed="false">
      <c r="A73" s="29" t="str">
        <f aca="false">IF(①出口报关!A70="","",①出口报关!A70)</f>
        <v/>
      </c>
      <c r="B73" s="29" t="str">
        <f aca="false">IF($A73="","",①出口报关!I70)</f>
        <v/>
      </c>
      <c r="C73" s="29" t="str">
        <f aca="false">IF($A73="","",①出口报关!J70)</f>
        <v/>
      </c>
      <c r="D73" s="30" t="str">
        <f aca="false">IF($A73="","",IF(①出口报关!D70="","",①出口报关!D70))</f>
        <v/>
      </c>
      <c r="E73" s="31" t="str">
        <f aca="false">IF($A73="","",N(①出口报关!L70))</f>
        <v/>
      </c>
      <c r="F73" s="31" t="str">
        <f aca="false">IF($A73="","",IF(①出口报关!Y70="","未签收",①出口报关!Y70))</f>
        <v/>
      </c>
      <c r="G73" s="32" t="str">
        <f aca="false">IF(OR($A73="",NOT(ISNUMBER(F73))),"",F73-E73)</f>
        <v/>
      </c>
      <c r="H73" s="31" t="str">
        <f aca="false">IF($A73="","",SUMIFS(②销售核销!$I$4:$I$603,②销售核销!$E$4:$E$603,$A73))</f>
        <v/>
      </c>
      <c r="I73" s="31" t="str">
        <f aca="false">IF($A73="","",SUMIFS(⑤库存异常!$E$4:$E$203,⑤库存异常!$B$4:$B$203,$A73))</f>
        <v/>
      </c>
      <c r="J73" s="31" t="str">
        <f aca="false">IF($A73="","",IF(ISNUMBER(F73),F73,E73)-H73-I73)</f>
        <v/>
      </c>
      <c r="K73" s="33" t="str">
        <f aca="false">IF(OR($A73="",N(E73)=0),"",H73/E73)</f>
        <v/>
      </c>
      <c r="L73" s="34" t="str">
        <f aca="false">IF($A73="","",SUMIFS(②销售核销!$L$4:$L$603,②销售核销!$E$4:$E$603,$A73))</f>
        <v/>
      </c>
      <c r="M73" s="34" t="str">
        <f aca="false">IF($A73="","",SUMIFS(②销售核销!$L$4:$L$603,②销售核销!$E$4:$E$603,$A73,②销售核销!$M$4:$M$603,"已收汇"))</f>
        <v/>
      </c>
      <c r="N73" s="30" t="str">
        <f aca="false">IF(ISNUMBER(D73),DATE(YEAR(D73)+1,4,30),"")</f>
        <v/>
      </c>
      <c r="O73" s="35" t="str">
        <f aca="true">IF($A73="","",IF(N(H73)=0,IF(AND(ISNUMBER(N73),TODAY()&gt;N73),"超过收汇期限仍未销售","尚未销售"),IF(ROUND(M73,2)&gt;=ROUND(L73,2),"已售部分已收汇",IF(AND(ISNUMBER(N73),TODAY()&gt;N73),"超期未收汇","有回款待收汇"))))</f>
        <v/>
      </c>
      <c r="P73" s="34" t="str">
        <f aca="false">IF($A73="","",SUMIFS(④退税核算!$H$4:$H$303,④退税核算!$A$4:$A$303,$A73))</f>
        <v/>
      </c>
      <c r="Q73" s="34" t="str">
        <f aca="false">IF($A73="","",SUMIFS(④退税核算!$H$4:$H$303,④退税核算!$A$4:$A$303,$A73,④退税核算!$D$4:$D$303,"未售-海外仓预退（HWC-YT）"))</f>
        <v/>
      </c>
      <c r="R73" s="30" t="str">
        <f aca="false">IF($A73="","",IF(COUNTIFS(④退税核算!$A$4:$A$303,$A73,④退税核算!$D$4:$D$303,"未售-海外仓预退（HWC-YT）",④退税核算!$I$4:$I$303,"&gt;0")=0,"",_xlfn.MINIFS(④退税核算!$J$4:$J$303,④退税核算!$A$4:$A$303,$A73,④退税核算!$D$4:$D$303,"未售-海外仓预退（HWC-YT）")))</f>
        <v/>
      </c>
      <c r="S73" s="35" t="str">
        <f aca="false">IF($A73="","",IF(COUNTIFS(④退税核算!$A$4:$A$303,$A73,④退税核算!$D$4:$D$303,"未售-海外仓预退（HWC-YT）")=0,"不涉及",IF(COUNTIFS(④退税核算!$A$4:$A$303,$A73,④退税核算!$S$4:$S$303,"已逾期*")&gt;0,"已逾期",IF(COUNTIFS(④退税核算!$A$4:$A$303,$A73,④退税核算!$S$4:$S$303,"临近*")&gt;0,"临近截止",IF(COUNTIFS(④退税核算!$A$4:$A$303,$A73,④退税核算!$S$4:$S$303,"待*")&gt;0,"待核算","已核算")))))</f>
        <v/>
      </c>
      <c r="T73" s="35" t="str">
        <f aca="false">IF($A73="","",IFERROR(INDEX(⑥单证留存!$P$4:$P$203,MATCH(①出口报关!B70,⑥单证留存!$A$4:$A$203,0)),"未登记"))</f>
        <v/>
      </c>
      <c r="U73" s="36" t="str">
        <f aca="false">IF($A73="","",IF(IF(OR(O73="超期未收汇",O73="超过收汇期限仍未销售")," 收汇超期","")&amp;IF(S73="已逾期"," 核算逾期","")&amp;IF(S73="临近截止"," 核算临近截止","")&amp;IF(LEFT(T73,1)="缺"," 单证"&amp;T73,"")&amp;IF(T73="未登记"," 单证未登记","")&amp;IF(AND(ISNUMBER(G73),N(G73)&lt;&gt;0)," 入仓差异"&amp;G73,"")="","正常",SUBSTITUTE(TRIM(IF(OR(O73="超期未收汇",O73="超过收汇期限仍未销售")," 收汇超期","")&amp;IF(S73="已逾期"," 核算逾期","")&amp;IF(S73="临近截止"," 核算临近截止","")&amp;IF(LEFT(T73,1)="缺"," 单证"&amp;T73,"")&amp;IF(T73="未登记"," 单证未登记","")&amp;IF(AND(ISNUMBER(G73),N(G73)&lt;&gt;0)," 入仓差异"&amp;G73,""))," ","、")))</f>
        <v/>
      </c>
    </row>
    <row r="74" customFormat="false" ht="21.75" hidden="false" customHeight="true" outlineLevel="0" collapsed="false">
      <c r="A74" s="29" t="str">
        <f aca="false">IF(①出口报关!A71="","",①出口报关!A71)</f>
        <v/>
      </c>
      <c r="B74" s="29" t="str">
        <f aca="false">IF($A74="","",①出口报关!I71)</f>
        <v/>
      </c>
      <c r="C74" s="29" t="str">
        <f aca="false">IF($A74="","",①出口报关!J71)</f>
        <v/>
      </c>
      <c r="D74" s="30" t="str">
        <f aca="false">IF($A74="","",IF(①出口报关!D71="","",①出口报关!D71))</f>
        <v/>
      </c>
      <c r="E74" s="31" t="str">
        <f aca="false">IF($A74="","",N(①出口报关!L71))</f>
        <v/>
      </c>
      <c r="F74" s="31" t="str">
        <f aca="false">IF($A74="","",IF(①出口报关!Y71="","未签收",①出口报关!Y71))</f>
        <v/>
      </c>
      <c r="G74" s="32" t="str">
        <f aca="false">IF(OR($A74="",NOT(ISNUMBER(F74))),"",F74-E74)</f>
        <v/>
      </c>
      <c r="H74" s="31" t="str">
        <f aca="false">IF($A74="","",SUMIFS(②销售核销!$I$4:$I$603,②销售核销!$E$4:$E$603,$A74))</f>
        <v/>
      </c>
      <c r="I74" s="31" t="str">
        <f aca="false">IF($A74="","",SUMIFS(⑤库存异常!$E$4:$E$203,⑤库存异常!$B$4:$B$203,$A74))</f>
        <v/>
      </c>
      <c r="J74" s="31" t="str">
        <f aca="false">IF($A74="","",IF(ISNUMBER(F74),F74,E74)-H74-I74)</f>
        <v/>
      </c>
      <c r="K74" s="33" t="str">
        <f aca="false">IF(OR($A74="",N(E74)=0),"",H74/E74)</f>
        <v/>
      </c>
      <c r="L74" s="34" t="str">
        <f aca="false">IF($A74="","",SUMIFS(②销售核销!$L$4:$L$603,②销售核销!$E$4:$E$603,$A74))</f>
        <v/>
      </c>
      <c r="M74" s="34" t="str">
        <f aca="false">IF($A74="","",SUMIFS(②销售核销!$L$4:$L$603,②销售核销!$E$4:$E$603,$A74,②销售核销!$M$4:$M$603,"已收汇"))</f>
        <v/>
      </c>
      <c r="N74" s="30" t="str">
        <f aca="false">IF(ISNUMBER(D74),DATE(YEAR(D74)+1,4,30),"")</f>
        <v/>
      </c>
      <c r="O74" s="35" t="str">
        <f aca="true">IF($A74="","",IF(N(H74)=0,IF(AND(ISNUMBER(N74),TODAY()&gt;N74),"超过收汇期限仍未销售","尚未销售"),IF(ROUND(M74,2)&gt;=ROUND(L74,2),"已售部分已收汇",IF(AND(ISNUMBER(N74),TODAY()&gt;N74),"超期未收汇","有回款待收汇"))))</f>
        <v/>
      </c>
      <c r="P74" s="34" t="str">
        <f aca="false">IF($A74="","",SUMIFS(④退税核算!$H$4:$H$303,④退税核算!$A$4:$A$303,$A74))</f>
        <v/>
      </c>
      <c r="Q74" s="34" t="str">
        <f aca="false">IF($A74="","",SUMIFS(④退税核算!$H$4:$H$303,④退税核算!$A$4:$A$303,$A74,④退税核算!$D$4:$D$303,"未售-海外仓预退（HWC-YT）"))</f>
        <v/>
      </c>
      <c r="R74" s="30" t="str">
        <f aca="false">IF($A74="","",IF(COUNTIFS(④退税核算!$A$4:$A$303,$A74,④退税核算!$D$4:$D$303,"未售-海外仓预退（HWC-YT）",④退税核算!$I$4:$I$303,"&gt;0")=0,"",_xlfn.MINIFS(④退税核算!$J$4:$J$303,④退税核算!$A$4:$A$303,$A74,④退税核算!$D$4:$D$303,"未售-海外仓预退（HWC-YT）")))</f>
        <v/>
      </c>
      <c r="S74" s="35" t="str">
        <f aca="false">IF($A74="","",IF(COUNTIFS(④退税核算!$A$4:$A$303,$A74,④退税核算!$D$4:$D$303,"未售-海外仓预退（HWC-YT）")=0,"不涉及",IF(COUNTIFS(④退税核算!$A$4:$A$303,$A74,④退税核算!$S$4:$S$303,"已逾期*")&gt;0,"已逾期",IF(COUNTIFS(④退税核算!$A$4:$A$303,$A74,④退税核算!$S$4:$S$303,"临近*")&gt;0,"临近截止",IF(COUNTIFS(④退税核算!$A$4:$A$303,$A74,④退税核算!$S$4:$S$303,"待*")&gt;0,"待核算","已核算")))))</f>
        <v/>
      </c>
      <c r="T74" s="35" t="str">
        <f aca="false">IF($A74="","",IFERROR(INDEX(⑥单证留存!$P$4:$P$203,MATCH(①出口报关!B71,⑥单证留存!$A$4:$A$203,0)),"未登记"))</f>
        <v/>
      </c>
      <c r="U74" s="36" t="str">
        <f aca="false">IF($A74="","",IF(IF(OR(O74="超期未收汇",O74="超过收汇期限仍未销售")," 收汇超期","")&amp;IF(S74="已逾期"," 核算逾期","")&amp;IF(S74="临近截止"," 核算临近截止","")&amp;IF(LEFT(T74,1)="缺"," 单证"&amp;T74,"")&amp;IF(T74="未登记"," 单证未登记","")&amp;IF(AND(ISNUMBER(G74),N(G74)&lt;&gt;0)," 入仓差异"&amp;G74,"")="","正常",SUBSTITUTE(TRIM(IF(OR(O74="超期未收汇",O74="超过收汇期限仍未销售")," 收汇超期","")&amp;IF(S74="已逾期"," 核算逾期","")&amp;IF(S74="临近截止"," 核算临近截止","")&amp;IF(LEFT(T74,1)="缺"," 单证"&amp;T74,"")&amp;IF(T74="未登记"," 单证未登记","")&amp;IF(AND(ISNUMBER(G74),N(G74)&lt;&gt;0)," 入仓差异"&amp;G74,""))," ","、")))</f>
        <v/>
      </c>
    </row>
    <row r="75" customFormat="false" ht="21.75" hidden="false" customHeight="true" outlineLevel="0" collapsed="false">
      <c r="A75" s="29" t="str">
        <f aca="false">IF(①出口报关!A72="","",①出口报关!A72)</f>
        <v/>
      </c>
      <c r="B75" s="29" t="str">
        <f aca="false">IF($A75="","",①出口报关!I72)</f>
        <v/>
      </c>
      <c r="C75" s="29" t="str">
        <f aca="false">IF($A75="","",①出口报关!J72)</f>
        <v/>
      </c>
      <c r="D75" s="30" t="str">
        <f aca="false">IF($A75="","",IF(①出口报关!D72="","",①出口报关!D72))</f>
        <v/>
      </c>
      <c r="E75" s="31" t="str">
        <f aca="false">IF($A75="","",N(①出口报关!L72))</f>
        <v/>
      </c>
      <c r="F75" s="31" t="str">
        <f aca="false">IF($A75="","",IF(①出口报关!Y72="","未签收",①出口报关!Y72))</f>
        <v/>
      </c>
      <c r="G75" s="32" t="str">
        <f aca="false">IF(OR($A75="",NOT(ISNUMBER(F75))),"",F75-E75)</f>
        <v/>
      </c>
      <c r="H75" s="31" t="str">
        <f aca="false">IF($A75="","",SUMIFS(②销售核销!$I$4:$I$603,②销售核销!$E$4:$E$603,$A75))</f>
        <v/>
      </c>
      <c r="I75" s="31" t="str">
        <f aca="false">IF($A75="","",SUMIFS(⑤库存异常!$E$4:$E$203,⑤库存异常!$B$4:$B$203,$A75))</f>
        <v/>
      </c>
      <c r="J75" s="31" t="str">
        <f aca="false">IF($A75="","",IF(ISNUMBER(F75),F75,E75)-H75-I75)</f>
        <v/>
      </c>
      <c r="K75" s="33" t="str">
        <f aca="false">IF(OR($A75="",N(E75)=0),"",H75/E75)</f>
        <v/>
      </c>
      <c r="L75" s="34" t="str">
        <f aca="false">IF($A75="","",SUMIFS(②销售核销!$L$4:$L$603,②销售核销!$E$4:$E$603,$A75))</f>
        <v/>
      </c>
      <c r="M75" s="34" t="str">
        <f aca="false">IF($A75="","",SUMIFS(②销售核销!$L$4:$L$603,②销售核销!$E$4:$E$603,$A75,②销售核销!$M$4:$M$603,"已收汇"))</f>
        <v/>
      </c>
      <c r="N75" s="30" t="str">
        <f aca="false">IF(ISNUMBER(D75),DATE(YEAR(D75)+1,4,30),"")</f>
        <v/>
      </c>
      <c r="O75" s="35" t="str">
        <f aca="true">IF($A75="","",IF(N(H75)=0,IF(AND(ISNUMBER(N75),TODAY()&gt;N75),"超过收汇期限仍未销售","尚未销售"),IF(ROUND(M75,2)&gt;=ROUND(L75,2),"已售部分已收汇",IF(AND(ISNUMBER(N75),TODAY()&gt;N75),"超期未收汇","有回款待收汇"))))</f>
        <v/>
      </c>
      <c r="P75" s="34" t="str">
        <f aca="false">IF($A75="","",SUMIFS(④退税核算!$H$4:$H$303,④退税核算!$A$4:$A$303,$A75))</f>
        <v/>
      </c>
      <c r="Q75" s="34" t="str">
        <f aca="false">IF($A75="","",SUMIFS(④退税核算!$H$4:$H$303,④退税核算!$A$4:$A$303,$A75,④退税核算!$D$4:$D$303,"未售-海外仓预退（HWC-YT）"))</f>
        <v/>
      </c>
      <c r="R75" s="30" t="str">
        <f aca="false">IF($A75="","",IF(COUNTIFS(④退税核算!$A$4:$A$303,$A75,④退税核算!$D$4:$D$303,"未售-海外仓预退（HWC-YT）",④退税核算!$I$4:$I$303,"&gt;0")=0,"",_xlfn.MINIFS(④退税核算!$J$4:$J$303,④退税核算!$A$4:$A$303,$A75,④退税核算!$D$4:$D$303,"未售-海外仓预退（HWC-YT）")))</f>
        <v/>
      </c>
      <c r="S75" s="35" t="str">
        <f aca="false">IF($A75="","",IF(COUNTIFS(④退税核算!$A$4:$A$303,$A75,④退税核算!$D$4:$D$303,"未售-海外仓预退（HWC-YT）")=0,"不涉及",IF(COUNTIFS(④退税核算!$A$4:$A$303,$A75,④退税核算!$S$4:$S$303,"已逾期*")&gt;0,"已逾期",IF(COUNTIFS(④退税核算!$A$4:$A$303,$A75,④退税核算!$S$4:$S$303,"临近*")&gt;0,"临近截止",IF(COUNTIFS(④退税核算!$A$4:$A$303,$A75,④退税核算!$S$4:$S$303,"待*")&gt;0,"待核算","已核算")))))</f>
        <v/>
      </c>
      <c r="T75" s="35" t="str">
        <f aca="false">IF($A75="","",IFERROR(INDEX(⑥单证留存!$P$4:$P$203,MATCH(①出口报关!B72,⑥单证留存!$A$4:$A$203,0)),"未登记"))</f>
        <v/>
      </c>
      <c r="U75" s="36" t="str">
        <f aca="false">IF($A75="","",IF(IF(OR(O75="超期未收汇",O75="超过收汇期限仍未销售")," 收汇超期","")&amp;IF(S75="已逾期"," 核算逾期","")&amp;IF(S75="临近截止"," 核算临近截止","")&amp;IF(LEFT(T75,1)="缺"," 单证"&amp;T75,"")&amp;IF(T75="未登记"," 单证未登记","")&amp;IF(AND(ISNUMBER(G75),N(G75)&lt;&gt;0)," 入仓差异"&amp;G75,"")="","正常",SUBSTITUTE(TRIM(IF(OR(O75="超期未收汇",O75="超过收汇期限仍未销售")," 收汇超期","")&amp;IF(S75="已逾期"," 核算逾期","")&amp;IF(S75="临近截止"," 核算临近截止","")&amp;IF(LEFT(T75,1)="缺"," 单证"&amp;T75,"")&amp;IF(T75="未登记"," 单证未登记","")&amp;IF(AND(ISNUMBER(G75),N(G75)&lt;&gt;0)," 入仓差异"&amp;G75,""))," ","、")))</f>
        <v/>
      </c>
    </row>
    <row r="76" customFormat="false" ht="21.75" hidden="false" customHeight="true" outlineLevel="0" collapsed="false">
      <c r="A76" s="29" t="str">
        <f aca="false">IF(①出口报关!A73="","",①出口报关!A73)</f>
        <v/>
      </c>
      <c r="B76" s="29" t="str">
        <f aca="false">IF($A76="","",①出口报关!I73)</f>
        <v/>
      </c>
      <c r="C76" s="29" t="str">
        <f aca="false">IF($A76="","",①出口报关!J73)</f>
        <v/>
      </c>
      <c r="D76" s="30" t="str">
        <f aca="false">IF($A76="","",IF(①出口报关!D73="","",①出口报关!D73))</f>
        <v/>
      </c>
      <c r="E76" s="31" t="str">
        <f aca="false">IF($A76="","",N(①出口报关!L73))</f>
        <v/>
      </c>
      <c r="F76" s="31" t="str">
        <f aca="false">IF($A76="","",IF(①出口报关!Y73="","未签收",①出口报关!Y73))</f>
        <v/>
      </c>
      <c r="G76" s="32" t="str">
        <f aca="false">IF(OR($A76="",NOT(ISNUMBER(F76))),"",F76-E76)</f>
        <v/>
      </c>
      <c r="H76" s="31" t="str">
        <f aca="false">IF($A76="","",SUMIFS(②销售核销!$I$4:$I$603,②销售核销!$E$4:$E$603,$A76))</f>
        <v/>
      </c>
      <c r="I76" s="31" t="str">
        <f aca="false">IF($A76="","",SUMIFS(⑤库存异常!$E$4:$E$203,⑤库存异常!$B$4:$B$203,$A76))</f>
        <v/>
      </c>
      <c r="J76" s="31" t="str">
        <f aca="false">IF($A76="","",IF(ISNUMBER(F76),F76,E76)-H76-I76)</f>
        <v/>
      </c>
      <c r="K76" s="33" t="str">
        <f aca="false">IF(OR($A76="",N(E76)=0),"",H76/E76)</f>
        <v/>
      </c>
      <c r="L76" s="34" t="str">
        <f aca="false">IF($A76="","",SUMIFS(②销售核销!$L$4:$L$603,②销售核销!$E$4:$E$603,$A76))</f>
        <v/>
      </c>
      <c r="M76" s="34" t="str">
        <f aca="false">IF($A76="","",SUMIFS(②销售核销!$L$4:$L$603,②销售核销!$E$4:$E$603,$A76,②销售核销!$M$4:$M$603,"已收汇"))</f>
        <v/>
      </c>
      <c r="N76" s="30" t="str">
        <f aca="false">IF(ISNUMBER(D76),DATE(YEAR(D76)+1,4,30),"")</f>
        <v/>
      </c>
      <c r="O76" s="35" t="str">
        <f aca="true">IF($A76="","",IF(N(H76)=0,IF(AND(ISNUMBER(N76),TODAY()&gt;N76),"超过收汇期限仍未销售","尚未销售"),IF(ROUND(M76,2)&gt;=ROUND(L76,2),"已售部分已收汇",IF(AND(ISNUMBER(N76),TODAY()&gt;N76),"超期未收汇","有回款待收汇"))))</f>
        <v/>
      </c>
      <c r="P76" s="34" t="str">
        <f aca="false">IF($A76="","",SUMIFS(④退税核算!$H$4:$H$303,④退税核算!$A$4:$A$303,$A76))</f>
        <v/>
      </c>
      <c r="Q76" s="34" t="str">
        <f aca="false">IF($A76="","",SUMIFS(④退税核算!$H$4:$H$303,④退税核算!$A$4:$A$303,$A76,④退税核算!$D$4:$D$303,"未售-海外仓预退（HWC-YT）"))</f>
        <v/>
      </c>
      <c r="R76" s="30" t="str">
        <f aca="false">IF($A76="","",IF(COUNTIFS(④退税核算!$A$4:$A$303,$A76,④退税核算!$D$4:$D$303,"未售-海外仓预退（HWC-YT）",④退税核算!$I$4:$I$303,"&gt;0")=0,"",_xlfn.MINIFS(④退税核算!$J$4:$J$303,④退税核算!$A$4:$A$303,$A76,④退税核算!$D$4:$D$303,"未售-海外仓预退（HWC-YT）")))</f>
        <v/>
      </c>
      <c r="S76" s="35" t="str">
        <f aca="false">IF($A76="","",IF(COUNTIFS(④退税核算!$A$4:$A$303,$A76,④退税核算!$D$4:$D$303,"未售-海外仓预退（HWC-YT）")=0,"不涉及",IF(COUNTIFS(④退税核算!$A$4:$A$303,$A76,④退税核算!$S$4:$S$303,"已逾期*")&gt;0,"已逾期",IF(COUNTIFS(④退税核算!$A$4:$A$303,$A76,④退税核算!$S$4:$S$303,"临近*")&gt;0,"临近截止",IF(COUNTIFS(④退税核算!$A$4:$A$303,$A76,④退税核算!$S$4:$S$303,"待*")&gt;0,"待核算","已核算")))))</f>
        <v/>
      </c>
      <c r="T76" s="35" t="str">
        <f aca="false">IF($A76="","",IFERROR(INDEX(⑥单证留存!$P$4:$P$203,MATCH(①出口报关!B73,⑥单证留存!$A$4:$A$203,0)),"未登记"))</f>
        <v/>
      </c>
      <c r="U76" s="36" t="str">
        <f aca="false">IF($A76="","",IF(IF(OR(O76="超期未收汇",O76="超过收汇期限仍未销售")," 收汇超期","")&amp;IF(S76="已逾期"," 核算逾期","")&amp;IF(S76="临近截止"," 核算临近截止","")&amp;IF(LEFT(T76,1)="缺"," 单证"&amp;T76,"")&amp;IF(T76="未登记"," 单证未登记","")&amp;IF(AND(ISNUMBER(G76),N(G76)&lt;&gt;0)," 入仓差异"&amp;G76,"")="","正常",SUBSTITUTE(TRIM(IF(OR(O76="超期未收汇",O76="超过收汇期限仍未销售")," 收汇超期","")&amp;IF(S76="已逾期"," 核算逾期","")&amp;IF(S76="临近截止"," 核算临近截止","")&amp;IF(LEFT(T76,1)="缺"," 单证"&amp;T76,"")&amp;IF(T76="未登记"," 单证未登记","")&amp;IF(AND(ISNUMBER(G76),N(G76)&lt;&gt;0)," 入仓差异"&amp;G76,""))," ","、")))</f>
        <v/>
      </c>
    </row>
    <row r="77" customFormat="false" ht="21.75" hidden="false" customHeight="true" outlineLevel="0" collapsed="false">
      <c r="A77" s="29" t="str">
        <f aca="false">IF(①出口报关!A74="","",①出口报关!A74)</f>
        <v/>
      </c>
      <c r="B77" s="29" t="str">
        <f aca="false">IF($A77="","",①出口报关!I74)</f>
        <v/>
      </c>
      <c r="C77" s="29" t="str">
        <f aca="false">IF($A77="","",①出口报关!J74)</f>
        <v/>
      </c>
      <c r="D77" s="30" t="str">
        <f aca="false">IF($A77="","",IF(①出口报关!D74="","",①出口报关!D74))</f>
        <v/>
      </c>
      <c r="E77" s="31" t="str">
        <f aca="false">IF($A77="","",N(①出口报关!L74))</f>
        <v/>
      </c>
      <c r="F77" s="31" t="str">
        <f aca="false">IF($A77="","",IF(①出口报关!Y74="","未签收",①出口报关!Y74))</f>
        <v/>
      </c>
      <c r="G77" s="32" t="str">
        <f aca="false">IF(OR($A77="",NOT(ISNUMBER(F77))),"",F77-E77)</f>
        <v/>
      </c>
      <c r="H77" s="31" t="str">
        <f aca="false">IF($A77="","",SUMIFS(②销售核销!$I$4:$I$603,②销售核销!$E$4:$E$603,$A77))</f>
        <v/>
      </c>
      <c r="I77" s="31" t="str">
        <f aca="false">IF($A77="","",SUMIFS(⑤库存异常!$E$4:$E$203,⑤库存异常!$B$4:$B$203,$A77))</f>
        <v/>
      </c>
      <c r="J77" s="31" t="str">
        <f aca="false">IF($A77="","",IF(ISNUMBER(F77),F77,E77)-H77-I77)</f>
        <v/>
      </c>
      <c r="K77" s="33" t="str">
        <f aca="false">IF(OR($A77="",N(E77)=0),"",H77/E77)</f>
        <v/>
      </c>
      <c r="L77" s="34" t="str">
        <f aca="false">IF($A77="","",SUMIFS(②销售核销!$L$4:$L$603,②销售核销!$E$4:$E$603,$A77))</f>
        <v/>
      </c>
      <c r="M77" s="34" t="str">
        <f aca="false">IF($A77="","",SUMIFS(②销售核销!$L$4:$L$603,②销售核销!$E$4:$E$603,$A77,②销售核销!$M$4:$M$603,"已收汇"))</f>
        <v/>
      </c>
      <c r="N77" s="30" t="str">
        <f aca="false">IF(ISNUMBER(D77),DATE(YEAR(D77)+1,4,30),"")</f>
        <v/>
      </c>
      <c r="O77" s="35" t="str">
        <f aca="true">IF($A77="","",IF(N(H77)=0,IF(AND(ISNUMBER(N77),TODAY()&gt;N77),"超过收汇期限仍未销售","尚未销售"),IF(ROUND(M77,2)&gt;=ROUND(L77,2),"已售部分已收汇",IF(AND(ISNUMBER(N77),TODAY()&gt;N77),"超期未收汇","有回款待收汇"))))</f>
        <v/>
      </c>
      <c r="P77" s="34" t="str">
        <f aca="false">IF($A77="","",SUMIFS(④退税核算!$H$4:$H$303,④退税核算!$A$4:$A$303,$A77))</f>
        <v/>
      </c>
      <c r="Q77" s="34" t="str">
        <f aca="false">IF($A77="","",SUMIFS(④退税核算!$H$4:$H$303,④退税核算!$A$4:$A$303,$A77,④退税核算!$D$4:$D$303,"未售-海外仓预退（HWC-YT）"))</f>
        <v/>
      </c>
      <c r="R77" s="30" t="str">
        <f aca="false">IF($A77="","",IF(COUNTIFS(④退税核算!$A$4:$A$303,$A77,④退税核算!$D$4:$D$303,"未售-海外仓预退（HWC-YT）",④退税核算!$I$4:$I$303,"&gt;0")=0,"",_xlfn.MINIFS(④退税核算!$J$4:$J$303,④退税核算!$A$4:$A$303,$A77,④退税核算!$D$4:$D$303,"未售-海外仓预退（HWC-YT）")))</f>
        <v/>
      </c>
      <c r="S77" s="35" t="str">
        <f aca="false">IF($A77="","",IF(COUNTIFS(④退税核算!$A$4:$A$303,$A77,④退税核算!$D$4:$D$303,"未售-海外仓预退（HWC-YT）")=0,"不涉及",IF(COUNTIFS(④退税核算!$A$4:$A$303,$A77,④退税核算!$S$4:$S$303,"已逾期*")&gt;0,"已逾期",IF(COUNTIFS(④退税核算!$A$4:$A$303,$A77,④退税核算!$S$4:$S$303,"临近*")&gt;0,"临近截止",IF(COUNTIFS(④退税核算!$A$4:$A$303,$A77,④退税核算!$S$4:$S$303,"待*")&gt;0,"待核算","已核算")))))</f>
        <v/>
      </c>
      <c r="T77" s="35" t="str">
        <f aca="false">IF($A77="","",IFERROR(INDEX(⑥单证留存!$P$4:$P$203,MATCH(①出口报关!B74,⑥单证留存!$A$4:$A$203,0)),"未登记"))</f>
        <v/>
      </c>
      <c r="U77" s="36" t="str">
        <f aca="false">IF($A77="","",IF(IF(OR(O77="超期未收汇",O77="超过收汇期限仍未销售")," 收汇超期","")&amp;IF(S77="已逾期"," 核算逾期","")&amp;IF(S77="临近截止"," 核算临近截止","")&amp;IF(LEFT(T77,1)="缺"," 单证"&amp;T77,"")&amp;IF(T77="未登记"," 单证未登记","")&amp;IF(AND(ISNUMBER(G77),N(G77)&lt;&gt;0)," 入仓差异"&amp;G77,"")="","正常",SUBSTITUTE(TRIM(IF(OR(O77="超期未收汇",O77="超过收汇期限仍未销售")," 收汇超期","")&amp;IF(S77="已逾期"," 核算逾期","")&amp;IF(S77="临近截止"," 核算临近截止","")&amp;IF(LEFT(T77,1)="缺"," 单证"&amp;T77,"")&amp;IF(T77="未登记"," 单证未登记","")&amp;IF(AND(ISNUMBER(G77),N(G77)&lt;&gt;0)," 入仓差异"&amp;G77,""))," ","、")))</f>
        <v/>
      </c>
    </row>
    <row r="78" customFormat="false" ht="21.75" hidden="false" customHeight="true" outlineLevel="0" collapsed="false">
      <c r="A78" s="29" t="str">
        <f aca="false">IF(①出口报关!A75="","",①出口报关!A75)</f>
        <v/>
      </c>
      <c r="B78" s="29" t="str">
        <f aca="false">IF($A78="","",①出口报关!I75)</f>
        <v/>
      </c>
      <c r="C78" s="29" t="str">
        <f aca="false">IF($A78="","",①出口报关!J75)</f>
        <v/>
      </c>
      <c r="D78" s="30" t="str">
        <f aca="false">IF($A78="","",IF(①出口报关!D75="","",①出口报关!D75))</f>
        <v/>
      </c>
      <c r="E78" s="31" t="str">
        <f aca="false">IF($A78="","",N(①出口报关!L75))</f>
        <v/>
      </c>
      <c r="F78" s="31" t="str">
        <f aca="false">IF($A78="","",IF(①出口报关!Y75="","未签收",①出口报关!Y75))</f>
        <v/>
      </c>
      <c r="G78" s="32" t="str">
        <f aca="false">IF(OR($A78="",NOT(ISNUMBER(F78))),"",F78-E78)</f>
        <v/>
      </c>
      <c r="H78" s="31" t="str">
        <f aca="false">IF($A78="","",SUMIFS(②销售核销!$I$4:$I$603,②销售核销!$E$4:$E$603,$A78))</f>
        <v/>
      </c>
      <c r="I78" s="31" t="str">
        <f aca="false">IF($A78="","",SUMIFS(⑤库存异常!$E$4:$E$203,⑤库存异常!$B$4:$B$203,$A78))</f>
        <v/>
      </c>
      <c r="J78" s="31" t="str">
        <f aca="false">IF($A78="","",IF(ISNUMBER(F78),F78,E78)-H78-I78)</f>
        <v/>
      </c>
      <c r="K78" s="33" t="str">
        <f aca="false">IF(OR($A78="",N(E78)=0),"",H78/E78)</f>
        <v/>
      </c>
      <c r="L78" s="34" t="str">
        <f aca="false">IF($A78="","",SUMIFS(②销售核销!$L$4:$L$603,②销售核销!$E$4:$E$603,$A78))</f>
        <v/>
      </c>
      <c r="M78" s="34" t="str">
        <f aca="false">IF($A78="","",SUMIFS(②销售核销!$L$4:$L$603,②销售核销!$E$4:$E$603,$A78,②销售核销!$M$4:$M$603,"已收汇"))</f>
        <v/>
      </c>
      <c r="N78" s="30" t="str">
        <f aca="false">IF(ISNUMBER(D78),DATE(YEAR(D78)+1,4,30),"")</f>
        <v/>
      </c>
      <c r="O78" s="35" t="str">
        <f aca="true">IF($A78="","",IF(N(H78)=0,IF(AND(ISNUMBER(N78),TODAY()&gt;N78),"超过收汇期限仍未销售","尚未销售"),IF(ROUND(M78,2)&gt;=ROUND(L78,2),"已售部分已收汇",IF(AND(ISNUMBER(N78),TODAY()&gt;N78),"超期未收汇","有回款待收汇"))))</f>
        <v/>
      </c>
      <c r="P78" s="34" t="str">
        <f aca="false">IF($A78="","",SUMIFS(④退税核算!$H$4:$H$303,④退税核算!$A$4:$A$303,$A78))</f>
        <v/>
      </c>
      <c r="Q78" s="34" t="str">
        <f aca="false">IF($A78="","",SUMIFS(④退税核算!$H$4:$H$303,④退税核算!$A$4:$A$303,$A78,④退税核算!$D$4:$D$303,"未售-海外仓预退（HWC-YT）"))</f>
        <v/>
      </c>
      <c r="R78" s="30" t="str">
        <f aca="false">IF($A78="","",IF(COUNTIFS(④退税核算!$A$4:$A$303,$A78,④退税核算!$D$4:$D$303,"未售-海外仓预退（HWC-YT）",④退税核算!$I$4:$I$303,"&gt;0")=0,"",_xlfn.MINIFS(④退税核算!$J$4:$J$303,④退税核算!$A$4:$A$303,$A78,④退税核算!$D$4:$D$303,"未售-海外仓预退（HWC-YT）")))</f>
        <v/>
      </c>
      <c r="S78" s="35" t="str">
        <f aca="false">IF($A78="","",IF(COUNTIFS(④退税核算!$A$4:$A$303,$A78,④退税核算!$D$4:$D$303,"未售-海外仓预退（HWC-YT）")=0,"不涉及",IF(COUNTIFS(④退税核算!$A$4:$A$303,$A78,④退税核算!$S$4:$S$303,"已逾期*")&gt;0,"已逾期",IF(COUNTIFS(④退税核算!$A$4:$A$303,$A78,④退税核算!$S$4:$S$303,"临近*")&gt;0,"临近截止",IF(COUNTIFS(④退税核算!$A$4:$A$303,$A78,④退税核算!$S$4:$S$303,"待*")&gt;0,"待核算","已核算")))))</f>
        <v/>
      </c>
      <c r="T78" s="35" t="str">
        <f aca="false">IF($A78="","",IFERROR(INDEX(⑥单证留存!$P$4:$P$203,MATCH(①出口报关!B75,⑥单证留存!$A$4:$A$203,0)),"未登记"))</f>
        <v/>
      </c>
      <c r="U78" s="36" t="str">
        <f aca="false">IF($A78="","",IF(IF(OR(O78="超期未收汇",O78="超过收汇期限仍未销售")," 收汇超期","")&amp;IF(S78="已逾期"," 核算逾期","")&amp;IF(S78="临近截止"," 核算临近截止","")&amp;IF(LEFT(T78,1)="缺"," 单证"&amp;T78,"")&amp;IF(T78="未登记"," 单证未登记","")&amp;IF(AND(ISNUMBER(G78),N(G78)&lt;&gt;0)," 入仓差异"&amp;G78,"")="","正常",SUBSTITUTE(TRIM(IF(OR(O78="超期未收汇",O78="超过收汇期限仍未销售")," 收汇超期","")&amp;IF(S78="已逾期"," 核算逾期","")&amp;IF(S78="临近截止"," 核算临近截止","")&amp;IF(LEFT(T78,1)="缺"," 单证"&amp;T78,"")&amp;IF(T78="未登记"," 单证未登记","")&amp;IF(AND(ISNUMBER(G78),N(G78)&lt;&gt;0)," 入仓差异"&amp;G78,""))," ","、")))</f>
        <v/>
      </c>
    </row>
    <row r="79" customFormat="false" ht="21.75" hidden="false" customHeight="true" outlineLevel="0" collapsed="false">
      <c r="A79" s="29" t="str">
        <f aca="false">IF(①出口报关!A76="","",①出口报关!A76)</f>
        <v/>
      </c>
      <c r="B79" s="29" t="str">
        <f aca="false">IF($A79="","",①出口报关!I76)</f>
        <v/>
      </c>
      <c r="C79" s="29" t="str">
        <f aca="false">IF($A79="","",①出口报关!J76)</f>
        <v/>
      </c>
      <c r="D79" s="30" t="str">
        <f aca="false">IF($A79="","",IF(①出口报关!D76="","",①出口报关!D76))</f>
        <v/>
      </c>
      <c r="E79" s="31" t="str">
        <f aca="false">IF($A79="","",N(①出口报关!L76))</f>
        <v/>
      </c>
      <c r="F79" s="31" t="str">
        <f aca="false">IF($A79="","",IF(①出口报关!Y76="","未签收",①出口报关!Y76))</f>
        <v/>
      </c>
      <c r="G79" s="32" t="str">
        <f aca="false">IF(OR($A79="",NOT(ISNUMBER(F79))),"",F79-E79)</f>
        <v/>
      </c>
      <c r="H79" s="31" t="str">
        <f aca="false">IF($A79="","",SUMIFS(②销售核销!$I$4:$I$603,②销售核销!$E$4:$E$603,$A79))</f>
        <v/>
      </c>
      <c r="I79" s="31" t="str">
        <f aca="false">IF($A79="","",SUMIFS(⑤库存异常!$E$4:$E$203,⑤库存异常!$B$4:$B$203,$A79))</f>
        <v/>
      </c>
      <c r="J79" s="31" t="str">
        <f aca="false">IF($A79="","",IF(ISNUMBER(F79),F79,E79)-H79-I79)</f>
        <v/>
      </c>
      <c r="K79" s="33" t="str">
        <f aca="false">IF(OR($A79="",N(E79)=0),"",H79/E79)</f>
        <v/>
      </c>
      <c r="L79" s="34" t="str">
        <f aca="false">IF($A79="","",SUMIFS(②销售核销!$L$4:$L$603,②销售核销!$E$4:$E$603,$A79))</f>
        <v/>
      </c>
      <c r="M79" s="34" t="str">
        <f aca="false">IF($A79="","",SUMIFS(②销售核销!$L$4:$L$603,②销售核销!$E$4:$E$603,$A79,②销售核销!$M$4:$M$603,"已收汇"))</f>
        <v/>
      </c>
      <c r="N79" s="30" t="str">
        <f aca="false">IF(ISNUMBER(D79),DATE(YEAR(D79)+1,4,30),"")</f>
        <v/>
      </c>
      <c r="O79" s="35" t="str">
        <f aca="true">IF($A79="","",IF(N(H79)=0,IF(AND(ISNUMBER(N79),TODAY()&gt;N79),"超过收汇期限仍未销售","尚未销售"),IF(ROUND(M79,2)&gt;=ROUND(L79,2),"已售部分已收汇",IF(AND(ISNUMBER(N79),TODAY()&gt;N79),"超期未收汇","有回款待收汇"))))</f>
        <v/>
      </c>
      <c r="P79" s="34" t="str">
        <f aca="false">IF($A79="","",SUMIFS(④退税核算!$H$4:$H$303,④退税核算!$A$4:$A$303,$A79))</f>
        <v/>
      </c>
      <c r="Q79" s="34" t="str">
        <f aca="false">IF($A79="","",SUMIFS(④退税核算!$H$4:$H$303,④退税核算!$A$4:$A$303,$A79,④退税核算!$D$4:$D$303,"未售-海外仓预退（HWC-YT）"))</f>
        <v/>
      </c>
      <c r="R79" s="30" t="str">
        <f aca="false">IF($A79="","",IF(COUNTIFS(④退税核算!$A$4:$A$303,$A79,④退税核算!$D$4:$D$303,"未售-海外仓预退（HWC-YT）",④退税核算!$I$4:$I$303,"&gt;0")=0,"",_xlfn.MINIFS(④退税核算!$J$4:$J$303,④退税核算!$A$4:$A$303,$A79,④退税核算!$D$4:$D$303,"未售-海外仓预退（HWC-YT）")))</f>
        <v/>
      </c>
      <c r="S79" s="35" t="str">
        <f aca="false">IF($A79="","",IF(COUNTIFS(④退税核算!$A$4:$A$303,$A79,④退税核算!$D$4:$D$303,"未售-海外仓预退（HWC-YT）")=0,"不涉及",IF(COUNTIFS(④退税核算!$A$4:$A$303,$A79,④退税核算!$S$4:$S$303,"已逾期*")&gt;0,"已逾期",IF(COUNTIFS(④退税核算!$A$4:$A$303,$A79,④退税核算!$S$4:$S$303,"临近*")&gt;0,"临近截止",IF(COUNTIFS(④退税核算!$A$4:$A$303,$A79,④退税核算!$S$4:$S$303,"待*")&gt;0,"待核算","已核算")))))</f>
        <v/>
      </c>
      <c r="T79" s="35" t="str">
        <f aca="false">IF($A79="","",IFERROR(INDEX(⑥单证留存!$P$4:$P$203,MATCH(①出口报关!B76,⑥单证留存!$A$4:$A$203,0)),"未登记"))</f>
        <v/>
      </c>
      <c r="U79" s="36" t="str">
        <f aca="false">IF($A79="","",IF(IF(OR(O79="超期未收汇",O79="超过收汇期限仍未销售")," 收汇超期","")&amp;IF(S79="已逾期"," 核算逾期","")&amp;IF(S79="临近截止"," 核算临近截止","")&amp;IF(LEFT(T79,1)="缺"," 单证"&amp;T79,"")&amp;IF(T79="未登记"," 单证未登记","")&amp;IF(AND(ISNUMBER(G79),N(G79)&lt;&gt;0)," 入仓差异"&amp;G79,"")="","正常",SUBSTITUTE(TRIM(IF(OR(O79="超期未收汇",O79="超过收汇期限仍未销售")," 收汇超期","")&amp;IF(S79="已逾期"," 核算逾期","")&amp;IF(S79="临近截止"," 核算临近截止","")&amp;IF(LEFT(T79,1)="缺"," 单证"&amp;T79,"")&amp;IF(T79="未登记"," 单证未登记","")&amp;IF(AND(ISNUMBER(G79),N(G79)&lt;&gt;0)," 入仓差异"&amp;G79,""))," ","、")))</f>
        <v/>
      </c>
    </row>
    <row r="80" customFormat="false" ht="21.75" hidden="false" customHeight="true" outlineLevel="0" collapsed="false">
      <c r="A80" s="29" t="str">
        <f aca="false">IF(①出口报关!A77="","",①出口报关!A77)</f>
        <v/>
      </c>
      <c r="B80" s="29" t="str">
        <f aca="false">IF($A80="","",①出口报关!I77)</f>
        <v/>
      </c>
      <c r="C80" s="29" t="str">
        <f aca="false">IF($A80="","",①出口报关!J77)</f>
        <v/>
      </c>
      <c r="D80" s="30" t="str">
        <f aca="false">IF($A80="","",IF(①出口报关!D77="","",①出口报关!D77))</f>
        <v/>
      </c>
      <c r="E80" s="31" t="str">
        <f aca="false">IF($A80="","",N(①出口报关!L77))</f>
        <v/>
      </c>
      <c r="F80" s="31" t="str">
        <f aca="false">IF($A80="","",IF(①出口报关!Y77="","未签收",①出口报关!Y77))</f>
        <v/>
      </c>
      <c r="G80" s="32" t="str">
        <f aca="false">IF(OR($A80="",NOT(ISNUMBER(F80))),"",F80-E80)</f>
        <v/>
      </c>
      <c r="H80" s="31" t="str">
        <f aca="false">IF($A80="","",SUMIFS(②销售核销!$I$4:$I$603,②销售核销!$E$4:$E$603,$A80))</f>
        <v/>
      </c>
      <c r="I80" s="31" t="str">
        <f aca="false">IF($A80="","",SUMIFS(⑤库存异常!$E$4:$E$203,⑤库存异常!$B$4:$B$203,$A80))</f>
        <v/>
      </c>
      <c r="J80" s="31" t="str">
        <f aca="false">IF($A80="","",IF(ISNUMBER(F80),F80,E80)-H80-I80)</f>
        <v/>
      </c>
      <c r="K80" s="33" t="str">
        <f aca="false">IF(OR($A80="",N(E80)=0),"",H80/E80)</f>
        <v/>
      </c>
      <c r="L80" s="34" t="str">
        <f aca="false">IF($A80="","",SUMIFS(②销售核销!$L$4:$L$603,②销售核销!$E$4:$E$603,$A80))</f>
        <v/>
      </c>
      <c r="M80" s="34" t="str">
        <f aca="false">IF($A80="","",SUMIFS(②销售核销!$L$4:$L$603,②销售核销!$E$4:$E$603,$A80,②销售核销!$M$4:$M$603,"已收汇"))</f>
        <v/>
      </c>
      <c r="N80" s="30" t="str">
        <f aca="false">IF(ISNUMBER(D80),DATE(YEAR(D80)+1,4,30),"")</f>
        <v/>
      </c>
      <c r="O80" s="35" t="str">
        <f aca="true">IF($A80="","",IF(N(H80)=0,IF(AND(ISNUMBER(N80),TODAY()&gt;N80),"超过收汇期限仍未销售","尚未销售"),IF(ROUND(M80,2)&gt;=ROUND(L80,2),"已售部分已收汇",IF(AND(ISNUMBER(N80),TODAY()&gt;N80),"超期未收汇","有回款待收汇"))))</f>
        <v/>
      </c>
      <c r="P80" s="34" t="str">
        <f aca="false">IF($A80="","",SUMIFS(④退税核算!$H$4:$H$303,④退税核算!$A$4:$A$303,$A80))</f>
        <v/>
      </c>
      <c r="Q80" s="34" t="str">
        <f aca="false">IF($A80="","",SUMIFS(④退税核算!$H$4:$H$303,④退税核算!$A$4:$A$303,$A80,④退税核算!$D$4:$D$303,"未售-海外仓预退（HWC-YT）"))</f>
        <v/>
      </c>
      <c r="R80" s="30" t="str">
        <f aca="false">IF($A80="","",IF(COUNTIFS(④退税核算!$A$4:$A$303,$A80,④退税核算!$D$4:$D$303,"未售-海外仓预退（HWC-YT）",④退税核算!$I$4:$I$303,"&gt;0")=0,"",_xlfn.MINIFS(④退税核算!$J$4:$J$303,④退税核算!$A$4:$A$303,$A80,④退税核算!$D$4:$D$303,"未售-海外仓预退（HWC-YT）")))</f>
        <v/>
      </c>
      <c r="S80" s="35" t="str">
        <f aca="false">IF($A80="","",IF(COUNTIFS(④退税核算!$A$4:$A$303,$A80,④退税核算!$D$4:$D$303,"未售-海外仓预退（HWC-YT）")=0,"不涉及",IF(COUNTIFS(④退税核算!$A$4:$A$303,$A80,④退税核算!$S$4:$S$303,"已逾期*")&gt;0,"已逾期",IF(COUNTIFS(④退税核算!$A$4:$A$303,$A80,④退税核算!$S$4:$S$303,"临近*")&gt;0,"临近截止",IF(COUNTIFS(④退税核算!$A$4:$A$303,$A80,④退税核算!$S$4:$S$303,"待*")&gt;0,"待核算","已核算")))))</f>
        <v/>
      </c>
      <c r="T80" s="35" t="str">
        <f aca="false">IF($A80="","",IFERROR(INDEX(⑥单证留存!$P$4:$P$203,MATCH(①出口报关!B77,⑥单证留存!$A$4:$A$203,0)),"未登记"))</f>
        <v/>
      </c>
      <c r="U80" s="36" t="str">
        <f aca="false">IF($A80="","",IF(IF(OR(O80="超期未收汇",O80="超过收汇期限仍未销售")," 收汇超期","")&amp;IF(S80="已逾期"," 核算逾期","")&amp;IF(S80="临近截止"," 核算临近截止","")&amp;IF(LEFT(T80,1)="缺"," 单证"&amp;T80,"")&amp;IF(T80="未登记"," 单证未登记","")&amp;IF(AND(ISNUMBER(G80),N(G80)&lt;&gt;0)," 入仓差异"&amp;G80,"")="","正常",SUBSTITUTE(TRIM(IF(OR(O80="超期未收汇",O80="超过收汇期限仍未销售")," 收汇超期","")&amp;IF(S80="已逾期"," 核算逾期","")&amp;IF(S80="临近截止"," 核算临近截止","")&amp;IF(LEFT(T80,1)="缺"," 单证"&amp;T80,"")&amp;IF(T80="未登记"," 单证未登记","")&amp;IF(AND(ISNUMBER(G80),N(G80)&lt;&gt;0)," 入仓差异"&amp;G80,""))," ","、")))</f>
        <v/>
      </c>
    </row>
    <row r="81" customFormat="false" ht="21.75" hidden="false" customHeight="true" outlineLevel="0" collapsed="false">
      <c r="A81" s="29" t="str">
        <f aca="false">IF(①出口报关!A78="","",①出口报关!A78)</f>
        <v/>
      </c>
      <c r="B81" s="29" t="str">
        <f aca="false">IF($A81="","",①出口报关!I78)</f>
        <v/>
      </c>
      <c r="C81" s="29" t="str">
        <f aca="false">IF($A81="","",①出口报关!J78)</f>
        <v/>
      </c>
      <c r="D81" s="30" t="str">
        <f aca="false">IF($A81="","",IF(①出口报关!D78="","",①出口报关!D78))</f>
        <v/>
      </c>
      <c r="E81" s="31" t="str">
        <f aca="false">IF($A81="","",N(①出口报关!L78))</f>
        <v/>
      </c>
      <c r="F81" s="31" t="str">
        <f aca="false">IF($A81="","",IF(①出口报关!Y78="","未签收",①出口报关!Y78))</f>
        <v/>
      </c>
      <c r="G81" s="32" t="str">
        <f aca="false">IF(OR($A81="",NOT(ISNUMBER(F81))),"",F81-E81)</f>
        <v/>
      </c>
      <c r="H81" s="31" t="str">
        <f aca="false">IF($A81="","",SUMIFS(②销售核销!$I$4:$I$603,②销售核销!$E$4:$E$603,$A81))</f>
        <v/>
      </c>
      <c r="I81" s="31" t="str">
        <f aca="false">IF($A81="","",SUMIFS(⑤库存异常!$E$4:$E$203,⑤库存异常!$B$4:$B$203,$A81))</f>
        <v/>
      </c>
      <c r="J81" s="31" t="str">
        <f aca="false">IF($A81="","",IF(ISNUMBER(F81),F81,E81)-H81-I81)</f>
        <v/>
      </c>
      <c r="K81" s="33" t="str">
        <f aca="false">IF(OR($A81="",N(E81)=0),"",H81/E81)</f>
        <v/>
      </c>
      <c r="L81" s="34" t="str">
        <f aca="false">IF($A81="","",SUMIFS(②销售核销!$L$4:$L$603,②销售核销!$E$4:$E$603,$A81))</f>
        <v/>
      </c>
      <c r="M81" s="34" t="str">
        <f aca="false">IF($A81="","",SUMIFS(②销售核销!$L$4:$L$603,②销售核销!$E$4:$E$603,$A81,②销售核销!$M$4:$M$603,"已收汇"))</f>
        <v/>
      </c>
      <c r="N81" s="30" t="str">
        <f aca="false">IF(ISNUMBER(D81),DATE(YEAR(D81)+1,4,30),"")</f>
        <v/>
      </c>
      <c r="O81" s="35" t="str">
        <f aca="true">IF($A81="","",IF(N(H81)=0,IF(AND(ISNUMBER(N81),TODAY()&gt;N81),"超过收汇期限仍未销售","尚未销售"),IF(ROUND(M81,2)&gt;=ROUND(L81,2),"已售部分已收汇",IF(AND(ISNUMBER(N81),TODAY()&gt;N81),"超期未收汇","有回款待收汇"))))</f>
        <v/>
      </c>
      <c r="P81" s="34" t="str">
        <f aca="false">IF($A81="","",SUMIFS(④退税核算!$H$4:$H$303,④退税核算!$A$4:$A$303,$A81))</f>
        <v/>
      </c>
      <c r="Q81" s="34" t="str">
        <f aca="false">IF($A81="","",SUMIFS(④退税核算!$H$4:$H$303,④退税核算!$A$4:$A$303,$A81,④退税核算!$D$4:$D$303,"未售-海外仓预退（HWC-YT）"))</f>
        <v/>
      </c>
      <c r="R81" s="30" t="str">
        <f aca="false">IF($A81="","",IF(COUNTIFS(④退税核算!$A$4:$A$303,$A81,④退税核算!$D$4:$D$303,"未售-海外仓预退（HWC-YT）",④退税核算!$I$4:$I$303,"&gt;0")=0,"",_xlfn.MINIFS(④退税核算!$J$4:$J$303,④退税核算!$A$4:$A$303,$A81,④退税核算!$D$4:$D$303,"未售-海外仓预退（HWC-YT）")))</f>
        <v/>
      </c>
      <c r="S81" s="35" t="str">
        <f aca="false">IF($A81="","",IF(COUNTIFS(④退税核算!$A$4:$A$303,$A81,④退税核算!$D$4:$D$303,"未售-海外仓预退（HWC-YT）")=0,"不涉及",IF(COUNTIFS(④退税核算!$A$4:$A$303,$A81,④退税核算!$S$4:$S$303,"已逾期*")&gt;0,"已逾期",IF(COUNTIFS(④退税核算!$A$4:$A$303,$A81,④退税核算!$S$4:$S$303,"临近*")&gt;0,"临近截止",IF(COUNTIFS(④退税核算!$A$4:$A$303,$A81,④退税核算!$S$4:$S$303,"待*")&gt;0,"待核算","已核算")))))</f>
        <v/>
      </c>
      <c r="T81" s="35" t="str">
        <f aca="false">IF($A81="","",IFERROR(INDEX(⑥单证留存!$P$4:$P$203,MATCH(①出口报关!B78,⑥单证留存!$A$4:$A$203,0)),"未登记"))</f>
        <v/>
      </c>
      <c r="U81" s="36" t="str">
        <f aca="false">IF($A81="","",IF(IF(OR(O81="超期未收汇",O81="超过收汇期限仍未销售")," 收汇超期","")&amp;IF(S81="已逾期"," 核算逾期","")&amp;IF(S81="临近截止"," 核算临近截止","")&amp;IF(LEFT(T81,1)="缺"," 单证"&amp;T81,"")&amp;IF(T81="未登记"," 单证未登记","")&amp;IF(AND(ISNUMBER(G81),N(G81)&lt;&gt;0)," 入仓差异"&amp;G81,"")="","正常",SUBSTITUTE(TRIM(IF(OR(O81="超期未收汇",O81="超过收汇期限仍未销售")," 收汇超期","")&amp;IF(S81="已逾期"," 核算逾期","")&amp;IF(S81="临近截止"," 核算临近截止","")&amp;IF(LEFT(T81,1)="缺"," 单证"&amp;T81,"")&amp;IF(T81="未登记"," 单证未登记","")&amp;IF(AND(ISNUMBER(G81),N(G81)&lt;&gt;0)," 入仓差异"&amp;G81,""))," ","、")))</f>
        <v/>
      </c>
    </row>
    <row r="82" customFormat="false" ht="21.75" hidden="false" customHeight="true" outlineLevel="0" collapsed="false">
      <c r="A82" s="29" t="str">
        <f aca="false">IF(①出口报关!A79="","",①出口报关!A79)</f>
        <v/>
      </c>
      <c r="B82" s="29" t="str">
        <f aca="false">IF($A82="","",①出口报关!I79)</f>
        <v/>
      </c>
      <c r="C82" s="29" t="str">
        <f aca="false">IF($A82="","",①出口报关!J79)</f>
        <v/>
      </c>
      <c r="D82" s="30" t="str">
        <f aca="false">IF($A82="","",IF(①出口报关!D79="","",①出口报关!D79))</f>
        <v/>
      </c>
      <c r="E82" s="31" t="str">
        <f aca="false">IF($A82="","",N(①出口报关!L79))</f>
        <v/>
      </c>
      <c r="F82" s="31" t="str">
        <f aca="false">IF($A82="","",IF(①出口报关!Y79="","未签收",①出口报关!Y79))</f>
        <v/>
      </c>
      <c r="G82" s="32" t="str">
        <f aca="false">IF(OR($A82="",NOT(ISNUMBER(F82))),"",F82-E82)</f>
        <v/>
      </c>
      <c r="H82" s="31" t="str">
        <f aca="false">IF($A82="","",SUMIFS(②销售核销!$I$4:$I$603,②销售核销!$E$4:$E$603,$A82))</f>
        <v/>
      </c>
      <c r="I82" s="31" t="str">
        <f aca="false">IF($A82="","",SUMIFS(⑤库存异常!$E$4:$E$203,⑤库存异常!$B$4:$B$203,$A82))</f>
        <v/>
      </c>
      <c r="J82" s="31" t="str">
        <f aca="false">IF($A82="","",IF(ISNUMBER(F82),F82,E82)-H82-I82)</f>
        <v/>
      </c>
      <c r="K82" s="33" t="str">
        <f aca="false">IF(OR($A82="",N(E82)=0),"",H82/E82)</f>
        <v/>
      </c>
      <c r="L82" s="34" t="str">
        <f aca="false">IF($A82="","",SUMIFS(②销售核销!$L$4:$L$603,②销售核销!$E$4:$E$603,$A82))</f>
        <v/>
      </c>
      <c r="M82" s="34" t="str">
        <f aca="false">IF($A82="","",SUMIFS(②销售核销!$L$4:$L$603,②销售核销!$E$4:$E$603,$A82,②销售核销!$M$4:$M$603,"已收汇"))</f>
        <v/>
      </c>
      <c r="N82" s="30" t="str">
        <f aca="false">IF(ISNUMBER(D82),DATE(YEAR(D82)+1,4,30),"")</f>
        <v/>
      </c>
      <c r="O82" s="35" t="str">
        <f aca="true">IF($A82="","",IF(N(H82)=0,IF(AND(ISNUMBER(N82),TODAY()&gt;N82),"超过收汇期限仍未销售","尚未销售"),IF(ROUND(M82,2)&gt;=ROUND(L82,2),"已售部分已收汇",IF(AND(ISNUMBER(N82),TODAY()&gt;N82),"超期未收汇","有回款待收汇"))))</f>
        <v/>
      </c>
      <c r="P82" s="34" t="str">
        <f aca="false">IF($A82="","",SUMIFS(④退税核算!$H$4:$H$303,④退税核算!$A$4:$A$303,$A82))</f>
        <v/>
      </c>
      <c r="Q82" s="34" t="str">
        <f aca="false">IF($A82="","",SUMIFS(④退税核算!$H$4:$H$303,④退税核算!$A$4:$A$303,$A82,④退税核算!$D$4:$D$303,"未售-海外仓预退（HWC-YT）"))</f>
        <v/>
      </c>
      <c r="R82" s="30" t="str">
        <f aca="false">IF($A82="","",IF(COUNTIFS(④退税核算!$A$4:$A$303,$A82,④退税核算!$D$4:$D$303,"未售-海外仓预退（HWC-YT）",④退税核算!$I$4:$I$303,"&gt;0")=0,"",_xlfn.MINIFS(④退税核算!$J$4:$J$303,④退税核算!$A$4:$A$303,$A82,④退税核算!$D$4:$D$303,"未售-海外仓预退（HWC-YT）")))</f>
        <v/>
      </c>
      <c r="S82" s="35" t="str">
        <f aca="false">IF($A82="","",IF(COUNTIFS(④退税核算!$A$4:$A$303,$A82,④退税核算!$D$4:$D$303,"未售-海外仓预退（HWC-YT）")=0,"不涉及",IF(COUNTIFS(④退税核算!$A$4:$A$303,$A82,④退税核算!$S$4:$S$303,"已逾期*")&gt;0,"已逾期",IF(COUNTIFS(④退税核算!$A$4:$A$303,$A82,④退税核算!$S$4:$S$303,"临近*")&gt;0,"临近截止",IF(COUNTIFS(④退税核算!$A$4:$A$303,$A82,④退税核算!$S$4:$S$303,"待*")&gt;0,"待核算","已核算")))))</f>
        <v/>
      </c>
      <c r="T82" s="35" t="str">
        <f aca="false">IF($A82="","",IFERROR(INDEX(⑥单证留存!$P$4:$P$203,MATCH(①出口报关!B79,⑥单证留存!$A$4:$A$203,0)),"未登记"))</f>
        <v/>
      </c>
      <c r="U82" s="36" t="str">
        <f aca="false">IF($A82="","",IF(IF(OR(O82="超期未收汇",O82="超过收汇期限仍未销售")," 收汇超期","")&amp;IF(S82="已逾期"," 核算逾期","")&amp;IF(S82="临近截止"," 核算临近截止","")&amp;IF(LEFT(T82,1)="缺"," 单证"&amp;T82,"")&amp;IF(T82="未登记"," 单证未登记","")&amp;IF(AND(ISNUMBER(G82),N(G82)&lt;&gt;0)," 入仓差异"&amp;G82,"")="","正常",SUBSTITUTE(TRIM(IF(OR(O82="超期未收汇",O82="超过收汇期限仍未销售")," 收汇超期","")&amp;IF(S82="已逾期"," 核算逾期","")&amp;IF(S82="临近截止"," 核算临近截止","")&amp;IF(LEFT(T82,1)="缺"," 单证"&amp;T82,"")&amp;IF(T82="未登记"," 单证未登记","")&amp;IF(AND(ISNUMBER(G82),N(G82)&lt;&gt;0)," 入仓差异"&amp;G82,""))," ","、")))</f>
        <v/>
      </c>
    </row>
    <row r="83" customFormat="false" ht="21.75" hidden="false" customHeight="true" outlineLevel="0" collapsed="false">
      <c r="A83" s="29" t="str">
        <f aca="false">IF(①出口报关!A80="","",①出口报关!A80)</f>
        <v/>
      </c>
      <c r="B83" s="29" t="str">
        <f aca="false">IF($A83="","",①出口报关!I80)</f>
        <v/>
      </c>
      <c r="C83" s="29" t="str">
        <f aca="false">IF($A83="","",①出口报关!J80)</f>
        <v/>
      </c>
      <c r="D83" s="30" t="str">
        <f aca="false">IF($A83="","",IF(①出口报关!D80="","",①出口报关!D80))</f>
        <v/>
      </c>
      <c r="E83" s="31" t="str">
        <f aca="false">IF($A83="","",N(①出口报关!L80))</f>
        <v/>
      </c>
      <c r="F83" s="31" t="str">
        <f aca="false">IF($A83="","",IF(①出口报关!Y80="","未签收",①出口报关!Y80))</f>
        <v/>
      </c>
      <c r="G83" s="32" t="str">
        <f aca="false">IF(OR($A83="",NOT(ISNUMBER(F83))),"",F83-E83)</f>
        <v/>
      </c>
      <c r="H83" s="31" t="str">
        <f aca="false">IF($A83="","",SUMIFS(②销售核销!$I$4:$I$603,②销售核销!$E$4:$E$603,$A83))</f>
        <v/>
      </c>
      <c r="I83" s="31" t="str">
        <f aca="false">IF($A83="","",SUMIFS(⑤库存异常!$E$4:$E$203,⑤库存异常!$B$4:$B$203,$A83))</f>
        <v/>
      </c>
      <c r="J83" s="31" t="str">
        <f aca="false">IF($A83="","",IF(ISNUMBER(F83),F83,E83)-H83-I83)</f>
        <v/>
      </c>
      <c r="K83" s="33" t="str">
        <f aca="false">IF(OR($A83="",N(E83)=0),"",H83/E83)</f>
        <v/>
      </c>
      <c r="L83" s="34" t="str">
        <f aca="false">IF($A83="","",SUMIFS(②销售核销!$L$4:$L$603,②销售核销!$E$4:$E$603,$A83))</f>
        <v/>
      </c>
      <c r="M83" s="34" t="str">
        <f aca="false">IF($A83="","",SUMIFS(②销售核销!$L$4:$L$603,②销售核销!$E$4:$E$603,$A83,②销售核销!$M$4:$M$603,"已收汇"))</f>
        <v/>
      </c>
      <c r="N83" s="30" t="str">
        <f aca="false">IF(ISNUMBER(D83),DATE(YEAR(D83)+1,4,30),"")</f>
        <v/>
      </c>
      <c r="O83" s="35" t="str">
        <f aca="true">IF($A83="","",IF(N(H83)=0,IF(AND(ISNUMBER(N83),TODAY()&gt;N83),"超过收汇期限仍未销售","尚未销售"),IF(ROUND(M83,2)&gt;=ROUND(L83,2),"已售部分已收汇",IF(AND(ISNUMBER(N83),TODAY()&gt;N83),"超期未收汇","有回款待收汇"))))</f>
        <v/>
      </c>
      <c r="P83" s="34" t="str">
        <f aca="false">IF($A83="","",SUMIFS(④退税核算!$H$4:$H$303,④退税核算!$A$4:$A$303,$A83))</f>
        <v/>
      </c>
      <c r="Q83" s="34" t="str">
        <f aca="false">IF($A83="","",SUMIFS(④退税核算!$H$4:$H$303,④退税核算!$A$4:$A$303,$A83,④退税核算!$D$4:$D$303,"未售-海外仓预退（HWC-YT）"))</f>
        <v/>
      </c>
      <c r="R83" s="30" t="str">
        <f aca="false">IF($A83="","",IF(COUNTIFS(④退税核算!$A$4:$A$303,$A83,④退税核算!$D$4:$D$303,"未售-海外仓预退（HWC-YT）",④退税核算!$I$4:$I$303,"&gt;0")=0,"",_xlfn.MINIFS(④退税核算!$J$4:$J$303,④退税核算!$A$4:$A$303,$A83,④退税核算!$D$4:$D$303,"未售-海外仓预退（HWC-YT）")))</f>
        <v/>
      </c>
      <c r="S83" s="35" t="str">
        <f aca="false">IF($A83="","",IF(COUNTIFS(④退税核算!$A$4:$A$303,$A83,④退税核算!$D$4:$D$303,"未售-海外仓预退（HWC-YT）")=0,"不涉及",IF(COUNTIFS(④退税核算!$A$4:$A$303,$A83,④退税核算!$S$4:$S$303,"已逾期*")&gt;0,"已逾期",IF(COUNTIFS(④退税核算!$A$4:$A$303,$A83,④退税核算!$S$4:$S$303,"临近*")&gt;0,"临近截止",IF(COUNTIFS(④退税核算!$A$4:$A$303,$A83,④退税核算!$S$4:$S$303,"待*")&gt;0,"待核算","已核算")))))</f>
        <v/>
      </c>
      <c r="T83" s="35" t="str">
        <f aca="false">IF($A83="","",IFERROR(INDEX(⑥单证留存!$P$4:$P$203,MATCH(①出口报关!B80,⑥单证留存!$A$4:$A$203,0)),"未登记"))</f>
        <v/>
      </c>
      <c r="U83" s="36" t="str">
        <f aca="false">IF($A83="","",IF(IF(OR(O83="超期未收汇",O83="超过收汇期限仍未销售")," 收汇超期","")&amp;IF(S83="已逾期"," 核算逾期","")&amp;IF(S83="临近截止"," 核算临近截止","")&amp;IF(LEFT(T83,1)="缺"," 单证"&amp;T83,"")&amp;IF(T83="未登记"," 单证未登记","")&amp;IF(AND(ISNUMBER(G83),N(G83)&lt;&gt;0)," 入仓差异"&amp;G83,"")="","正常",SUBSTITUTE(TRIM(IF(OR(O83="超期未收汇",O83="超过收汇期限仍未销售")," 收汇超期","")&amp;IF(S83="已逾期"," 核算逾期","")&amp;IF(S83="临近截止"," 核算临近截止","")&amp;IF(LEFT(T83,1)="缺"," 单证"&amp;T83,"")&amp;IF(T83="未登记"," 单证未登记","")&amp;IF(AND(ISNUMBER(G83),N(G83)&lt;&gt;0)," 入仓差异"&amp;G83,""))," ","、")))</f>
        <v/>
      </c>
    </row>
    <row r="84" customFormat="false" ht="21.75" hidden="false" customHeight="true" outlineLevel="0" collapsed="false">
      <c r="A84" s="29" t="str">
        <f aca="false">IF(①出口报关!A81="","",①出口报关!A81)</f>
        <v/>
      </c>
      <c r="B84" s="29" t="str">
        <f aca="false">IF($A84="","",①出口报关!I81)</f>
        <v/>
      </c>
      <c r="C84" s="29" t="str">
        <f aca="false">IF($A84="","",①出口报关!J81)</f>
        <v/>
      </c>
      <c r="D84" s="30" t="str">
        <f aca="false">IF($A84="","",IF(①出口报关!D81="","",①出口报关!D81))</f>
        <v/>
      </c>
      <c r="E84" s="31" t="str">
        <f aca="false">IF($A84="","",N(①出口报关!L81))</f>
        <v/>
      </c>
      <c r="F84" s="31" t="str">
        <f aca="false">IF($A84="","",IF(①出口报关!Y81="","未签收",①出口报关!Y81))</f>
        <v/>
      </c>
      <c r="G84" s="32" t="str">
        <f aca="false">IF(OR($A84="",NOT(ISNUMBER(F84))),"",F84-E84)</f>
        <v/>
      </c>
      <c r="H84" s="31" t="str">
        <f aca="false">IF($A84="","",SUMIFS(②销售核销!$I$4:$I$603,②销售核销!$E$4:$E$603,$A84))</f>
        <v/>
      </c>
      <c r="I84" s="31" t="str">
        <f aca="false">IF($A84="","",SUMIFS(⑤库存异常!$E$4:$E$203,⑤库存异常!$B$4:$B$203,$A84))</f>
        <v/>
      </c>
      <c r="J84" s="31" t="str">
        <f aca="false">IF($A84="","",IF(ISNUMBER(F84),F84,E84)-H84-I84)</f>
        <v/>
      </c>
      <c r="K84" s="33" t="str">
        <f aca="false">IF(OR($A84="",N(E84)=0),"",H84/E84)</f>
        <v/>
      </c>
      <c r="L84" s="34" t="str">
        <f aca="false">IF($A84="","",SUMIFS(②销售核销!$L$4:$L$603,②销售核销!$E$4:$E$603,$A84))</f>
        <v/>
      </c>
      <c r="M84" s="34" t="str">
        <f aca="false">IF($A84="","",SUMIFS(②销售核销!$L$4:$L$603,②销售核销!$E$4:$E$603,$A84,②销售核销!$M$4:$M$603,"已收汇"))</f>
        <v/>
      </c>
      <c r="N84" s="30" t="str">
        <f aca="false">IF(ISNUMBER(D84),DATE(YEAR(D84)+1,4,30),"")</f>
        <v/>
      </c>
      <c r="O84" s="35" t="str">
        <f aca="true">IF($A84="","",IF(N(H84)=0,IF(AND(ISNUMBER(N84),TODAY()&gt;N84),"超过收汇期限仍未销售","尚未销售"),IF(ROUND(M84,2)&gt;=ROUND(L84,2),"已售部分已收汇",IF(AND(ISNUMBER(N84),TODAY()&gt;N84),"超期未收汇","有回款待收汇"))))</f>
        <v/>
      </c>
      <c r="P84" s="34" t="str">
        <f aca="false">IF($A84="","",SUMIFS(④退税核算!$H$4:$H$303,④退税核算!$A$4:$A$303,$A84))</f>
        <v/>
      </c>
      <c r="Q84" s="34" t="str">
        <f aca="false">IF($A84="","",SUMIFS(④退税核算!$H$4:$H$303,④退税核算!$A$4:$A$303,$A84,④退税核算!$D$4:$D$303,"未售-海外仓预退（HWC-YT）"))</f>
        <v/>
      </c>
      <c r="R84" s="30" t="str">
        <f aca="false">IF($A84="","",IF(COUNTIFS(④退税核算!$A$4:$A$303,$A84,④退税核算!$D$4:$D$303,"未售-海外仓预退（HWC-YT）",④退税核算!$I$4:$I$303,"&gt;0")=0,"",_xlfn.MINIFS(④退税核算!$J$4:$J$303,④退税核算!$A$4:$A$303,$A84,④退税核算!$D$4:$D$303,"未售-海外仓预退（HWC-YT）")))</f>
        <v/>
      </c>
      <c r="S84" s="35" t="str">
        <f aca="false">IF($A84="","",IF(COUNTIFS(④退税核算!$A$4:$A$303,$A84,④退税核算!$D$4:$D$303,"未售-海外仓预退（HWC-YT）")=0,"不涉及",IF(COUNTIFS(④退税核算!$A$4:$A$303,$A84,④退税核算!$S$4:$S$303,"已逾期*")&gt;0,"已逾期",IF(COUNTIFS(④退税核算!$A$4:$A$303,$A84,④退税核算!$S$4:$S$303,"临近*")&gt;0,"临近截止",IF(COUNTIFS(④退税核算!$A$4:$A$303,$A84,④退税核算!$S$4:$S$303,"待*")&gt;0,"待核算","已核算")))))</f>
        <v/>
      </c>
      <c r="T84" s="35" t="str">
        <f aca="false">IF($A84="","",IFERROR(INDEX(⑥单证留存!$P$4:$P$203,MATCH(①出口报关!B81,⑥单证留存!$A$4:$A$203,0)),"未登记"))</f>
        <v/>
      </c>
      <c r="U84" s="36" t="str">
        <f aca="false">IF($A84="","",IF(IF(OR(O84="超期未收汇",O84="超过收汇期限仍未销售")," 收汇超期","")&amp;IF(S84="已逾期"," 核算逾期","")&amp;IF(S84="临近截止"," 核算临近截止","")&amp;IF(LEFT(T84,1)="缺"," 单证"&amp;T84,"")&amp;IF(T84="未登记"," 单证未登记","")&amp;IF(AND(ISNUMBER(G84),N(G84)&lt;&gt;0)," 入仓差异"&amp;G84,"")="","正常",SUBSTITUTE(TRIM(IF(OR(O84="超期未收汇",O84="超过收汇期限仍未销售")," 收汇超期","")&amp;IF(S84="已逾期"," 核算逾期","")&amp;IF(S84="临近截止"," 核算临近截止","")&amp;IF(LEFT(T84,1)="缺"," 单证"&amp;T84,"")&amp;IF(T84="未登记"," 单证未登记","")&amp;IF(AND(ISNUMBER(G84),N(G84)&lt;&gt;0)," 入仓差异"&amp;G84,""))," ","、")))</f>
        <v/>
      </c>
    </row>
    <row r="85" customFormat="false" ht="21.75" hidden="false" customHeight="true" outlineLevel="0" collapsed="false">
      <c r="A85" s="29" t="str">
        <f aca="false">IF(①出口报关!A82="","",①出口报关!A82)</f>
        <v/>
      </c>
      <c r="B85" s="29" t="str">
        <f aca="false">IF($A85="","",①出口报关!I82)</f>
        <v/>
      </c>
      <c r="C85" s="29" t="str">
        <f aca="false">IF($A85="","",①出口报关!J82)</f>
        <v/>
      </c>
      <c r="D85" s="30" t="str">
        <f aca="false">IF($A85="","",IF(①出口报关!D82="","",①出口报关!D82))</f>
        <v/>
      </c>
      <c r="E85" s="31" t="str">
        <f aca="false">IF($A85="","",N(①出口报关!L82))</f>
        <v/>
      </c>
      <c r="F85" s="31" t="str">
        <f aca="false">IF($A85="","",IF(①出口报关!Y82="","未签收",①出口报关!Y82))</f>
        <v/>
      </c>
      <c r="G85" s="32" t="str">
        <f aca="false">IF(OR($A85="",NOT(ISNUMBER(F85))),"",F85-E85)</f>
        <v/>
      </c>
      <c r="H85" s="31" t="str">
        <f aca="false">IF($A85="","",SUMIFS(②销售核销!$I$4:$I$603,②销售核销!$E$4:$E$603,$A85))</f>
        <v/>
      </c>
      <c r="I85" s="31" t="str">
        <f aca="false">IF($A85="","",SUMIFS(⑤库存异常!$E$4:$E$203,⑤库存异常!$B$4:$B$203,$A85))</f>
        <v/>
      </c>
      <c r="J85" s="31" t="str">
        <f aca="false">IF($A85="","",IF(ISNUMBER(F85),F85,E85)-H85-I85)</f>
        <v/>
      </c>
      <c r="K85" s="33" t="str">
        <f aca="false">IF(OR($A85="",N(E85)=0),"",H85/E85)</f>
        <v/>
      </c>
      <c r="L85" s="34" t="str">
        <f aca="false">IF($A85="","",SUMIFS(②销售核销!$L$4:$L$603,②销售核销!$E$4:$E$603,$A85))</f>
        <v/>
      </c>
      <c r="M85" s="34" t="str">
        <f aca="false">IF($A85="","",SUMIFS(②销售核销!$L$4:$L$603,②销售核销!$E$4:$E$603,$A85,②销售核销!$M$4:$M$603,"已收汇"))</f>
        <v/>
      </c>
      <c r="N85" s="30" t="str">
        <f aca="false">IF(ISNUMBER(D85),DATE(YEAR(D85)+1,4,30),"")</f>
        <v/>
      </c>
      <c r="O85" s="35" t="str">
        <f aca="true">IF($A85="","",IF(N(H85)=0,IF(AND(ISNUMBER(N85),TODAY()&gt;N85),"超过收汇期限仍未销售","尚未销售"),IF(ROUND(M85,2)&gt;=ROUND(L85,2),"已售部分已收汇",IF(AND(ISNUMBER(N85),TODAY()&gt;N85),"超期未收汇","有回款待收汇"))))</f>
        <v/>
      </c>
      <c r="P85" s="34" t="str">
        <f aca="false">IF($A85="","",SUMIFS(④退税核算!$H$4:$H$303,④退税核算!$A$4:$A$303,$A85))</f>
        <v/>
      </c>
      <c r="Q85" s="34" t="str">
        <f aca="false">IF($A85="","",SUMIFS(④退税核算!$H$4:$H$303,④退税核算!$A$4:$A$303,$A85,④退税核算!$D$4:$D$303,"未售-海外仓预退（HWC-YT）"))</f>
        <v/>
      </c>
      <c r="R85" s="30" t="str">
        <f aca="false">IF($A85="","",IF(COUNTIFS(④退税核算!$A$4:$A$303,$A85,④退税核算!$D$4:$D$303,"未售-海外仓预退（HWC-YT）",④退税核算!$I$4:$I$303,"&gt;0")=0,"",_xlfn.MINIFS(④退税核算!$J$4:$J$303,④退税核算!$A$4:$A$303,$A85,④退税核算!$D$4:$D$303,"未售-海外仓预退（HWC-YT）")))</f>
        <v/>
      </c>
      <c r="S85" s="35" t="str">
        <f aca="false">IF($A85="","",IF(COUNTIFS(④退税核算!$A$4:$A$303,$A85,④退税核算!$D$4:$D$303,"未售-海外仓预退（HWC-YT）")=0,"不涉及",IF(COUNTIFS(④退税核算!$A$4:$A$303,$A85,④退税核算!$S$4:$S$303,"已逾期*")&gt;0,"已逾期",IF(COUNTIFS(④退税核算!$A$4:$A$303,$A85,④退税核算!$S$4:$S$303,"临近*")&gt;0,"临近截止",IF(COUNTIFS(④退税核算!$A$4:$A$303,$A85,④退税核算!$S$4:$S$303,"待*")&gt;0,"待核算","已核算")))))</f>
        <v/>
      </c>
      <c r="T85" s="35" t="str">
        <f aca="false">IF($A85="","",IFERROR(INDEX(⑥单证留存!$P$4:$P$203,MATCH(①出口报关!B82,⑥单证留存!$A$4:$A$203,0)),"未登记"))</f>
        <v/>
      </c>
      <c r="U85" s="36" t="str">
        <f aca="false">IF($A85="","",IF(IF(OR(O85="超期未收汇",O85="超过收汇期限仍未销售")," 收汇超期","")&amp;IF(S85="已逾期"," 核算逾期","")&amp;IF(S85="临近截止"," 核算临近截止","")&amp;IF(LEFT(T85,1)="缺"," 单证"&amp;T85,"")&amp;IF(T85="未登记"," 单证未登记","")&amp;IF(AND(ISNUMBER(G85),N(G85)&lt;&gt;0)," 入仓差异"&amp;G85,"")="","正常",SUBSTITUTE(TRIM(IF(OR(O85="超期未收汇",O85="超过收汇期限仍未销售")," 收汇超期","")&amp;IF(S85="已逾期"," 核算逾期","")&amp;IF(S85="临近截止"," 核算临近截止","")&amp;IF(LEFT(T85,1)="缺"," 单证"&amp;T85,"")&amp;IF(T85="未登记"," 单证未登记","")&amp;IF(AND(ISNUMBER(G85),N(G85)&lt;&gt;0)," 入仓差异"&amp;G85,""))," ","、")))</f>
        <v/>
      </c>
    </row>
    <row r="86" customFormat="false" ht="21.75" hidden="false" customHeight="true" outlineLevel="0" collapsed="false">
      <c r="A86" s="29" t="str">
        <f aca="false">IF(①出口报关!A83="","",①出口报关!A83)</f>
        <v/>
      </c>
      <c r="B86" s="29" t="str">
        <f aca="false">IF($A86="","",①出口报关!I83)</f>
        <v/>
      </c>
      <c r="C86" s="29" t="str">
        <f aca="false">IF($A86="","",①出口报关!J83)</f>
        <v/>
      </c>
      <c r="D86" s="30" t="str">
        <f aca="false">IF($A86="","",IF(①出口报关!D83="","",①出口报关!D83))</f>
        <v/>
      </c>
      <c r="E86" s="31" t="str">
        <f aca="false">IF($A86="","",N(①出口报关!L83))</f>
        <v/>
      </c>
      <c r="F86" s="31" t="str">
        <f aca="false">IF($A86="","",IF(①出口报关!Y83="","未签收",①出口报关!Y83))</f>
        <v/>
      </c>
      <c r="G86" s="32" t="str">
        <f aca="false">IF(OR($A86="",NOT(ISNUMBER(F86))),"",F86-E86)</f>
        <v/>
      </c>
      <c r="H86" s="31" t="str">
        <f aca="false">IF($A86="","",SUMIFS(②销售核销!$I$4:$I$603,②销售核销!$E$4:$E$603,$A86))</f>
        <v/>
      </c>
      <c r="I86" s="31" t="str">
        <f aca="false">IF($A86="","",SUMIFS(⑤库存异常!$E$4:$E$203,⑤库存异常!$B$4:$B$203,$A86))</f>
        <v/>
      </c>
      <c r="J86" s="31" t="str">
        <f aca="false">IF($A86="","",IF(ISNUMBER(F86),F86,E86)-H86-I86)</f>
        <v/>
      </c>
      <c r="K86" s="33" t="str">
        <f aca="false">IF(OR($A86="",N(E86)=0),"",H86/E86)</f>
        <v/>
      </c>
      <c r="L86" s="34" t="str">
        <f aca="false">IF($A86="","",SUMIFS(②销售核销!$L$4:$L$603,②销售核销!$E$4:$E$603,$A86))</f>
        <v/>
      </c>
      <c r="M86" s="34" t="str">
        <f aca="false">IF($A86="","",SUMIFS(②销售核销!$L$4:$L$603,②销售核销!$E$4:$E$603,$A86,②销售核销!$M$4:$M$603,"已收汇"))</f>
        <v/>
      </c>
      <c r="N86" s="30" t="str">
        <f aca="false">IF(ISNUMBER(D86),DATE(YEAR(D86)+1,4,30),"")</f>
        <v/>
      </c>
      <c r="O86" s="35" t="str">
        <f aca="true">IF($A86="","",IF(N(H86)=0,IF(AND(ISNUMBER(N86),TODAY()&gt;N86),"超过收汇期限仍未销售","尚未销售"),IF(ROUND(M86,2)&gt;=ROUND(L86,2),"已售部分已收汇",IF(AND(ISNUMBER(N86),TODAY()&gt;N86),"超期未收汇","有回款待收汇"))))</f>
        <v/>
      </c>
      <c r="P86" s="34" t="str">
        <f aca="false">IF($A86="","",SUMIFS(④退税核算!$H$4:$H$303,④退税核算!$A$4:$A$303,$A86))</f>
        <v/>
      </c>
      <c r="Q86" s="34" t="str">
        <f aca="false">IF($A86="","",SUMIFS(④退税核算!$H$4:$H$303,④退税核算!$A$4:$A$303,$A86,④退税核算!$D$4:$D$303,"未售-海外仓预退（HWC-YT）"))</f>
        <v/>
      </c>
      <c r="R86" s="30" t="str">
        <f aca="false">IF($A86="","",IF(COUNTIFS(④退税核算!$A$4:$A$303,$A86,④退税核算!$D$4:$D$303,"未售-海外仓预退（HWC-YT）",④退税核算!$I$4:$I$303,"&gt;0")=0,"",_xlfn.MINIFS(④退税核算!$J$4:$J$303,④退税核算!$A$4:$A$303,$A86,④退税核算!$D$4:$D$303,"未售-海外仓预退（HWC-YT）")))</f>
        <v/>
      </c>
      <c r="S86" s="35" t="str">
        <f aca="false">IF($A86="","",IF(COUNTIFS(④退税核算!$A$4:$A$303,$A86,④退税核算!$D$4:$D$303,"未售-海外仓预退（HWC-YT）")=0,"不涉及",IF(COUNTIFS(④退税核算!$A$4:$A$303,$A86,④退税核算!$S$4:$S$303,"已逾期*")&gt;0,"已逾期",IF(COUNTIFS(④退税核算!$A$4:$A$303,$A86,④退税核算!$S$4:$S$303,"临近*")&gt;0,"临近截止",IF(COUNTIFS(④退税核算!$A$4:$A$303,$A86,④退税核算!$S$4:$S$303,"待*")&gt;0,"待核算","已核算")))))</f>
        <v/>
      </c>
      <c r="T86" s="35" t="str">
        <f aca="false">IF($A86="","",IFERROR(INDEX(⑥单证留存!$P$4:$P$203,MATCH(①出口报关!B83,⑥单证留存!$A$4:$A$203,0)),"未登记"))</f>
        <v/>
      </c>
      <c r="U86" s="36" t="str">
        <f aca="false">IF($A86="","",IF(IF(OR(O86="超期未收汇",O86="超过收汇期限仍未销售")," 收汇超期","")&amp;IF(S86="已逾期"," 核算逾期","")&amp;IF(S86="临近截止"," 核算临近截止","")&amp;IF(LEFT(T86,1)="缺"," 单证"&amp;T86,"")&amp;IF(T86="未登记"," 单证未登记","")&amp;IF(AND(ISNUMBER(G86),N(G86)&lt;&gt;0)," 入仓差异"&amp;G86,"")="","正常",SUBSTITUTE(TRIM(IF(OR(O86="超期未收汇",O86="超过收汇期限仍未销售")," 收汇超期","")&amp;IF(S86="已逾期"," 核算逾期","")&amp;IF(S86="临近截止"," 核算临近截止","")&amp;IF(LEFT(T86,1)="缺"," 单证"&amp;T86,"")&amp;IF(T86="未登记"," 单证未登记","")&amp;IF(AND(ISNUMBER(G86),N(G86)&lt;&gt;0)," 入仓差异"&amp;G86,""))," ","、")))</f>
        <v/>
      </c>
    </row>
    <row r="87" customFormat="false" ht="21.75" hidden="false" customHeight="true" outlineLevel="0" collapsed="false">
      <c r="A87" s="29" t="str">
        <f aca="false">IF(①出口报关!A84="","",①出口报关!A84)</f>
        <v/>
      </c>
      <c r="B87" s="29" t="str">
        <f aca="false">IF($A87="","",①出口报关!I84)</f>
        <v/>
      </c>
      <c r="C87" s="29" t="str">
        <f aca="false">IF($A87="","",①出口报关!J84)</f>
        <v/>
      </c>
      <c r="D87" s="30" t="str">
        <f aca="false">IF($A87="","",IF(①出口报关!D84="","",①出口报关!D84))</f>
        <v/>
      </c>
      <c r="E87" s="31" t="str">
        <f aca="false">IF($A87="","",N(①出口报关!L84))</f>
        <v/>
      </c>
      <c r="F87" s="31" t="str">
        <f aca="false">IF($A87="","",IF(①出口报关!Y84="","未签收",①出口报关!Y84))</f>
        <v/>
      </c>
      <c r="G87" s="32" t="str">
        <f aca="false">IF(OR($A87="",NOT(ISNUMBER(F87))),"",F87-E87)</f>
        <v/>
      </c>
      <c r="H87" s="31" t="str">
        <f aca="false">IF($A87="","",SUMIFS(②销售核销!$I$4:$I$603,②销售核销!$E$4:$E$603,$A87))</f>
        <v/>
      </c>
      <c r="I87" s="31" t="str">
        <f aca="false">IF($A87="","",SUMIFS(⑤库存异常!$E$4:$E$203,⑤库存异常!$B$4:$B$203,$A87))</f>
        <v/>
      </c>
      <c r="J87" s="31" t="str">
        <f aca="false">IF($A87="","",IF(ISNUMBER(F87),F87,E87)-H87-I87)</f>
        <v/>
      </c>
      <c r="K87" s="33" t="str">
        <f aca="false">IF(OR($A87="",N(E87)=0),"",H87/E87)</f>
        <v/>
      </c>
      <c r="L87" s="34" t="str">
        <f aca="false">IF($A87="","",SUMIFS(②销售核销!$L$4:$L$603,②销售核销!$E$4:$E$603,$A87))</f>
        <v/>
      </c>
      <c r="M87" s="34" t="str">
        <f aca="false">IF($A87="","",SUMIFS(②销售核销!$L$4:$L$603,②销售核销!$E$4:$E$603,$A87,②销售核销!$M$4:$M$603,"已收汇"))</f>
        <v/>
      </c>
      <c r="N87" s="30" t="str">
        <f aca="false">IF(ISNUMBER(D87),DATE(YEAR(D87)+1,4,30),"")</f>
        <v/>
      </c>
      <c r="O87" s="35" t="str">
        <f aca="true">IF($A87="","",IF(N(H87)=0,IF(AND(ISNUMBER(N87),TODAY()&gt;N87),"超过收汇期限仍未销售","尚未销售"),IF(ROUND(M87,2)&gt;=ROUND(L87,2),"已售部分已收汇",IF(AND(ISNUMBER(N87),TODAY()&gt;N87),"超期未收汇","有回款待收汇"))))</f>
        <v/>
      </c>
      <c r="P87" s="34" t="str">
        <f aca="false">IF($A87="","",SUMIFS(④退税核算!$H$4:$H$303,④退税核算!$A$4:$A$303,$A87))</f>
        <v/>
      </c>
      <c r="Q87" s="34" t="str">
        <f aca="false">IF($A87="","",SUMIFS(④退税核算!$H$4:$H$303,④退税核算!$A$4:$A$303,$A87,④退税核算!$D$4:$D$303,"未售-海外仓预退（HWC-YT）"))</f>
        <v/>
      </c>
      <c r="R87" s="30" t="str">
        <f aca="false">IF($A87="","",IF(COUNTIFS(④退税核算!$A$4:$A$303,$A87,④退税核算!$D$4:$D$303,"未售-海外仓预退（HWC-YT）",④退税核算!$I$4:$I$303,"&gt;0")=0,"",_xlfn.MINIFS(④退税核算!$J$4:$J$303,④退税核算!$A$4:$A$303,$A87,④退税核算!$D$4:$D$303,"未售-海外仓预退（HWC-YT）")))</f>
        <v/>
      </c>
      <c r="S87" s="35" t="str">
        <f aca="false">IF($A87="","",IF(COUNTIFS(④退税核算!$A$4:$A$303,$A87,④退税核算!$D$4:$D$303,"未售-海外仓预退（HWC-YT）")=0,"不涉及",IF(COUNTIFS(④退税核算!$A$4:$A$303,$A87,④退税核算!$S$4:$S$303,"已逾期*")&gt;0,"已逾期",IF(COUNTIFS(④退税核算!$A$4:$A$303,$A87,④退税核算!$S$4:$S$303,"临近*")&gt;0,"临近截止",IF(COUNTIFS(④退税核算!$A$4:$A$303,$A87,④退税核算!$S$4:$S$303,"待*")&gt;0,"待核算","已核算")))))</f>
        <v/>
      </c>
      <c r="T87" s="35" t="str">
        <f aca="false">IF($A87="","",IFERROR(INDEX(⑥单证留存!$P$4:$P$203,MATCH(①出口报关!B84,⑥单证留存!$A$4:$A$203,0)),"未登记"))</f>
        <v/>
      </c>
      <c r="U87" s="36" t="str">
        <f aca="false">IF($A87="","",IF(IF(OR(O87="超期未收汇",O87="超过收汇期限仍未销售")," 收汇超期","")&amp;IF(S87="已逾期"," 核算逾期","")&amp;IF(S87="临近截止"," 核算临近截止","")&amp;IF(LEFT(T87,1)="缺"," 单证"&amp;T87,"")&amp;IF(T87="未登记"," 单证未登记","")&amp;IF(AND(ISNUMBER(G87),N(G87)&lt;&gt;0)," 入仓差异"&amp;G87,"")="","正常",SUBSTITUTE(TRIM(IF(OR(O87="超期未收汇",O87="超过收汇期限仍未销售")," 收汇超期","")&amp;IF(S87="已逾期"," 核算逾期","")&amp;IF(S87="临近截止"," 核算临近截止","")&amp;IF(LEFT(T87,1)="缺"," 单证"&amp;T87,"")&amp;IF(T87="未登记"," 单证未登记","")&amp;IF(AND(ISNUMBER(G87),N(G87)&lt;&gt;0)," 入仓差异"&amp;G87,""))," ","、")))</f>
        <v/>
      </c>
    </row>
    <row r="88" customFormat="false" ht="21.75" hidden="false" customHeight="true" outlineLevel="0" collapsed="false">
      <c r="A88" s="29" t="str">
        <f aca="false">IF(①出口报关!A85="","",①出口报关!A85)</f>
        <v/>
      </c>
      <c r="B88" s="29" t="str">
        <f aca="false">IF($A88="","",①出口报关!I85)</f>
        <v/>
      </c>
      <c r="C88" s="29" t="str">
        <f aca="false">IF($A88="","",①出口报关!J85)</f>
        <v/>
      </c>
      <c r="D88" s="30" t="str">
        <f aca="false">IF($A88="","",IF(①出口报关!D85="","",①出口报关!D85))</f>
        <v/>
      </c>
      <c r="E88" s="31" t="str">
        <f aca="false">IF($A88="","",N(①出口报关!L85))</f>
        <v/>
      </c>
      <c r="F88" s="31" t="str">
        <f aca="false">IF($A88="","",IF(①出口报关!Y85="","未签收",①出口报关!Y85))</f>
        <v/>
      </c>
      <c r="G88" s="32" t="str">
        <f aca="false">IF(OR($A88="",NOT(ISNUMBER(F88))),"",F88-E88)</f>
        <v/>
      </c>
      <c r="H88" s="31" t="str">
        <f aca="false">IF($A88="","",SUMIFS(②销售核销!$I$4:$I$603,②销售核销!$E$4:$E$603,$A88))</f>
        <v/>
      </c>
      <c r="I88" s="31" t="str">
        <f aca="false">IF($A88="","",SUMIFS(⑤库存异常!$E$4:$E$203,⑤库存异常!$B$4:$B$203,$A88))</f>
        <v/>
      </c>
      <c r="J88" s="31" t="str">
        <f aca="false">IF($A88="","",IF(ISNUMBER(F88),F88,E88)-H88-I88)</f>
        <v/>
      </c>
      <c r="K88" s="33" t="str">
        <f aca="false">IF(OR($A88="",N(E88)=0),"",H88/E88)</f>
        <v/>
      </c>
      <c r="L88" s="34" t="str">
        <f aca="false">IF($A88="","",SUMIFS(②销售核销!$L$4:$L$603,②销售核销!$E$4:$E$603,$A88))</f>
        <v/>
      </c>
      <c r="M88" s="34" t="str">
        <f aca="false">IF($A88="","",SUMIFS(②销售核销!$L$4:$L$603,②销售核销!$E$4:$E$603,$A88,②销售核销!$M$4:$M$603,"已收汇"))</f>
        <v/>
      </c>
      <c r="N88" s="30" t="str">
        <f aca="false">IF(ISNUMBER(D88),DATE(YEAR(D88)+1,4,30),"")</f>
        <v/>
      </c>
      <c r="O88" s="35" t="str">
        <f aca="true">IF($A88="","",IF(N(H88)=0,IF(AND(ISNUMBER(N88),TODAY()&gt;N88),"超过收汇期限仍未销售","尚未销售"),IF(ROUND(M88,2)&gt;=ROUND(L88,2),"已售部分已收汇",IF(AND(ISNUMBER(N88),TODAY()&gt;N88),"超期未收汇","有回款待收汇"))))</f>
        <v/>
      </c>
      <c r="P88" s="34" t="str">
        <f aca="false">IF($A88="","",SUMIFS(④退税核算!$H$4:$H$303,④退税核算!$A$4:$A$303,$A88))</f>
        <v/>
      </c>
      <c r="Q88" s="34" t="str">
        <f aca="false">IF($A88="","",SUMIFS(④退税核算!$H$4:$H$303,④退税核算!$A$4:$A$303,$A88,④退税核算!$D$4:$D$303,"未售-海外仓预退（HWC-YT）"))</f>
        <v/>
      </c>
      <c r="R88" s="30" t="str">
        <f aca="false">IF($A88="","",IF(COUNTIFS(④退税核算!$A$4:$A$303,$A88,④退税核算!$D$4:$D$303,"未售-海外仓预退（HWC-YT）",④退税核算!$I$4:$I$303,"&gt;0")=0,"",_xlfn.MINIFS(④退税核算!$J$4:$J$303,④退税核算!$A$4:$A$303,$A88,④退税核算!$D$4:$D$303,"未售-海外仓预退（HWC-YT）")))</f>
        <v/>
      </c>
      <c r="S88" s="35" t="str">
        <f aca="false">IF($A88="","",IF(COUNTIFS(④退税核算!$A$4:$A$303,$A88,④退税核算!$D$4:$D$303,"未售-海外仓预退（HWC-YT）")=0,"不涉及",IF(COUNTIFS(④退税核算!$A$4:$A$303,$A88,④退税核算!$S$4:$S$303,"已逾期*")&gt;0,"已逾期",IF(COUNTIFS(④退税核算!$A$4:$A$303,$A88,④退税核算!$S$4:$S$303,"临近*")&gt;0,"临近截止",IF(COUNTIFS(④退税核算!$A$4:$A$303,$A88,④退税核算!$S$4:$S$303,"待*")&gt;0,"待核算","已核算")))))</f>
        <v/>
      </c>
      <c r="T88" s="35" t="str">
        <f aca="false">IF($A88="","",IFERROR(INDEX(⑥单证留存!$P$4:$P$203,MATCH(①出口报关!B85,⑥单证留存!$A$4:$A$203,0)),"未登记"))</f>
        <v/>
      </c>
      <c r="U88" s="36" t="str">
        <f aca="false">IF($A88="","",IF(IF(OR(O88="超期未收汇",O88="超过收汇期限仍未销售")," 收汇超期","")&amp;IF(S88="已逾期"," 核算逾期","")&amp;IF(S88="临近截止"," 核算临近截止","")&amp;IF(LEFT(T88,1)="缺"," 单证"&amp;T88,"")&amp;IF(T88="未登记"," 单证未登记","")&amp;IF(AND(ISNUMBER(G88),N(G88)&lt;&gt;0)," 入仓差异"&amp;G88,"")="","正常",SUBSTITUTE(TRIM(IF(OR(O88="超期未收汇",O88="超过收汇期限仍未销售")," 收汇超期","")&amp;IF(S88="已逾期"," 核算逾期","")&amp;IF(S88="临近截止"," 核算临近截止","")&amp;IF(LEFT(T88,1)="缺"," 单证"&amp;T88,"")&amp;IF(T88="未登记"," 单证未登记","")&amp;IF(AND(ISNUMBER(G88),N(G88)&lt;&gt;0)," 入仓差异"&amp;G88,""))," ","、")))</f>
        <v/>
      </c>
    </row>
    <row r="89" customFormat="false" ht="21.75" hidden="false" customHeight="true" outlineLevel="0" collapsed="false">
      <c r="A89" s="29" t="str">
        <f aca="false">IF(①出口报关!A86="","",①出口报关!A86)</f>
        <v/>
      </c>
      <c r="B89" s="29" t="str">
        <f aca="false">IF($A89="","",①出口报关!I86)</f>
        <v/>
      </c>
      <c r="C89" s="29" t="str">
        <f aca="false">IF($A89="","",①出口报关!J86)</f>
        <v/>
      </c>
      <c r="D89" s="30" t="str">
        <f aca="false">IF($A89="","",IF(①出口报关!D86="","",①出口报关!D86))</f>
        <v/>
      </c>
      <c r="E89" s="31" t="str">
        <f aca="false">IF($A89="","",N(①出口报关!L86))</f>
        <v/>
      </c>
      <c r="F89" s="31" t="str">
        <f aca="false">IF($A89="","",IF(①出口报关!Y86="","未签收",①出口报关!Y86))</f>
        <v/>
      </c>
      <c r="G89" s="32" t="str">
        <f aca="false">IF(OR($A89="",NOT(ISNUMBER(F89))),"",F89-E89)</f>
        <v/>
      </c>
      <c r="H89" s="31" t="str">
        <f aca="false">IF($A89="","",SUMIFS(②销售核销!$I$4:$I$603,②销售核销!$E$4:$E$603,$A89))</f>
        <v/>
      </c>
      <c r="I89" s="31" t="str">
        <f aca="false">IF($A89="","",SUMIFS(⑤库存异常!$E$4:$E$203,⑤库存异常!$B$4:$B$203,$A89))</f>
        <v/>
      </c>
      <c r="J89" s="31" t="str">
        <f aca="false">IF($A89="","",IF(ISNUMBER(F89),F89,E89)-H89-I89)</f>
        <v/>
      </c>
      <c r="K89" s="33" t="str">
        <f aca="false">IF(OR($A89="",N(E89)=0),"",H89/E89)</f>
        <v/>
      </c>
      <c r="L89" s="34" t="str">
        <f aca="false">IF($A89="","",SUMIFS(②销售核销!$L$4:$L$603,②销售核销!$E$4:$E$603,$A89))</f>
        <v/>
      </c>
      <c r="M89" s="34" t="str">
        <f aca="false">IF($A89="","",SUMIFS(②销售核销!$L$4:$L$603,②销售核销!$E$4:$E$603,$A89,②销售核销!$M$4:$M$603,"已收汇"))</f>
        <v/>
      </c>
      <c r="N89" s="30" t="str">
        <f aca="false">IF(ISNUMBER(D89),DATE(YEAR(D89)+1,4,30),"")</f>
        <v/>
      </c>
      <c r="O89" s="35" t="str">
        <f aca="true">IF($A89="","",IF(N(H89)=0,IF(AND(ISNUMBER(N89),TODAY()&gt;N89),"超过收汇期限仍未销售","尚未销售"),IF(ROUND(M89,2)&gt;=ROUND(L89,2),"已售部分已收汇",IF(AND(ISNUMBER(N89),TODAY()&gt;N89),"超期未收汇","有回款待收汇"))))</f>
        <v/>
      </c>
      <c r="P89" s="34" t="str">
        <f aca="false">IF($A89="","",SUMIFS(④退税核算!$H$4:$H$303,④退税核算!$A$4:$A$303,$A89))</f>
        <v/>
      </c>
      <c r="Q89" s="34" t="str">
        <f aca="false">IF($A89="","",SUMIFS(④退税核算!$H$4:$H$303,④退税核算!$A$4:$A$303,$A89,④退税核算!$D$4:$D$303,"未售-海外仓预退（HWC-YT）"))</f>
        <v/>
      </c>
      <c r="R89" s="30" t="str">
        <f aca="false">IF($A89="","",IF(COUNTIFS(④退税核算!$A$4:$A$303,$A89,④退税核算!$D$4:$D$303,"未售-海外仓预退（HWC-YT）",④退税核算!$I$4:$I$303,"&gt;0")=0,"",_xlfn.MINIFS(④退税核算!$J$4:$J$303,④退税核算!$A$4:$A$303,$A89,④退税核算!$D$4:$D$303,"未售-海外仓预退（HWC-YT）")))</f>
        <v/>
      </c>
      <c r="S89" s="35" t="str">
        <f aca="false">IF($A89="","",IF(COUNTIFS(④退税核算!$A$4:$A$303,$A89,④退税核算!$D$4:$D$303,"未售-海外仓预退（HWC-YT）")=0,"不涉及",IF(COUNTIFS(④退税核算!$A$4:$A$303,$A89,④退税核算!$S$4:$S$303,"已逾期*")&gt;0,"已逾期",IF(COUNTIFS(④退税核算!$A$4:$A$303,$A89,④退税核算!$S$4:$S$303,"临近*")&gt;0,"临近截止",IF(COUNTIFS(④退税核算!$A$4:$A$303,$A89,④退税核算!$S$4:$S$303,"待*")&gt;0,"待核算","已核算")))))</f>
        <v/>
      </c>
      <c r="T89" s="35" t="str">
        <f aca="false">IF($A89="","",IFERROR(INDEX(⑥单证留存!$P$4:$P$203,MATCH(①出口报关!B86,⑥单证留存!$A$4:$A$203,0)),"未登记"))</f>
        <v/>
      </c>
      <c r="U89" s="36" t="str">
        <f aca="false">IF($A89="","",IF(IF(OR(O89="超期未收汇",O89="超过收汇期限仍未销售")," 收汇超期","")&amp;IF(S89="已逾期"," 核算逾期","")&amp;IF(S89="临近截止"," 核算临近截止","")&amp;IF(LEFT(T89,1)="缺"," 单证"&amp;T89,"")&amp;IF(T89="未登记"," 单证未登记","")&amp;IF(AND(ISNUMBER(G89),N(G89)&lt;&gt;0)," 入仓差异"&amp;G89,"")="","正常",SUBSTITUTE(TRIM(IF(OR(O89="超期未收汇",O89="超过收汇期限仍未销售")," 收汇超期","")&amp;IF(S89="已逾期"," 核算逾期","")&amp;IF(S89="临近截止"," 核算临近截止","")&amp;IF(LEFT(T89,1)="缺"," 单证"&amp;T89,"")&amp;IF(T89="未登记"," 单证未登记","")&amp;IF(AND(ISNUMBER(G89),N(G89)&lt;&gt;0)," 入仓差异"&amp;G89,""))," ","、")))</f>
        <v/>
      </c>
    </row>
    <row r="90" customFormat="false" ht="21.75" hidden="false" customHeight="true" outlineLevel="0" collapsed="false">
      <c r="A90" s="29" t="str">
        <f aca="false">IF(①出口报关!A87="","",①出口报关!A87)</f>
        <v/>
      </c>
      <c r="B90" s="29" t="str">
        <f aca="false">IF($A90="","",①出口报关!I87)</f>
        <v/>
      </c>
      <c r="C90" s="29" t="str">
        <f aca="false">IF($A90="","",①出口报关!J87)</f>
        <v/>
      </c>
      <c r="D90" s="30" t="str">
        <f aca="false">IF($A90="","",IF(①出口报关!D87="","",①出口报关!D87))</f>
        <v/>
      </c>
      <c r="E90" s="31" t="str">
        <f aca="false">IF($A90="","",N(①出口报关!L87))</f>
        <v/>
      </c>
      <c r="F90" s="31" t="str">
        <f aca="false">IF($A90="","",IF(①出口报关!Y87="","未签收",①出口报关!Y87))</f>
        <v/>
      </c>
      <c r="G90" s="32" t="str">
        <f aca="false">IF(OR($A90="",NOT(ISNUMBER(F90))),"",F90-E90)</f>
        <v/>
      </c>
      <c r="H90" s="31" t="str">
        <f aca="false">IF($A90="","",SUMIFS(②销售核销!$I$4:$I$603,②销售核销!$E$4:$E$603,$A90))</f>
        <v/>
      </c>
      <c r="I90" s="31" t="str">
        <f aca="false">IF($A90="","",SUMIFS(⑤库存异常!$E$4:$E$203,⑤库存异常!$B$4:$B$203,$A90))</f>
        <v/>
      </c>
      <c r="J90" s="31" t="str">
        <f aca="false">IF($A90="","",IF(ISNUMBER(F90),F90,E90)-H90-I90)</f>
        <v/>
      </c>
      <c r="K90" s="33" t="str">
        <f aca="false">IF(OR($A90="",N(E90)=0),"",H90/E90)</f>
        <v/>
      </c>
      <c r="L90" s="34" t="str">
        <f aca="false">IF($A90="","",SUMIFS(②销售核销!$L$4:$L$603,②销售核销!$E$4:$E$603,$A90))</f>
        <v/>
      </c>
      <c r="M90" s="34" t="str">
        <f aca="false">IF($A90="","",SUMIFS(②销售核销!$L$4:$L$603,②销售核销!$E$4:$E$603,$A90,②销售核销!$M$4:$M$603,"已收汇"))</f>
        <v/>
      </c>
      <c r="N90" s="30" t="str">
        <f aca="false">IF(ISNUMBER(D90),DATE(YEAR(D90)+1,4,30),"")</f>
        <v/>
      </c>
      <c r="O90" s="35" t="str">
        <f aca="true">IF($A90="","",IF(N(H90)=0,IF(AND(ISNUMBER(N90),TODAY()&gt;N90),"超过收汇期限仍未销售","尚未销售"),IF(ROUND(M90,2)&gt;=ROUND(L90,2),"已售部分已收汇",IF(AND(ISNUMBER(N90),TODAY()&gt;N90),"超期未收汇","有回款待收汇"))))</f>
        <v/>
      </c>
      <c r="P90" s="34" t="str">
        <f aca="false">IF($A90="","",SUMIFS(④退税核算!$H$4:$H$303,④退税核算!$A$4:$A$303,$A90))</f>
        <v/>
      </c>
      <c r="Q90" s="34" t="str">
        <f aca="false">IF($A90="","",SUMIFS(④退税核算!$H$4:$H$303,④退税核算!$A$4:$A$303,$A90,④退税核算!$D$4:$D$303,"未售-海外仓预退（HWC-YT）"))</f>
        <v/>
      </c>
      <c r="R90" s="30" t="str">
        <f aca="false">IF($A90="","",IF(COUNTIFS(④退税核算!$A$4:$A$303,$A90,④退税核算!$D$4:$D$303,"未售-海外仓预退（HWC-YT）",④退税核算!$I$4:$I$303,"&gt;0")=0,"",_xlfn.MINIFS(④退税核算!$J$4:$J$303,④退税核算!$A$4:$A$303,$A90,④退税核算!$D$4:$D$303,"未售-海外仓预退（HWC-YT）")))</f>
        <v/>
      </c>
      <c r="S90" s="35" t="str">
        <f aca="false">IF($A90="","",IF(COUNTIFS(④退税核算!$A$4:$A$303,$A90,④退税核算!$D$4:$D$303,"未售-海外仓预退（HWC-YT）")=0,"不涉及",IF(COUNTIFS(④退税核算!$A$4:$A$303,$A90,④退税核算!$S$4:$S$303,"已逾期*")&gt;0,"已逾期",IF(COUNTIFS(④退税核算!$A$4:$A$303,$A90,④退税核算!$S$4:$S$303,"临近*")&gt;0,"临近截止",IF(COUNTIFS(④退税核算!$A$4:$A$303,$A90,④退税核算!$S$4:$S$303,"待*")&gt;0,"待核算","已核算")))))</f>
        <v/>
      </c>
      <c r="T90" s="35" t="str">
        <f aca="false">IF($A90="","",IFERROR(INDEX(⑥单证留存!$P$4:$P$203,MATCH(①出口报关!B87,⑥单证留存!$A$4:$A$203,0)),"未登记"))</f>
        <v/>
      </c>
      <c r="U90" s="36" t="str">
        <f aca="false">IF($A90="","",IF(IF(OR(O90="超期未收汇",O90="超过收汇期限仍未销售")," 收汇超期","")&amp;IF(S90="已逾期"," 核算逾期","")&amp;IF(S90="临近截止"," 核算临近截止","")&amp;IF(LEFT(T90,1)="缺"," 单证"&amp;T90,"")&amp;IF(T90="未登记"," 单证未登记","")&amp;IF(AND(ISNUMBER(G90),N(G90)&lt;&gt;0)," 入仓差异"&amp;G90,"")="","正常",SUBSTITUTE(TRIM(IF(OR(O90="超期未收汇",O90="超过收汇期限仍未销售")," 收汇超期","")&amp;IF(S90="已逾期"," 核算逾期","")&amp;IF(S90="临近截止"," 核算临近截止","")&amp;IF(LEFT(T90,1)="缺"," 单证"&amp;T90,"")&amp;IF(T90="未登记"," 单证未登记","")&amp;IF(AND(ISNUMBER(G90),N(G90)&lt;&gt;0)," 入仓差异"&amp;G90,""))," ","、")))</f>
        <v/>
      </c>
    </row>
    <row r="91" customFormat="false" ht="21.75" hidden="false" customHeight="true" outlineLevel="0" collapsed="false">
      <c r="A91" s="29" t="str">
        <f aca="false">IF(①出口报关!A88="","",①出口报关!A88)</f>
        <v/>
      </c>
      <c r="B91" s="29" t="str">
        <f aca="false">IF($A91="","",①出口报关!I88)</f>
        <v/>
      </c>
      <c r="C91" s="29" t="str">
        <f aca="false">IF($A91="","",①出口报关!J88)</f>
        <v/>
      </c>
      <c r="D91" s="30" t="str">
        <f aca="false">IF($A91="","",IF(①出口报关!D88="","",①出口报关!D88))</f>
        <v/>
      </c>
      <c r="E91" s="31" t="str">
        <f aca="false">IF($A91="","",N(①出口报关!L88))</f>
        <v/>
      </c>
      <c r="F91" s="31" t="str">
        <f aca="false">IF($A91="","",IF(①出口报关!Y88="","未签收",①出口报关!Y88))</f>
        <v/>
      </c>
      <c r="G91" s="32" t="str">
        <f aca="false">IF(OR($A91="",NOT(ISNUMBER(F91))),"",F91-E91)</f>
        <v/>
      </c>
      <c r="H91" s="31" t="str">
        <f aca="false">IF($A91="","",SUMIFS(②销售核销!$I$4:$I$603,②销售核销!$E$4:$E$603,$A91))</f>
        <v/>
      </c>
      <c r="I91" s="31" t="str">
        <f aca="false">IF($A91="","",SUMIFS(⑤库存异常!$E$4:$E$203,⑤库存异常!$B$4:$B$203,$A91))</f>
        <v/>
      </c>
      <c r="J91" s="31" t="str">
        <f aca="false">IF($A91="","",IF(ISNUMBER(F91),F91,E91)-H91-I91)</f>
        <v/>
      </c>
      <c r="K91" s="33" t="str">
        <f aca="false">IF(OR($A91="",N(E91)=0),"",H91/E91)</f>
        <v/>
      </c>
      <c r="L91" s="34" t="str">
        <f aca="false">IF($A91="","",SUMIFS(②销售核销!$L$4:$L$603,②销售核销!$E$4:$E$603,$A91))</f>
        <v/>
      </c>
      <c r="M91" s="34" t="str">
        <f aca="false">IF($A91="","",SUMIFS(②销售核销!$L$4:$L$603,②销售核销!$E$4:$E$603,$A91,②销售核销!$M$4:$M$603,"已收汇"))</f>
        <v/>
      </c>
      <c r="N91" s="30" t="str">
        <f aca="false">IF(ISNUMBER(D91),DATE(YEAR(D91)+1,4,30),"")</f>
        <v/>
      </c>
      <c r="O91" s="35" t="str">
        <f aca="true">IF($A91="","",IF(N(H91)=0,IF(AND(ISNUMBER(N91),TODAY()&gt;N91),"超过收汇期限仍未销售","尚未销售"),IF(ROUND(M91,2)&gt;=ROUND(L91,2),"已售部分已收汇",IF(AND(ISNUMBER(N91),TODAY()&gt;N91),"超期未收汇","有回款待收汇"))))</f>
        <v/>
      </c>
      <c r="P91" s="34" t="str">
        <f aca="false">IF($A91="","",SUMIFS(④退税核算!$H$4:$H$303,④退税核算!$A$4:$A$303,$A91))</f>
        <v/>
      </c>
      <c r="Q91" s="34" t="str">
        <f aca="false">IF($A91="","",SUMIFS(④退税核算!$H$4:$H$303,④退税核算!$A$4:$A$303,$A91,④退税核算!$D$4:$D$303,"未售-海外仓预退（HWC-YT）"))</f>
        <v/>
      </c>
      <c r="R91" s="30" t="str">
        <f aca="false">IF($A91="","",IF(COUNTIFS(④退税核算!$A$4:$A$303,$A91,④退税核算!$D$4:$D$303,"未售-海外仓预退（HWC-YT）",④退税核算!$I$4:$I$303,"&gt;0")=0,"",_xlfn.MINIFS(④退税核算!$J$4:$J$303,④退税核算!$A$4:$A$303,$A91,④退税核算!$D$4:$D$303,"未售-海外仓预退（HWC-YT）")))</f>
        <v/>
      </c>
      <c r="S91" s="35" t="str">
        <f aca="false">IF($A91="","",IF(COUNTIFS(④退税核算!$A$4:$A$303,$A91,④退税核算!$D$4:$D$303,"未售-海外仓预退（HWC-YT）")=0,"不涉及",IF(COUNTIFS(④退税核算!$A$4:$A$303,$A91,④退税核算!$S$4:$S$303,"已逾期*")&gt;0,"已逾期",IF(COUNTIFS(④退税核算!$A$4:$A$303,$A91,④退税核算!$S$4:$S$303,"临近*")&gt;0,"临近截止",IF(COUNTIFS(④退税核算!$A$4:$A$303,$A91,④退税核算!$S$4:$S$303,"待*")&gt;0,"待核算","已核算")))))</f>
        <v/>
      </c>
      <c r="T91" s="35" t="str">
        <f aca="false">IF($A91="","",IFERROR(INDEX(⑥单证留存!$P$4:$P$203,MATCH(①出口报关!B88,⑥单证留存!$A$4:$A$203,0)),"未登记"))</f>
        <v/>
      </c>
      <c r="U91" s="36" t="str">
        <f aca="false">IF($A91="","",IF(IF(OR(O91="超期未收汇",O91="超过收汇期限仍未销售")," 收汇超期","")&amp;IF(S91="已逾期"," 核算逾期","")&amp;IF(S91="临近截止"," 核算临近截止","")&amp;IF(LEFT(T91,1)="缺"," 单证"&amp;T91,"")&amp;IF(T91="未登记"," 单证未登记","")&amp;IF(AND(ISNUMBER(G91),N(G91)&lt;&gt;0)," 入仓差异"&amp;G91,"")="","正常",SUBSTITUTE(TRIM(IF(OR(O91="超期未收汇",O91="超过收汇期限仍未销售")," 收汇超期","")&amp;IF(S91="已逾期"," 核算逾期","")&amp;IF(S91="临近截止"," 核算临近截止","")&amp;IF(LEFT(T91,1)="缺"," 单证"&amp;T91,"")&amp;IF(T91="未登记"," 单证未登记","")&amp;IF(AND(ISNUMBER(G91),N(G91)&lt;&gt;0)," 入仓差异"&amp;G91,""))," ","、")))</f>
        <v/>
      </c>
    </row>
    <row r="92" customFormat="false" ht="21.75" hidden="false" customHeight="true" outlineLevel="0" collapsed="false">
      <c r="A92" s="29" t="str">
        <f aca="false">IF(①出口报关!A89="","",①出口报关!A89)</f>
        <v/>
      </c>
      <c r="B92" s="29" t="str">
        <f aca="false">IF($A92="","",①出口报关!I89)</f>
        <v/>
      </c>
      <c r="C92" s="29" t="str">
        <f aca="false">IF($A92="","",①出口报关!J89)</f>
        <v/>
      </c>
      <c r="D92" s="30" t="str">
        <f aca="false">IF($A92="","",IF(①出口报关!D89="","",①出口报关!D89))</f>
        <v/>
      </c>
      <c r="E92" s="31" t="str">
        <f aca="false">IF($A92="","",N(①出口报关!L89))</f>
        <v/>
      </c>
      <c r="F92" s="31" t="str">
        <f aca="false">IF($A92="","",IF(①出口报关!Y89="","未签收",①出口报关!Y89))</f>
        <v/>
      </c>
      <c r="G92" s="32" t="str">
        <f aca="false">IF(OR($A92="",NOT(ISNUMBER(F92))),"",F92-E92)</f>
        <v/>
      </c>
      <c r="H92" s="31" t="str">
        <f aca="false">IF($A92="","",SUMIFS(②销售核销!$I$4:$I$603,②销售核销!$E$4:$E$603,$A92))</f>
        <v/>
      </c>
      <c r="I92" s="31" t="str">
        <f aca="false">IF($A92="","",SUMIFS(⑤库存异常!$E$4:$E$203,⑤库存异常!$B$4:$B$203,$A92))</f>
        <v/>
      </c>
      <c r="J92" s="31" t="str">
        <f aca="false">IF($A92="","",IF(ISNUMBER(F92),F92,E92)-H92-I92)</f>
        <v/>
      </c>
      <c r="K92" s="33" t="str">
        <f aca="false">IF(OR($A92="",N(E92)=0),"",H92/E92)</f>
        <v/>
      </c>
      <c r="L92" s="34" t="str">
        <f aca="false">IF($A92="","",SUMIFS(②销售核销!$L$4:$L$603,②销售核销!$E$4:$E$603,$A92))</f>
        <v/>
      </c>
      <c r="M92" s="34" t="str">
        <f aca="false">IF($A92="","",SUMIFS(②销售核销!$L$4:$L$603,②销售核销!$E$4:$E$603,$A92,②销售核销!$M$4:$M$603,"已收汇"))</f>
        <v/>
      </c>
      <c r="N92" s="30" t="str">
        <f aca="false">IF(ISNUMBER(D92),DATE(YEAR(D92)+1,4,30),"")</f>
        <v/>
      </c>
      <c r="O92" s="35" t="str">
        <f aca="true">IF($A92="","",IF(N(H92)=0,IF(AND(ISNUMBER(N92),TODAY()&gt;N92),"超过收汇期限仍未销售","尚未销售"),IF(ROUND(M92,2)&gt;=ROUND(L92,2),"已售部分已收汇",IF(AND(ISNUMBER(N92),TODAY()&gt;N92),"超期未收汇","有回款待收汇"))))</f>
        <v/>
      </c>
      <c r="P92" s="34" t="str">
        <f aca="false">IF($A92="","",SUMIFS(④退税核算!$H$4:$H$303,④退税核算!$A$4:$A$303,$A92))</f>
        <v/>
      </c>
      <c r="Q92" s="34" t="str">
        <f aca="false">IF($A92="","",SUMIFS(④退税核算!$H$4:$H$303,④退税核算!$A$4:$A$303,$A92,④退税核算!$D$4:$D$303,"未售-海外仓预退（HWC-YT）"))</f>
        <v/>
      </c>
      <c r="R92" s="30" t="str">
        <f aca="false">IF($A92="","",IF(COUNTIFS(④退税核算!$A$4:$A$303,$A92,④退税核算!$D$4:$D$303,"未售-海外仓预退（HWC-YT）",④退税核算!$I$4:$I$303,"&gt;0")=0,"",_xlfn.MINIFS(④退税核算!$J$4:$J$303,④退税核算!$A$4:$A$303,$A92,④退税核算!$D$4:$D$303,"未售-海外仓预退（HWC-YT）")))</f>
        <v/>
      </c>
      <c r="S92" s="35" t="str">
        <f aca="false">IF($A92="","",IF(COUNTIFS(④退税核算!$A$4:$A$303,$A92,④退税核算!$D$4:$D$303,"未售-海外仓预退（HWC-YT）")=0,"不涉及",IF(COUNTIFS(④退税核算!$A$4:$A$303,$A92,④退税核算!$S$4:$S$303,"已逾期*")&gt;0,"已逾期",IF(COUNTIFS(④退税核算!$A$4:$A$303,$A92,④退税核算!$S$4:$S$303,"临近*")&gt;0,"临近截止",IF(COUNTIFS(④退税核算!$A$4:$A$303,$A92,④退税核算!$S$4:$S$303,"待*")&gt;0,"待核算","已核算")))))</f>
        <v/>
      </c>
      <c r="T92" s="35" t="str">
        <f aca="false">IF($A92="","",IFERROR(INDEX(⑥单证留存!$P$4:$P$203,MATCH(①出口报关!B89,⑥单证留存!$A$4:$A$203,0)),"未登记"))</f>
        <v/>
      </c>
      <c r="U92" s="36" t="str">
        <f aca="false">IF($A92="","",IF(IF(OR(O92="超期未收汇",O92="超过收汇期限仍未销售")," 收汇超期","")&amp;IF(S92="已逾期"," 核算逾期","")&amp;IF(S92="临近截止"," 核算临近截止","")&amp;IF(LEFT(T92,1)="缺"," 单证"&amp;T92,"")&amp;IF(T92="未登记"," 单证未登记","")&amp;IF(AND(ISNUMBER(G92),N(G92)&lt;&gt;0)," 入仓差异"&amp;G92,"")="","正常",SUBSTITUTE(TRIM(IF(OR(O92="超期未收汇",O92="超过收汇期限仍未销售")," 收汇超期","")&amp;IF(S92="已逾期"," 核算逾期","")&amp;IF(S92="临近截止"," 核算临近截止","")&amp;IF(LEFT(T92,1)="缺"," 单证"&amp;T92,"")&amp;IF(T92="未登记"," 单证未登记","")&amp;IF(AND(ISNUMBER(G92),N(G92)&lt;&gt;0)," 入仓差异"&amp;G92,""))," ","、")))</f>
        <v/>
      </c>
    </row>
    <row r="93" customFormat="false" ht="21.75" hidden="false" customHeight="true" outlineLevel="0" collapsed="false">
      <c r="A93" s="29" t="str">
        <f aca="false">IF(①出口报关!A90="","",①出口报关!A90)</f>
        <v/>
      </c>
      <c r="B93" s="29" t="str">
        <f aca="false">IF($A93="","",①出口报关!I90)</f>
        <v/>
      </c>
      <c r="C93" s="29" t="str">
        <f aca="false">IF($A93="","",①出口报关!J90)</f>
        <v/>
      </c>
      <c r="D93" s="30" t="str">
        <f aca="false">IF($A93="","",IF(①出口报关!D90="","",①出口报关!D90))</f>
        <v/>
      </c>
      <c r="E93" s="31" t="str">
        <f aca="false">IF($A93="","",N(①出口报关!L90))</f>
        <v/>
      </c>
      <c r="F93" s="31" t="str">
        <f aca="false">IF($A93="","",IF(①出口报关!Y90="","未签收",①出口报关!Y90))</f>
        <v/>
      </c>
      <c r="G93" s="32" t="str">
        <f aca="false">IF(OR($A93="",NOT(ISNUMBER(F93))),"",F93-E93)</f>
        <v/>
      </c>
      <c r="H93" s="31" t="str">
        <f aca="false">IF($A93="","",SUMIFS(②销售核销!$I$4:$I$603,②销售核销!$E$4:$E$603,$A93))</f>
        <v/>
      </c>
      <c r="I93" s="31" t="str">
        <f aca="false">IF($A93="","",SUMIFS(⑤库存异常!$E$4:$E$203,⑤库存异常!$B$4:$B$203,$A93))</f>
        <v/>
      </c>
      <c r="J93" s="31" t="str">
        <f aca="false">IF($A93="","",IF(ISNUMBER(F93),F93,E93)-H93-I93)</f>
        <v/>
      </c>
      <c r="K93" s="33" t="str">
        <f aca="false">IF(OR($A93="",N(E93)=0),"",H93/E93)</f>
        <v/>
      </c>
      <c r="L93" s="34" t="str">
        <f aca="false">IF($A93="","",SUMIFS(②销售核销!$L$4:$L$603,②销售核销!$E$4:$E$603,$A93))</f>
        <v/>
      </c>
      <c r="M93" s="34" t="str">
        <f aca="false">IF($A93="","",SUMIFS(②销售核销!$L$4:$L$603,②销售核销!$E$4:$E$603,$A93,②销售核销!$M$4:$M$603,"已收汇"))</f>
        <v/>
      </c>
      <c r="N93" s="30" t="str">
        <f aca="false">IF(ISNUMBER(D93),DATE(YEAR(D93)+1,4,30),"")</f>
        <v/>
      </c>
      <c r="O93" s="35" t="str">
        <f aca="true">IF($A93="","",IF(N(H93)=0,IF(AND(ISNUMBER(N93),TODAY()&gt;N93),"超过收汇期限仍未销售","尚未销售"),IF(ROUND(M93,2)&gt;=ROUND(L93,2),"已售部分已收汇",IF(AND(ISNUMBER(N93),TODAY()&gt;N93),"超期未收汇","有回款待收汇"))))</f>
        <v/>
      </c>
      <c r="P93" s="34" t="str">
        <f aca="false">IF($A93="","",SUMIFS(④退税核算!$H$4:$H$303,④退税核算!$A$4:$A$303,$A93))</f>
        <v/>
      </c>
      <c r="Q93" s="34" t="str">
        <f aca="false">IF($A93="","",SUMIFS(④退税核算!$H$4:$H$303,④退税核算!$A$4:$A$303,$A93,④退税核算!$D$4:$D$303,"未售-海外仓预退（HWC-YT）"))</f>
        <v/>
      </c>
      <c r="R93" s="30" t="str">
        <f aca="false">IF($A93="","",IF(COUNTIFS(④退税核算!$A$4:$A$303,$A93,④退税核算!$D$4:$D$303,"未售-海外仓预退（HWC-YT）",④退税核算!$I$4:$I$303,"&gt;0")=0,"",_xlfn.MINIFS(④退税核算!$J$4:$J$303,④退税核算!$A$4:$A$303,$A93,④退税核算!$D$4:$D$303,"未售-海外仓预退（HWC-YT）")))</f>
        <v/>
      </c>
      <c r="S93" s="35" t="str">
        <f aca="false">IF($A93="","",IF(COUNTIFS(④退税核算!$A$4:$A$303,$A93,④退税核算!$D$4:$D$303,"未售-海外仓预退（HWC-YT）")=0,"不涉及",IF(COUNTIFS(④退税核算!$A$4:$A$303,$A93,④退税核算!$S$4:$S$303,"已逾期*")&gt;0,"已逾期",IF(COUNTIFS(④退税核算!$A$4:$A$303,$A93,④退税核算!$S$4:$S$303,"临近*")&gt;0,"临近截止",IF(COUNTIFS(④退税核算!$A$4:$A$303,$A93,④退税核算!$S$4:$S$303,"待*")&gt;0,"待核算","已核算")))))</f>
        <v/>
      </c>
      <c r="T93" s="35" t="str">
        <f aca="false">IF($A93="","",IFERROR(INDEX(⑥单证留存!$P$4:$P$203,MATCH(①出口报关!B90,⑥单证留存!$A$4:$A$203,0)),"未登记"))</f>
        <v/>
      </c>
      <c r="U93" s="36" t="str">
        <f aca="false">IF($A93="","",IF(IF(OR(O93="超期未收汇",O93="超过收汇期限仍未销售")," 收汇超期","")&amp;IF(S93="已逾期"," 核算逾期","")&amp;IF(S93="临近截止"," 核算临近截止","")&amp;IF(LEFT(T93,1)="缺"," 单证"&amp;T93,"")&amp;IF(T93="未登记"," 单证未登记","")&amp;IF(AND(ISNUMBER(G93),N(G93)&lt;&gt;0)," 入仓差异"&amp;G93,"")="","正常",SUBSTITUTE(TRIM(IF(OR(O93="超期未收汇",O93="超过收汇期限仍未销售")," 收汇超期","")&amp;IF(S93="已逾期"," 核算逾期","")&amp;IF(S93="临近截止"," 核算临近截止","")&amp;IF(LEFT(T93,1)="缺"," 单证"&amp;T93,"")&amp;IF(T93="未登记"," 单证未登记","")&amp;IF(AND(ISNUMBER(G93),N(G93)&lt;&gt;0)," 入仓差异"&amp;G93,""))," ","、")))</f>
        <v/>
      </c>
    </row>
    <row r="94" customFormat="false" ht="21.75" hidden="false" customHeight="true" outlineLevel="0" collapsed="false">
      <c r="A94" s="29" t="str">
        <f aca="false">IF(①出口报关!A91="","",①出口报关!A91)</f>
        <v/>
      </c>
      <c r="B94" s="29" t="str">
        <f aca="false">IF($A94="","",①出口报关!I91)</f>
        <v/>
      </c>
      <c r="C94" s="29" t="str">
        <f aca="false">IF($A94="","",①出口报关!J91)</f>
        <v/>
      </c>
      <c r="D94" s="30" t="str">
        <f aca="false">IF($A94="","",IF(①出口报关!D91="","",①出口报关!D91))</f>
        <v/>
      </c>
      <c r="E94" s="31" t="str">
        <f aca="false">IF($A94="","",N(①出口报关!L91))</f>
        <v/>
      </c>
      <c r="F94" s="31" t="str">
        <f aca="false">IF($A94="","",IF(①出口报关!Y91="","未签收",①出口报关!Y91))</f>
        <v/>
      </c>
      <c r="G94" s="32" t="str">
        <f aca="false">IF(OR($A94="",NOT(ISNUMBER(F94))),"",F94-E94)</f>
        <v/>
      </c>
      <c r="H94" s="31" t="str">
        <f aca="false">IF($A94="","",SUMIFS(②销售核销!$I$4:$I$603,②销售核销!$E$4:$E$603,$A94))</f>
        <v/>
      </c>
      <c r="I94" s="31" t="str">
        <f aca="false">IF($A94="","",SUMIFS(⑤库存异常!$E$4:$E$203,⑤库存异常!$B$4:$B$203,$A94))</f>
        <v/>
      </c>
      <c r="J94" s="31" t="str">
        <f aca="false">IF($A94="","",IF(ISNUMBER(F94),F94,E94)-H94-I94)</f>
        <v/>
      </c>
      <c r="K94" s="33" t="str">
        <f aca="false">IF(OR($A94="",N(E94)=0),"",H94/E94)</f>
        <v/>
      </c>
      <c r="L94" s="34" t="str">
        <f aca="false">IF($A94="","",SUMIFS(②销售核销!$L$4:$L$603,②销售核销!$E$4:$E$603,$A94))</f>
        <v/>
      </c>
      <c r="M94" s="34" t="str">
        <f aca="false">IF($A94="","",SUMIFS(②销售核销!$L$4:$L$603,②销售核销!$E$4:$E$603,$A94,②销售核销!$M$4:$M$603,"已收汇"))</f>
        <v/>
      </c>
      <c r="N94" s="30" t="str">
        <f aca="false">IF(ISNUMBER(D94),DATE(YEAR(D94)+1,4,30),"")</f>
        <v/>
      </c>
      <c r="O94" s="35" t="str">
        <f aca="true">IF($A94="","",IF(N(H94)=0,IF(AND(ISNUMBER(N94),TODAY()&gt;N94),"超过收汇期限仍未销售","尚未销售"),IF(ROUND(M94,2)&gt;=ROUND(L94,2),"已售部分已收汇",IF(AND(ISNUMBER(N94),TODAY()&gt;N94),"超期未收汇","有回款待收汇"))))</f>
        <v/>
      </c>
      <c r="P94" s="34" t="str">
        <f aca="false">IF($A94="","",SUMIFS(④退税核算!$H$4:$H$303,④退税核算!$A$4:$A$303,$A94))</f>
        <v/>
      </c>
      <c r="Q94" s="34" t="str">
        <f aca="false">IF($A94="","",SUMIFS(④退税核算!$H$4:$H$303,④退税核算!$A$4:$A$303,$A94,④退税核算!$D$4:$D$303,"未售-海外仓预退（HWC-YT）"))</f>
        <v/>
      </c>
      <c r="R94" s="30" t="str">
        <f aca="false">IF($A94="","",IF(COUNTIFS(④退税核算!$A$4:$A$303,$A94,④退税核算!$D$4:$D$303,"未售-海外仓预退（HWC-YT）",④退税核算!$I$4:$I$303,"&gt;0")=0,"",_xlfn.MINIFS(④退税核算!$J$4:$J$303,④退税核算!$A$4:$A$303,$A94,④退税核算!$D$4:$D$303,"未售-海外仓预退（HWC-YT）")))</f>
        <v/>
      </c>
      <c r="S94" s="35" t="str">
        <f aca="false">IF($A94="","",IF(COUNTIFS(④退税核算!$A$4:$A$303,$A94,④退税核算!$D$4:$D$303,"未售-海外仓预退（HWC-YT）")=0,"不涉及",IF(COUNTIFS(④退税核算!$A$4:$A$303,$A94,④退税核算!$S$4:$S$303,"已逾期*")&gt;0,"已逾期",IF(COUNTIFS(④退税核算!$A$4:$A$303,$A94,④退税核算!$S$4:$S$303,"临近*")&gt;0,"临近截止",IF(COUNTIFS(④退税核算!$A$4:$A$303,$A94,④退税核算!$S$4:$S$303,"待*")&gt;0,"待核算","已核算")))))</f>
        <v/>
      </c>
      <c r="T94" s="35" t="str">
        <f aca="false">IF($A94="","",IFERROR(INDEX(⑥单证留存!$P$4:$P$203,MATCH(①出口报关!B91,⑥单证留存!$A$4:$A$203,0)),"未登记"))</f>
        <v/>
      </c>
      <c r="U94" s="36" t="str">
        <f aca="false">IF($A94="","",IF(IF(OR(O94="超期未收汇",O94="超过收汇期限仍未销售")," 收汇超期","")&amp;IF(S94="已逾期"," 核算逾期","")&amp;IF(S94="临近截止"," 核算临近截止","")&amp;IF(LEFT(T94,1)="缺"," 单证"&amp;T94,"")&amp;IF(T94="未登记"," 单证未登记","")&amp;IF(AND(ISNUMBER(G94),N(G94)&lt;&gt;0)," 入仓差异"&amp;G94,"")="","正常",SUBSTITUTE(TRIM(IF(OR(O94="超期未收汇",O94="超过收汇期限仍未销售")," 收汇超期","")&amp;IF(S94="已逾期"," 核算逾期","")&amp;IF(S94="临近截止"," 核算临近截止","")&amp;IF(LEFT(T94,1)="缺"," 单证"&amp;T94,"")&amp;IF(T94="未登记"," 单证未登记","")&amp;IF(AND(ISNUMBER(G94),N(G94)&lt;&gt;0)," 入仓差异"&amp;G94,""))," ","、")))</f>
        <v/>
      </c>
    </row>
    <row r="95" customFormat="false" ht="21.75" hidden="false" customHeight="true" outlineLevel="0" collapsed="false">
      <c r="A95" s="29" t="str">
        <f aca="false">IF(①出口报关!A92="","",①出口报关!A92)</f>
        <v/>
      </c>
      <c r="B95" s="29" t="str">
        <f aca="false">IF($A95="","",①出口报关!I92)</f>
        <v/>
      </c>
      <c r="C95" s="29" t="str">
        <f aca="false">IF($A95="","",①出口报关!J92)</f>
        <v/>
      </c>
      <c r="D95" s="30" t="str">
        <f aca="false">IF($A95="","",IF(①出口报关!D92="","",①出口报关!D92))</f>
        <v/>
      </c>
      <c r="E95" s="31" t="str">
        <f aca="false">IF($A95="","",N(①出口报关!L92))</f>
        <v/>
      </c>
      <c r="F95" s="31" t="str">
        <f aca="false">IF($A95="","",IF(①出口报关!Y92="","未签收",①出口报关!Y92))</f>
        <v/>
      </c>
      <c r="G95" s="32" t="str">
        <f aca="false">IF(OR($A95="",NOT(ISNUMBER(F95))),"",F95-E95)</f>
        <v/>
      </c>
      <c r="H95" s="31" t="str">
        <f aca="false">IF($A95="","",SUMIFS(②销售核销!$I$4:$I$603,②销售核销!$E$4:$E$603,$A95))</f>
        <v/>
      </c>
      <c r="I95" s="31" t="str">
        <f aca="false">IF($A95="","",SUMIFS(⑤库存异常!$E$4:$E$203,⑤库存异常!$B$4:$B$203,$A95))</f>
        <v/>
      </c>
      <c r="J95" s="31" t="str">
        <f aca="false">IF($A95="","",IF(ISNUMBER(F95),F95,E95)-H95-I95)</f>
        <v/>
      </c>
      <c r="K95" s="33" t="str">
        <f aca="false">IF(OR($A95="",N(E95)=0),"",H95/E95)</f>
        <v/>
      </c>
      <c r="L95" s="34" t="str">
        <f aca="false">IF($A95="","",SUMIFS(②销售核销!$L$4:$L$603,②销售核销!$E$4:$E$603,$A95))</f>
        <v/>
      </c>
      <c r="M95" s="34" t="str">
        <f aca="false">IF($A95="","",SUMIFS(②销售核销!$L$4:$L$603,②销售核销!$E$4:$E$603,$A95,②销售核销!$M$4:$M$603,"已收汇"))</f>
        <v/>
      </c>
      <c r="N95" s="30" t="str">
        <f aca="false">IF(ISNUMBER(D95),DATE(YEAR(D95)+1,4,30),"")</f>
        <v/>
      </c>
      <c r="O95" s="35" t="str">
        <f aca="true">IF($A95="","",IF(N(H95)=0,IF(AND(ISNUMBER(N95),TODAY()&gt;N95),"超过收汇期限仍未销售","尚未销售"),IF(ROUND(M95,2)&gt;=ROUND(L95,2),"已售部分已收汇",IF(AND(ISNUMBER(N95),TODAY()&gt;N95),"超期未收汇","有回款待收汇"))))</f>
        <v/>
      </c>
      <c r="P95" s="34" t="str">
        <f aca="false">IF($A95="","",SUMIFS(④退税核算!$H$4:$H$303,④退税核算!$A$4:$A$303,$A95))</f>
        <v/>
      </c>
      <c r="Q95" s="34" t="str">
        <f aca="false">IF($A95="","",SUMIFS(④退税核算!$H$4:$H$303,④退税核算!$A$4:$A$303,$A95,④退税核算!$D$4:$D$303,"未售-海外仓预退（HWC-YT）"))</f>
        <v/>
      </c>
      <c r="R95" s="30" t="str">
        <f aca="false">IF($A95="","",IF(COUNTIFS(④退税核算!$A$4:$A$303,$A95,④退税核算!$D$4:$D$303,"未售-海外仓预退（HWC-YT）",④退税核算!$I$4:$I$303,"&gt;0")=0,"",_xlfn.MINIFS(④退税核算!$J$4:$J$303,④退税核算!$A$4:$A$303,$A95,④退税核算!$D$4:$D$303,"未售-海外仓预退（HWC-YT）")))</f>
        <v/>
      </c>
      <c r="S95" s="35" t="str">
        <f aca="false">IF($A95="","",IF(COUNTIFS(④退税核算!$A$4:$A$303,$A95,④退税核算!$D$4:$D$303,"未售-海外仓预退（HWC-YT）")=0,"不涉及",IF(COUNTIFS(④退税核算!$A$4:$A$303,$A95,④退税核算!$S$4:$S$303,"已逾期*")&gt;0,"已逾期",IF(COUNTIFS(④退税核算!$A$4:$A$303,$A95,④退税核算!$S$4:$S$303,"临近*")&gt;0,"临近截止",IF(COUNTIFS(④退税核算!$A$4:$A$303,$A95,④退税核算!$S$4:$S$303,"待*")&gt;0,"待核算","已核算")))))</f>
        <v/>
      </c>
      <c r="T95" s="35" t="str">
        <f aca="false">IF($A95="","",IFERROR(INDEX(⑥单证留存!$P$4:$P$203,MATCH(①出口报关!B92,⑥单证留存!$A$4:$A$203,0)),"未登记"))</f>
        <v/>
      </c>
      <c r="U95" s="36" t="str">
        <f aca="false">IF($A95="","",IF(IF(OR(O95="超期未收汇",O95="超过收汇期限仍未销售")," 收汇超期","")&amp;IF(S95="已逾期"," 核算逾期","")&amp;IF(S95="临近截止"," 核算临近截止","")&amp;IF(LEFT(T95,1)="缺"," 单证"&amp;T95,"")&amp;IF(T95="未登记"," 单证未登记","")&amp;IF(AND(ISNUMBER(G95),N(G95)&lt;&gt;0)," 入仓差异"&amp;G95,"")="","正常",SUBSTITUTE(TRIM(IF(OR(O95="超期未收汇",O95="超过收汇期限仍未销售")," 收汇超期","")&amp;IF(S95="已逾期"," 核算逾期","")&amp;IF(S95="临近截止"," 核算临近截止","")&amp;IF(LEFT(T95,1)="缺"," 单证"&amp;T95,"")&amp;IF(T95="未登记"," 单证未登记","")&amp;IF(AND(ISNUMBER(G95),N(G95)&lt;&gt;0)," 入仓差异"&amp;G95,""))," ","、")))</f>
        <v/>
      </c>
    </row>
    <row r="96" customFormat="false" ht="21.75" hidden="false" customHeight="true" outlineLevel="0" collapsed="false">
      <c r="A96" s="29" t="str">
        <f aca="false">IF(①出口报关!A93="","",①出口报关!A93)</f>
        <v/>
      </c>
      <c r="B96" s="29" t="str">
        <f aca="false">IF($A96="","",①出口报关!I93)</f>
        <v/>
      </c>
      <c r="C96" s="29" t="str">
        <f aca="false">IF($A96="","",①出口报关!J93)</f>
        <v/>
      </c>
      <c r="D96" s="30" t="str">
        <f aca="false">IF($A96="","",IF(①出口报关!D93="","",①出口报关!D93))</f>
        <v/>
      </c>
      <c r="E96" s="31" t="str">
        <f aca="false">IF($A96="","",N(①出口报关!L93))</f>
        <v/>
      </c>
      <c r="F96" s="31" t="str">
        <f aca="false">IF($A96="","",IF(①出口报关!Y93="","未签收",①出口报关!Y93))</f>
        <v/>
      </c>
      <c r="G96" s="32" t="str">
        <f aca="false">IF(OR($A96="",NOT(ISNUMBER(F96))),"",F96-E96)</f>
        <v/>
      </c>
      <c r="H96" s="31" t="str">
        <f aca="false">IF($A96="","",SUMIFS(②销售核销!$I$4:$I$603,②销售核销!$E$4:$E$603,$A96))</f>
        <v/>
      </c>
      <c r="I96" s="31" t="str">
        <f aca="false">IF($A96="","",SUMIFS(⑤库存异常!$E$4:$E$203,⑤库存异常!$B$4:$B$203,$A96))</f>
        <v/>
      </c>
      <c r="J96" s="31" t="str">
        <f aca="false">IF($A96="","",IF(ISNUMBER(F96),F96,E96)-H96-I96)</f>
        <v/>
      </c>
      <c r="K96" s="33" t="str">
        <f aca="false">IF(OR($A96="",N(E96)=0),"",H96/E96)</f>
        <v/>
      </c>
      <c r="L96" s="34" t="str">
        <f aca="false">IF($A96="","",SUMIFS(②销售核销!$L$4:$L$603,②销售核销!$E$4:$E$603,$A96))</f>
        <v/>
      </c>
      <c r="M96" s="34" t="str">
        <f aca="false">IF($A96="","",SUMIFS(②销售核销!$L$4:$L$603,②销售核销!$E$4:$E$603,$A96,②销售核销!$M$4:$M$603,"已收汇"))</f>
        <v/>
      </c>
      <c r="N96" s="30" t="str">
        <f aca="false">IF(ISNUMBER(D96),DATE(YEAR(D96)+1,4,30),"")</f>
        <v/>
      </c>
      <c r="O96" s="35" t="str">
        <f aca="true">IF($A96="","",IF(N(H96)=0,IF(AND(ISNUMBER(N96),TODAY()&gt;N96),"超过收汇期限仍未销售","尚未销售"),IF(ROUND(M96,2)&gt;=ROUND(L96,2),"已售部分已收汇",IF(AND(ISNUMBER(N96),TODAY()&gt;N96),"超期未收汇","有回款待收汇"))))</f>
        <v/>
      </c>
      <c r="P96" s="34" t="str">
        <f aca="false">IF($A96="","",SUMIFS(④退税核算!$H$4:$H$303,④退税核算!$A$4:$A$303,$A96))</f>
        <v/>
      </c>
      <c r="Q96" s="34" t="str">
        <f aca="false">IF($A96="","",SUMIFS(④退税核算!$H$4:$H$303,④退税核算!$A$4:$A$303,$A96,④退税核算!$D$4:$D$303,"未售-海外仓预退（HWC-YT）"))</f>
        <v/>
      </c>
      <c r="R96" s="30" t="str">
        <f aca="false">IF($A96="","",IF(COUNTIFS(④退税核算!$A$4:$A$303,$A96,④退税核算!$D$4:$D$303,"未售-海外仓预退（HWC-YT）",④退税核算!$I$4:$I$303,"&gt;0")=0,"",_xlfn.MINIFS(④退税核算!$J$4:$J$303,④退税核算!$A$4:$A$303,$A96,④退税核算!$D$4:$D$303,"未售-海外仓预退（HWC-YT）")))</f>
        <v/>
      </c>
      <c r="S96" s="35" t="str">
        <f aca="false">IF($A96="","",IF(COUNTIFS(④退税核算!$A$4:$A$303,$A96,④退税核算!$D$4:$D$303,"未售-海外仓预退（HWC-YT）")=0,"不涉及",IF(COUNTIFS(④退税核算!$A$4:$A$303,$A96,④退税核算!$S$4:$S$303,"已逾期*")&gt;0,"已逾期",IF(COUNTIFS(④退税核算!$A$4:$A$303,$A96,④退税核算!$S$4:$S$303,"临近*")&gt;0,"临近截止",IF(COUNTIFS(④退税核算!$A$4:$A$303,$A96,④退税核算!$S$4:$S$303,"待*")&gt;0,"待核算","已核算")))))</f>
        <v/>
      </c>
      <c r="T96" s="35" t="str">
        <f aca="false">IF($A96="","",IFERROR(INDEX(⑥单证留存!$P$4:$P$203,MATCH(①出口报关!B93,⑥单证留存!$A$4:$A$203,0)),"未登记"))</f>
        <v/>
      </c>
      <c r="U96" s="36" t="str">
        <f aca="false">IF($A96="","",IF(IF(OR(O96="超期未收汇",O96="超过收汇期限仍未销售")," 收汇超期","")&amp;IF(S96="已逾期"," 核算逾期","")&amp;IF(S96="临近截止"," 核算临近截止","")&amp;IF(LEFT(T96,1)="缺"," 单证"&amp;T96,"")&amp;IF(T96="未登记"," 单证未登记","")&amp;IF(AND(ISNUMBER(G96),N(G96)&lt;&gt;0)," 入仓差异"&amp;G96,"")="","正常",SUBSTITUTE(TRIM(IF(OR(O96="超期未收汇",O96="超过收汇期限仍未销售")," 收汇超期","")&amp;IF(S96="已逾期"," 核算逾期","")&amp;IF(S96="临近截止"," 核算临近截止","")&amp;IF(LEFT(T96,1)="缺"," 单证"&amp;T96,"")&amp;IF(T96="未登记"," 单证未登记","")&amp;IF(AND(ISNUMBER(G96),N(G96)&lt;&gt;0)," 入仓差异"&amp;G96,""))," ","、")))</f>
        <v/>
      </c>
    </row>
    <row r="97" customFormat="false" ht="21.75" hidden="false" customHeight="true" outlineLevel="0" collapsed="false">
      <c r="A97" s="29" t="str">
        <f aca="false">IF(①出口报关!A94="","",①出口报关!A94)</f>
        <v/>
      </c>
      <c r="B97" s="29" t="str">
        <f aca="false">IF($A97="","",①出口报关!I94)</f>
        <v/>
      </c>
      <c r="C97" s="29" t="str">
        <f aca="false">IF($A97="","",①出口报关!J94)</f>
        <v/>
      </c>
      <c r="D97" s="30" t="str">
        <f aca="false">IF($A97="","",IF(①出口报关!D94="","",①出口报关!D94))</f>
        <v/>
      </c>
      <c r="E97" s="31" t="str">
        <f aca="false">IF($A97="","",N(①出口报关!L94))</f>
        <v/>
      </c>
      <c r="F97" s="31" t="str">
        <f aca="false">IF($A97="","",IF(①出口报关!Y94="","未签收",①出口报关!Y94))</f>
        <v/>
      </c>
      <c r="G97" s="32" t="str">
        <f aca="false">IF(OR($A97="",NOT(ISNUMBER(F97))),"",F97-E97)</f>
        <v/>
      </c>
      <c r="H97" s="31" t="str">
        <f aca="false">IF($A97="","",SUMIFS(②销售核销!$I$4:$I$603,②销售核销!$E$4:$E$603,$A97))</f>
        <v/>
      </c>
      <c r="I97" s="31" t="str">
        <f aca="false">IF($A97="","",SUMIFS(⑤库存异常!$E$4:$E$203,⑤库存异常!$B$4:$B$203,$A97))</f>
        <v/>
      </c>
      <c r="J97" s="31" t="str">
        <f aca="false">IF($A97="","",IF(ISNUMBER(F97),F97,E97)-H97-I97)</f>
        <v/>
      </c>
      <c r="K97" s="33" t="str">
        <f aca="false">IF(OR($A97="",N(E97)=0),"",H97/E97)</f>
        <v/>
      </c>
      <c r="L97" s="34" t="str">
        <f aca="false">IF($A97="","",SUMIFS(②销售核销!$L$4:$L$603,②销售核销!$E$4:$E$603,$A97))</f>
        <v/>
      </c>
      <c r="M97" s="34" t="str">
        <f aca="false">IF($A97="","",SUMIFS(②销售核销!$L$4:$L$603,②销售核销!$E$4:$E$603,$A97,②销售核销!$M$4:$M$603,"已收汇"))</f>
        <v/>
      </c>
      <c r="N97" s="30" t="str">
        <f aca="false">IF(ISNUMBER(D97),DATE(YEAR(D97)+1,4,30),"")</f>
        <v/>
      </c>
      <c r="O97" s="35" t="str">
        <f aca="true">IF($A97="","",IF(N(H97)=0,IF(AND(ISNUMBER(N97),TODAY()&gt;N97),"超过收汇期限仍未销售","尚未销售"),IF(ROUND(M97,2)&gt;=ROUND(L97,2),"已售部分已收汇",IF(AND(ISNUMBER(N97),TODAY()&gt;N97),"超期未收汇","有回款待收汇"))))</f>
        <v/>
      </c>
      <c r="P97" s="34" t="str">
        <f aca="false">IF($A97="","",SUMIFS(④退税核算!$H$4:$H$303,④退税核算!$A$4:$A$303,$A97))</f>
        <v/>
      </c>
      <c r="Q97" s="34" t="str">
        <f aca="false">IF($A97="","",SUMIFS(④退税核算!$H$4:$H$303,④退税核算!$A$4:$A$303,$A97,④退税核算!$D$4:$D$303,"未售-海外仓预退（HWC-YT）"))</f>
        <v/>
      </c>
      <c r="R97" s="30" t="str">
        <f aca="false">IF($A97="","",IF(COUNTIFS(④退税核算!$A$4:$A$303,$A97,④退税核算!$D$4:$D$303,"未售-海外仓预退（HWC-YT）",④退税核算!$I$4:$I$303,"&gt;0")=0,"",_xlfn.MINIFS(④退税核算!$J$4:$J$303,④退税核算!$A$4:$A$303,$A97,④退税核算!$D$4:$D$303,"未售-海外仓预退（HWC-YT）")))</f>
        <v/>
      </c>
      <c r="S97" s="35" t="str">
        <f aca="false">IF($A97="","",IF(COUNTIFS(④退税核算!$A$4:$A$303,$A97,④退税核算!$D$4:$D$303,"未售-海外仓预退（HWC-YT）")=0,"不涉及",IF(COUNTIFS(④退税核算!$A$4:$A$303,$A97,④退税核算!$S$4:$S$303,"已逾期*")&gt;0,"已逾期",IF(COUNTIFS(④退税核算!$A$4:$A$303,$A97,④退税核算!$S$4:$S$303,"临近*")&gt;0,"临近截止",IF(COUNTIFS(④退税核算!$A$4:$A$303,$A97,④退税核算!$S$4:$S$303,"待*")&gt;0,"待核算","已核算")))))</f>
        <v/>
      </c>
      <c r="T97" s="35" t="str">
        <f aca="false">IF($A97="","",IFERROR(INDEX(⑥单证留存!$P$4:$P$203,MATCH(①出口报关!B94,⑥单证留存!$A$4:$A$203,0)),"未登记"))</f>
        <v/>
      </c>
      <c r="U97" s="36" t="str">
        <f aca="false">IF($A97="","",IF(IF(OR(O97="超期未收汇",O97="超过收汇期限仍未销售")," 收汇超期","")&amp;IF(S97="已逾期"," 核算逾期","")&amp;IF(S97="临近截止"," 核算临近截止","")&amp;IF(LEFT(T97,1)="缺"," 单证"&amp;T97,"")&amp;IF(T97="未登记"," 单证未登记","")&amp;IF(AND(ISNUMBER(G97),N(G97)&lt;&gt;0)," 入仓差异"&amp;G97,"")="","正常",SUBSTITUTE(TRIM(IF(OR(O97="超期未收汇",O97="超过收汇期限仍未销售")," 收汇超期","")&amp;IF(S97="已逾期"," 核算逾期","")&amp;IF(S97="临近截止"," 核算临近截止","")&amp;IF(LEFT(T97,1)="缺"," 单证"&amp;T97,"")&amp;IF(T97="未登记"," 单证未登记","")&amp;IF(AND(ISNUMBER(G97),N(G97)&lt;&gt;0)," 入仓差异"&amp;G97,""))," ","、")))</f>
        <v/>
      </c>
    </row>
    <row r="98" customFormat="false" ht="21.75" hidden="false" customHeight="true" outlineLevel="0" collapsed="false">
      <c r="A98" s="29" t="str">
        <f aca="false">IF(①出口报关!A95="","",①出口报关!A95)</f>
        <v/>
      </c>
      <c r="B98" s="29" t="str">
        <f aca="false">IF($A98="","",①出口报关!I95)</f>
        <v/>
      </c>
      <c r="C98" s="29" t="str">
        <f aca="false">IF($A98="","",①出口报关!J95)</f>
        <v/>
      </c>
      <c r="D98" s="30" t="str">
        <f aca="false">IF($A98="","",IF(①出口报关!D95="","",①出口报关!D95))</f>
        <v/>
      </c>
      <c r="E98" s="31" t="str">
        <f aca="false">IF($A98="","",N(①出口报关!L95))</f>
        <v/>
      </c>
      <c r="F98" s="31" t="str">
        <f aca="false">IF($A98="","",IF(①出口报关!Y95="","未签收",①出口报关!Y95))</f>
        <v/>
      </c>
      <c r="G98" s="32" t="str">
        <f aca="false">IF(OR($A98="",NOT(ISNUMBER(F98))),"",F98-E98)</f>
        <v/>
      </c>
      <c r="H98" s="31" t="str">
        <f aca="false">IF($A98="","",SUMIFS(②销售核销!$I$4:$I$603,②销售核销!$E$4:$E$603,$A98))</f>
        <v/>
      </c>
      <c r="I98" s="31" t="str">
        <f aca="false">IF($A98="","",SUMIFS(⑤库存异常!$E$4:$E$203,⑤库存异常!$B$4:$B$203,$A98))</f>
        <v/>
      </c>
      <c r="J98" s="31" t="str">
        <f aca="false">IF($A98="","",IF(ISNUMBER(F98),F98,E98)-H98-I98)</f>
        <v/>
      </c>
      <c r="K98" s="33" t="str">
        <f aca="false">IF(OR($A98="",N(E98)=0),"",H98/E98)</f>
        <v/>
      </c>
      <c r="L98" s="34" t="str">
        <f aca="false">IF($A98="","",SUMIFS(②销售核销!$L$4:$L$603,②销售核销!$E$4:$E$603,$A98))</f>
        <v/>
      </c>
      <c r="M98" s="34" t="str">
        <f aca="false">IF($A98="","",SUMIFS(②销售核销!$L$4:$L$603,②销售核销!$E$4:$E$603,$A98,②销售核销!$M$4:$M$603,"已收汇"))</f>
        <v/>
      </c>
      <c r="N98" s="30" t="str">
        <f aca="false">IF(ISNUMBER(D98),DATE(YEAR(D98)+1,4,30),"")</f>
        <v/>
      </c>
      <c r="O98" s="35" t="str">
        <f aca="true">IF($A98="","",IF(N(H98)=0,IF(AND(ISNUMBER(N98),TODAY()&gt;N98),"超过收汇期限仍未销售","尚未销售"),IF(ROUND(M98,2)&gt;=ROUND(L98,2),"已售部分已收汇",IF(AND(ISNUMBER(N98),TODAY()&gt;N98),"超期未收汇","有回款待收汇"))))</f>
        <v/>
      </c>
      <c r="P98" s="34" t="str">
        <f aca="false">IF($A98="","",SUMIFS(④退税核算!$H$4:$H$303,④退税核算!$A$4:$A$303,$A98))</f>
        <v/>
      </c>
      <c r="Q98" s="34" t="str">
        <f aca="false">IF($A98="","",SUMIFS(④退税核算!$H$4:$H$303,④退税核算!$A$4:$A$303,$A98,④退税核算!$D$4:$D$303,"未售-海外仓预退（HWC-YT）"))</f>
        <v/>
      </c>
      <c r="R98" s="30" t="str">
        <f aca="false">IF($A98="","",IF(COUNTIFS(④退税核算!$A$4:$A$303,$A98,④退税核算!$D$4:$D$303,"未售-海外仓预退（HWC-YT）",④退税核算!$I$4:$I$303,"&gt;0")=0,"",_xlfn.MINIFS(④退税核算!$J$4:$J$303,④退税核算!$A$4:$A$303,$A98,④退税核算!$D$4:$D$303,"未售-海外仓预退（HWC-YT）")))</f>
        <v/>
      </c>
      <c r="S98" s="35" t="str">
        <f aca="false">IF($A98="","",IF(COUNTIFS(④退税核算!$A$4:$A$303,$A98,④退税核算!$D$4:$D$303,"未售-海外仓预退（HWC-YT）")=0,"不涉及",IF(COUNTIFS(④退税核算!$A$4:$A$303,$A98,④退税核算!$S$4:$S$303,"已逾期*")&gt;0,"已逾期",IF(COUNTIFS(④退税核算!$A$4:$A$303,$A98,④退税核算!$S$4:$S$303,"临近*")&gt;0,"临近截止",IF(COUNTIFS(④退税核算!$A$4:$A$303,$A98,④退税核算!$S$4:$S$303,"待*")&gt;0,"待核算","已核算")))))</f>
        <v/>
      </c>
      <c r="T98" s="35" t="str">
        <f aca="false">IF($A98="","",IFERROR(INDEX(⑥单证留存!$P$4:$P$203,MATCH(①出口报关!B95,⑥单证留存!$A$4:$A$203,0)),"未登记"))</f>
        <v/>
      </c>
      <c r="U98" s="36" t="str">
        <f aca="false">IF($A98="","",IF(IF(OR(O98="超期未收汇",O98="超过收汇期限仍未销售")," 收汇超期","")&amp;IF(S98="已逾期"," 核算逾期","")&amp;IF(S98="临近截止"," 核算临近截止","")&amp;IF(LEFT(T98,1)="缺"," 单证"&amp;T98,"")&amp;IF(T98="未登记"," 单证未登记","")&amp;IF(AND(ISNUMBER(G98),N(G98)&lt;&gt;0)," 入仓差异"&amp;G98,"")="","正常",SUBSTITUTE(TRIM(IF(OR(O98="超期未收汇",O98="超过收汇期限仍未销售")," 收汇超期","")&amp;IF(S98="已逾期"," 核算逾期","")&amp;IF(S98="临近截止"," 核算临近截止","")&amp;IF(LEFT(T98,1)="缺"," 单证"&amp;T98,"")&amp;IF(T98="未登记"," 单证未登记","")&amp;IF(AND(ISNUMBER(G98),N(G98)&lt;&gt;0)," 入仓差异"&amp;G98,""))," ","、")))</f>
        <v/>
      </c>
    </row>
    <row r="99" customFormat="false" ht="21.75" hidden="false" customHeight="true" outlineLevel="0" collapsed="false">
      <c r="A99" s="29" t="str">
        <f aca="false">IF(①出口报关!A96="","",①出口报关!A96)</f>
        <v/>
      </c>
      <c r="B99" s="29" t="str">
        <f aca="false">IF($A99="","",①出口报关!I96)</f>
        <v/>
      </c>
      <c r="C99" s="29" t="str">
        <f aca="false">IF($A99="","",①出口报关!J96)</f>
        <v/>
      </c>
      <c r="D99" s="30" t="str">
        <f aca="false">IF($A99="","",IF(①出口报关!D96="","",①出口报关!D96))</f>
        <v/>
      </c>
      <c r="E99" s="31" t="str">
        <f aca="false">IF($A99="","",N(①出口报关!L96))</f>
        <v/>
      </c>
      <c r="F99" s="31" t="str">
        <f aca="false">IF($A99="","",IF(①出口报关!Y96="","未签收",①出口报关!Y96))</f>
        <v/>
      </c>
      <c r="G99" s="32" t="str">
        <f aca="false">IF(OR($A99="",NOT(ISNUMBER(F99))),"",F99-E99)</f>
        <v/>
      </c>
      <c r="H99" s="31" t="str">
        <f aca="false">IF($A99="","",SUMIFS(②销售核销!$I$4:$I$603,②销售核销!$E$4:$E$603,$A99))</f>
        <v/>
      </c>
      <c r="I99" s="31" t="str">
        <f aca="false">IF($A99="","",SUMIFS(⑤库存异常!$E$4:$E$203,⑤库存异常!$B$4:$B$203,$A99))</f>
        <v/>
      </c>
      <c r="J99" s="31" t="str">
        <f aca="false">IF($A99="","",IF(ISNUMBER(F99),F99,E99)-H99-I99)</f>
        <v/>
      </c>
      <c r="K99" s="33" t="str">
        <f aca="false">IF(OR($A99="",N(E99)=0),"",H99/E99)</f>
        <v/>
      </c>
      <c r="L99" s="34" t="str">
        <f aca="false">IF($A99="","",SUMIFS(②销售核销!$L$4:$L$603,②销售核销!$E$4:$E$603,$A99))</f>
        <v/>
      </c>
      <c r="M99" s="34" t="str">
        <f aca="false">IF($A99="","",SUMIFS(②销售核销!$L$4:$L$603,②销售核销!$E$4:$E$603,$A99,②销售核销!$M$4:$M$603,"已收汇"))</f>
        <v/>
      </c>
      <c r="N99" s="30" t="str">
        <f aca="false">IF(ISNUMBER(D99),DATE(YEAR(D99)+1,4,30),"")</f>
        <v/>
      </c>
      <c r="O99" s="35" t="str">
        <f aca="true">IF($A99="","",IF(N(H99)=0,IF(AND(ISNUMBER(N99),TODAY()&gt;N99),"超过收汇期限仍未销售","尚未销售"),IF(ROUND(M99,2)&gt;=ROUND(L99,2),"已售部分已收汇",IF(AND(ISNUMBER(N99),TODAY()&gt;N99),"超期未收汇","有回款待收汇"))))</f>
        <v/>
      </c>
      <c r="P99" s="34" t="str">
        <f aca="false">IF($A99="","",SUMIFS(④退税核算!$H$4:$H$303,④退税核算!$A$4:$A$303,$A99))</f>
        <v/>
      </c>
      <c r="Q99" s="34" t="str">
        <f aca="false">IF($A99="","",SUMIFS(④退税核算!$H$4:$H$303,④退税核算!$A$4:$A$303,$A99,④退税核算!$D$4:$D$303,"未售-海外仓预退（HWC-YT）"))</f>
        <v/>
      </c>
      <c r="R99" s="30" t="str">
        <f aca="false">IF($A99="","",IF(COUNTIFS(④退税核算!$A$4:$A$303,$A99,④退税核算!$D$4:$D$303,"未售-海外仓预退（HWC-YT）",④退税核算!$I$4:$I$303,"&gt;0")=0,"",_xlfn.MINIFS(④退税核算!$J$4:$J$303,④退税核算!$A$4:$A$303,$A99,④退税核算!$D$4:$D$303,"未售-海外仓预退（HWC-YT）")))</f>
        <v/>
      </c>
      <c r="S99" s="35" t="str">
        <f aca="false">IF($A99="","",IF(COUNTIFS(④退税核算!$A$4:$A$303,$A99,④退税核算!$D$4:$D$303,"未售-海外仓预退（HWC-YT）")=0,"不涉及",IF(COUNTIFS(④退税核算!$A$4:$A$303,$A99,④退税核算!$S$4:$S$303,"已逾期*")&gt;0,"已逾期",IF(COUNTIFS(④退税核算!$A$4:$A$303,$A99,④退税核算!$S$4:$S$303,"临近*")&gt;0,"临近截止",IF(COUNTIFS(④退税核算!$A$4:$A$303,$A99,④退税核算!$S$4:$S$303,"待*")&gt;0,"待核算","已核算")))))</f>
        <v/>
      </c>
      <c r="T99" s="35" t="str">
        <f aca="false">IF($A99="","",IFERROR(INDEX(⑥单证留存!$P$4:$P$203,MATCH(①出口报关!B96,⑥单证留存!$A$4:$A$203,0)),"未登记"))</f>
        <v/>
      </c>
      <c r="U99" s="36" t="str">
        <f aca="false">IF($A99="","",IF(IF(OR(O99="超期未收汇",O99="超过收汇期限仍未销售")," 收汇超期","")&amp;IF(S99="已逾期"," 核算逾期","")&amp;IF(S99="临近截止"," 核算临近截止","")&amp;IF(LEFT(T99,1)="缺"," 单证"&amp;T99,"")&amp;IF(T99="未登记"," 单证未登记","")&amp;IF(AND(ISNUMBER(G99),N(G99)&lt;&gt;0)," 入仓差异"&amp;G99,"")="","正常",SUBSTITUTE(TRIM(IF(OR(O99="超期未收汇",O99="超过收汇期限仍未销售")," 收汇超期","")&amp;IF(S99="已逾期"," 核算逾期","")&amp;IF(S99="临近截止"," 核算临近截止","")&amp;IF(LEFT(T99,1)="缺"," 单证"&amp;T99,"")&amp;IF(T99="未登记"," 单证未登记","")&amp;IF(AND(ISNUMBER(G99),N(G99)&lt;&gt;0)," 入仓差异"&amp;G99,""))," ","、")))</f>
        <v/>
      </c>
    </row>
    <row r="100" customFormat="false" ht="21.75" hidden="false" customHeight="true" outlineLevel="0" collapsed="false">
      <c r="A100" s="29" t="str">
        <f aca="false">IF(①出口报关!A97="","",①出口报关!A97)</f>
        <v/>
      </c>
      <c r="B100" s="29" t="str">
        <f aca="false">IF($A100="","",①出口报关!I97)</f>
        <v/>
      </c>
      <c r="C100" s="29" t="str">
        <f aca="false">IF($A100="","",①出口报关!J97)</f>
        <v/>
      </c>
      <c r="D100" s="30" t="str">
        <f aca="false">IF($A100="","",IF(①出口报关!D97="","",①出口报关!D97))</f>
        <v/>
      </c>
      <c r="E100" s="31" t="str">
        <f aca="false">IF($A100="","",N(①出口报关!L97))</f>
        <v/>
      </c>
      <c r="F100" s="31" t="str">
        <f aca="false">IF($A100="","",IF(①出口报关!Y97="","未签收",①出口报关!Y97))</f>
        <v/>
      </c>
      <c r="G100" s="32" t="str">
        <f aca="false">IF(OR($A100="",NOT(ISNUMBER(F100))),"",F100-E100)</f>
        <v/>
      </c>
      <c r="H100" s="31" t="str">
        <f aca="false">IF($A100="","",SUMIFS(②销售核销!$I$4:$I$603,②销售核销!$E$4:$E$603,$A100))</f>
        <v/>
      </c>
      <c r="I100" s="31" t="str">
        <f aca="false">IF($A100="","",SUMIFS(⑤库存异常!$E$4:$E$203,⑤库存异常!$B$4:$B$203,$A100))</f>
        <v/>
      </c>
      <c r="J100" s="31" t="str">
        <f aca="false">IF($A100="","",IF(ISNUMBER(F100),F100,E100)-H100-I100)</f>
        <v/>
      </c>
      <c r="K100" s="33" t="str">
        <f aca="false">IF(OR($A100="",N(E100)=0),"",H100/E100)</f>
        <v/>
      </c>
      <c r="L100" s="34" t="str">
        <f aca="false">IF($A100="","",SUMIFS(②销售核销!$L$4:$L$603,②销售核销!$E$4:$E$603,$A100))</f>
        <v/>
      </c>
      <c r="M100" s="34" t="str">
        <f aca="false">IF($A100="","",SUMIFS(②销售核销!$L$4:$L$603,②销售核销!$E$4:$E$603,$A100,②销售核销!$M$4:$M$603,"已收汇"))</f>
        <v/>
      </c>
      <c r="N100" s="30" t="str">
        <f aca="false">IF(ISNUMBER(D100),DATE(YEAR(D100)+1,4,30),"")</f>
        <v/>
      </c>
      <c r="O100" s="35" t="str">
        <f aca="true">IF($A100="","",IF(N(H100)=0,IF(AND(ISNUMBER(N100),TODAY()&gt;N100),"超过收汇期限仍未销售","尚未销售"),IF(ROUND(M100,2)&gt;=ROUND(L100,2),"已售部分已收汇",IF(AND(ISNUMBER(N100),TODAY()&gt;N100),"超期未收汇","有回款待收汇"))))</f>
        <v/>
      </c>
      <c r="P100" s="34" t="str">
        <f aca="false">IF($A100="","",SUMIFS(④退税核算!$H$4:$H$303,④退税核算!$A$4:$A$303,$A100))</f>
        <v/>
      </c>
      <c r="Q100" s="34" t="str">
        <f aca="false">IF($A100="","",SUMIFS(④退税核算!$H$4:$H$303,④退税核算!$A$4:$A$303,$A100,④退税核算!$D$4:$D$303,"未售-海外仓预退（HWC-YT）"))</f>
        <v/>
      </c>
      <c r="R100" s="30" t="str">
        <f aca="false">IF($A100="","",IF(COUNTIFS(④退税核算!$A$4:$A$303,$A100,④退税核算!$D$4:$D$303,"未售-海外仓预退（HWC-YT）",④退税核算!$I$4:$I$303,"&gt;0")=0,"",_xlfn.MINIFS(④退税核算!$J$4:$J$303,④退税核算!$A$4:$A$303,$A100,④退税核算!$D$4:$D$303,"未售-海外仓预退（HWC-YT）")))</f>
        <v/>
      </c>
      <c r="S100" s="35" t="str">
        <f aca="false">IF($A100="","",IF(COUNTIFS(④退税核算!$A$4:$A$303,$A100,④退税核算!$D$4:$D$303,"未售-海外仓预退（HWC-YT）")=0,"不涉及",IF(COUNTIFS(④退税核算!$A$4:$A$303,$A100,④退税核算!$S$4:$S$303,"已逾期*")&gt;0,"已逾期",IF(COUNTIFS(④退税核算!$A$4:$A$303,$A100,④退税核算!$S$4:$S$303,"临近*")&gt;0,"临近截止",IF(COUNTIFS(④退税核算!$A$4:$A$303,$A100,④退税核算!$S$4:$S$303,"待*")&gt;0,"待核算","已核算")))))</f>
        <v/>
      </c>
      <c r="T100" s="35" t="str">
        <f aca="false">IF($A100="","",IFERROR(INDEX(⑥单证留存!$P$4:$P$203,MATCH(①出口报关!B97,⑥单证留存!$A$4:$A$203,0)),"未登记"))</f>
        <v/>
      </c>
      <c r="U100" s="36" t="str">
        <f aca="false">IF($A100="","",IF(IF(OR(O100="超期未收汇",O100="超过收汇期限仍未销售")," 收汇超期","")&amp;IF(S100="已逾期"," 核算逾期","")&amp;IF(S100="临近截止"," 核算临近截止","")&amp;IF(LEFT(T100,1)="缺"," 单证"&amp;T100,"")&amp;IF(T100="未登记"," 单证未登记","")&amp;IF(AND(ISNUMBER(G100),N(G100)&lt;&gt;0)," 入仓差异"&amp;G100,"")="","正常",SUBSTITUTE(TRIM(IF(OR(O100="超期未收汇",O100="超过收汇期限仍未销售")," 收汇超期","")&amp;IF(S100="已逾期"," 核算逾期","")&amp;IF(S100="临近截止"," 核算临近截止","")&amp;IF(LEFT(T100,1)="缺"," 单证"&amp;T100,"")&amp;IF(T100="未登记"," 单证未登记","")&amp;IF(AND(ISNUMBER(G100),N(G100)&lt;&gt;0)," 入仓差异"&amp;G100,""))," ","、")))</f>
        <v/>
      </c>
    </row>
    <row r="101" customFormat="false" ht="21.75" hidden="false" customHeight="true" outlineLevel="0" collapsed="false">
      <c r="A101" s="29" t="str">
        <f aca="false">IF(①出口报关!A98="","",①出口报关!A98)</f>
        <v/>
      </c>
      <c r="B101" s="29" t="str">
        <f aca="false">IF($A101="","",①出口报关!I98)</f>
        <v/>
      </c>
      <c r="C101" s="29" t="str">
        <f aca="false">IF($A101="","",①出口报关!J98)</f>
        <v/>
      </c>
      <c r="D101" s="30" t="str">
        <f aca="false">IF($A101="","",IF(①出口报关!D98="","",①出口报关!D98))</f>
        <v/>
      </c>
      <c r="E101" s="31" t="str">
        <f aca="false">IF($A101="","",N(①出口报关!L98))</f>
        <v/>
      </c>
      <c r="F101" s="31" t="str">
        <f aca="false">IF($A101="","",IF(①出口报关!Y98="","未签收",①出口报关!Y98))</f>
        <v/>
      </c>
      <c r="G101" s="32" t="str">
        <f aca="false">IF(OR($A101="",NOT(ISNUMBER(F101))),"",F101-E101)</f>
        <v/>
      </c>
      <c r="H101" s="31" t="str">
        <f aca="false">IF($A101="","",SUMIFS(②销售核销!$I$4:$I$603,②销售核销!$E$4:$E$603,$A101))</f>
        <v/>
      </c>
      <c r="I101" s="31" t="str">
        <f aca="false">IF($A101="","",SUMIFS(⑤库存异常!$E$4:$E$203,⑤库存异常!$B$4:$B$203,$A101))</f>
        <v/>
      </c>
      <c r="J101" s="31" t="str">
        <f aca="false">IF($A101="","",IF(ISNUMBER(F101),F101,E101)-H101-I101)</f>
        <v/>
      </c>
      <c r="K101" s="33" t="str">
        <f aca="false">IF(OR($A101="",N(E101)=0),"",H101/E101)</f>
        <v/>
      </c>
      <c r="L101" s="34" t="str">
        <f aca="false">IF($A101="","",SUMIFS(②销售核销!$L$4:$L$603,②销售核销!$E$4:$E$603,$A101))</f>
        <v/>
      </c>
      <c r="M101" s="34" t="str">
        <f aca="false">IF($A101="","",SUMIFS(②销售核销!$L$4:$L$603,②销售核销!$E$4:$E$603,$A101,②销售核销!$M$4:$M$603,"已收汇"))</f>
        <v/>
      </c>
      <c r="N101" s="30" t="str">
        <f aca="false">IF(ISNUMBER(D101),DATE(YEAR(D101)+1,4,30),"")</f>
        <v/>
      </c>
      <c r="O101" s="35" t="str">
        <f aca="true">IF($A101="","",IF(N(H101)=0,IF(AND(ISNUMBER(N101),TODAY()&gt;N101),"超过收汇期限仍未销售","尚未销售"),IF(ROUND(M101,2)&gt;=ROUND(L101,2),"已售部分已收汇",IF(AND(ISNUMBER(N101),TODAY()&gt;N101),"超期未收汇","有回款待收汇"))))</f>
        <v/>
      </c>
      <c r="P101" s="34" t="str">
        <f aca="false">IF($A101="","",SUMIFS(④退税核算!$H$4:$H$303,④退税核算!$A$4:$A$303,$A101))</f>
        <v/>
      </c>
      <c r="Q101" s="34" t="str">
        <f aca="false">IF($A101="","",SUMIFS(④退税核算!$H$4:$H$303,④退税核算!$A$4:$A$303,$A101,④退税核算!$D$4:$D$303,"未售-海外仓预退（HWC-YT）"))</f>
        <v/>
      </c>
      <c r="R101" s="30" t="str">
        <f aca="false">IF($A101="","",IF(COUNTIFS(④退税核算!$A$4:$A$303,$A101,④退税核算!$D$4:$D$303,"未售-海外仓预退（HWC-YT）",④退税核算!$I$4:$I$303,"&gt;0")=0,"",_xlfn.MINIFS(④退税核算!$J$4:$J$303,④退税核算!$A$4:$A$303,$A101,④退税核算!$D$4:$D$303,"未售-海外仓预退（HWC-YT）")))</f>
        <v/>
      </c>
      <c r="S101" s="35" t="str">
        <f aca="false">IF($A101="","",IF(COUNTIFS(④退税核算!$A$4:$A$303,$A101,④退税核算!$D$4:$D$303,"未售-海外仓预退（HWC-YT）")=0,"不涉及",IF(COUNTIFS(④退税核算!$A$4:$A$303,$A101,④退税核算!$S$4:$S$303,"已逾期*")&gt;0,"已逾期",IF(COUNTIFS(④退税核算!$A$4:$A$303,$A101,④退税核算!$S$4:$S$303,"临近*")&gt;0,"临近截止",IF(COUNTIFS(④退税核算!$A$4:$A$303,$A101,④退税核算!$S$4:$S$303,"待*")&gt;0,"待核算","已核算")))))</f>
        <v/>
      </c>
      <c r="T101" s="35" t="str">
        <f aca="false">IF($A101="","",IFERROR(INDEX(⑥单证留存!$P$4:$P$203,MATCH(①出口报关!B98,⑥单证留存!$A$4:$A$203,0)),"未登记"))</f>
        <v/>
      </c>
      <c r="U101" s="36" t="str">
        <f aca="false">IF($A101="","",IF(IF(OR(O101="超期未收汇",O101="超过收汇期限仍未销售")," 收汇超期","")&amp;IF(S101="已逾期"," 核算逾期","")&amp;IF(S101="临近截止"," 核算临近截止","")&amp;IF(LEFT(T101,1)="缺"," 单证"&amp;T101,"")&amp;IF(T101="未登记"," 单证未登记","")&amp;IF(AND(ISNUMBER(G101),N(G101)&lt;&gt;0)," 入仓差异"&amp;G101,"")="","正常",SUBSTITUTE(TRIM(IF(OR(O101="超期未收汇",O101="超过收汇期限仍未销售")," 收汇超期","")&amp;IF(S101="已逾期"," 核算逾期","")&amp;IF(S101="临近截止"," 核算临近截止","")&amp;IF(LEFT(T101,1)="缺"," 单证"&amp;T101,"")&amp;IF(T101="未登记"," 单证未登记","")&amp;IF(AND(ISNUMBER(G101),N(G101)&lt;&gt;0)," 入仓差异"&amp;G101,""))," ","、")))</f>
        <v/>
      </c>
    </row>
    <row r="102" customFormat="false" ht="21.75" hidden="false" customHeight="true" outlineLevel="0" collapsed="false">
      <c r="A102" s="29" t="str">
        <f aca="false">IF(①出口报关!A99="","",①出口报关!A99)</f>
        <v/>
      </c>
      <c r="B102" s="29" t="str">
        <f aca="false">IF($A102="","",①出口报关!I99)</f>
        <v/>
      </c>
      <c r="C102" s="29" t="str">
        <f aca="false">IF($A102="","",①出口报关!J99)</f>
        <v/>
      </c>
      <c r="D102" s="30" t="str">
        <f aca="false">IF($A102="","",IF(①出口报关!D99="","",①出口报关!D99))</f>
        <v/>
      </c>
      <c r="E102" s="31" t="str">
        <f aca="false">IF($A102="","",N(①出口报关!L99))</f>
        <v/>
      </c>
      <c r="F102" s="31" t="str">
        <f aca="false">IF($A102="","",IF(①出口报关!Y99="","未签收",①出口报关!Y99))</f>
        <v/>
      </c>
      <c r="G102" s="32" t="str">
        <f aca="false">IF(OR($A102="",NOT(ISNUMBER(F102))),"",F102-E102)</f>
        <v/>
      </c>
      <c r="H102" s="31" t="str">
        <f aca="false">IF($A102="","",SUMIFS(②销售核销!$I$4:$I$603,②销售核销!$E$4:$E$603,$A102))</f>
        <v/>
      </c>
      <c r="I102" s="31" t="str">
        <f aca="false">IF($A102="","",SUMIFS(⑤库存异常!$E$4:$E$203,⑤库存异常!$B$4:$B$203,$A102))</f>
        <v/>
      </c>
      <c r="J102" s="31" t="str">
        <f aca="false">IF($A102="","",IF(ISNUMBER(F102),F102,E102)-H102-I102)</f>
        <v/>
      </c>
      <c r="K102" s="33" t="str">
        <f aca="false">IF(OR($A102="",N(E102)=0),"",H102/E102)</f>
        <v/>
      </c>
      <c r="L102" s="34" t="str">
        <f aca="false">IF($A102="","",SUMIFS(②销售核销!$L$4:$L$603,②销售核销!$E$4:$E$603,$A102))</f>
        <v/>
      </c>
      <c r="M102" s="34" t="str">
        <f aca="false">IF($A102="","",SUMIFS(②销售核销!$L$4:$L$603,②销售核销!$E$4:$E$603,$A102,②销售核销!$M$4:$M$603,"已收汇"))</f>
        <v/>
      </c>
      <c r="N102" s="30" t="str">
        <f aca="false">IF(ISNUMBER(D102),DATE(YEAR(D102)+1,4,30),"")</f>
        <v/>
      </c>
      <c r="O102" s="35" t="str">
        <f aca="true">IF($A102="","",IF(N(H102)=0,IF(AND(ISNUMBER(N102),TODAY()&gt;N102),"超过收汇期限仍未销售","尚未销售"),IF(ROUND(M102,2)&gt;=ROUND(L102,2),"已售部分已收汇",IF(AND(ISNUMBER(N102),TODAY()&gt;N102),"超期未收汇","有回款待收汇"))))</f>
        <v/>
      </c>
      <c r="P102" s="34" t="str">
        <f aca="false">IF($A102="","",SUMIFS(④退税核算!$H$4:$H$303,④退税核算!$A$4:$A$303,$A102))</f>
        <v/>
      </c>
      <c r="Q102" s="34" t="str">
        <f aca="false">IF($A102="","",SUMIFS(④退税核算!$H$4:$H$303,④退税核算!$A$4:$A$303,$A102,④退税核算!$D$4:$D$303,"未售-海外仓预退（HWC-YT）"))</f>
        <v/>
      </c>
      <c r="R102" s="30" t="str">
        <f aca="false">IF($A102="","",IF(COUNTIFS(④退税核算!$A$4:$A$303,$A102,④退税核算!$D$4:$D$303,"未售-海外仓预退（HWC-YT）",④退税核算!$I$4:$I$303,"&gt;0")=0,"",_xlfn.MINIFS(④退税核算!$J$4:$J$303,④退税核算!$A$4:$A$303,$A102,④退税核算!$D$4:$D$303,"未售-海外仓预退（HWC-YT）")))</f>
        <v/>
      </c>
      <c r="S102" s="35" t="str">
        <f aca="false">IF($A102="","",IF(COUNTIFS(④退税核算!$A$4:$A$303,$A102,④退税核算!$D$4:$D$303,"未售-海外仓预退（HWC-YT）")=0,"不涉及",IF(COUNTIFS(④退税核算!$A$4:$A$303,$A102,④退税核算!$S$4:$S$303,"已逾期*")&gt;0,"已逾期",IF(COUNTIFS(④退税核算!$A$4:$A$303,$A102,④退税核算!$S$4:$S$303,"临近*")&gt;0,"临近截止",IF(COUNTIFS(④退税核算!$A$4:$A$303,$A102,④退税核算!$S$4:$S$303,"待*")&gt;0,"待核算","已核算")))))</f>
        <v/>
      </c>
      <c r="T102" s="35" t="str">
        <f aca="false">IF($A102="","",IFERROR(INDEX(⑥单证留存!$P$4:$P$203,MATCH(①出口报关!B99,⑥单证留存!$A$4:$A$203,0)),"未登记"))</f>
        <v/>
      </c>
      <c r="U102" s="36" t="str">
        <f aca="false">IF($A102="","",IF(IF(OR(O102="超期未收汇",O102="超过收汇期限仍未销售")," 收汇超期","")&amp;IF(S102="已逾期"," 核算逾期","")&amp;IF(S102="临近截止"," 核算临近截止","")&amp;IF(LEFT(T102,1)="缺"," 单证"&amp;T102,"")&amp;IF(T102="未登记"," 单证未登记","")&amp;IF(AND(ISNUMBER(G102),N(G102)&lt;&gt;0)," 入仓差异"&amp;G102,"")="","正常",SUBSTITUTE(TRIM(IF(OR(O102="超期未收汇",O102="超过收汇期限仍未销售")," 收汇超期","")&amp;IF(S102="已逾期"," 核算逾期","")&amp;IF(S102="临近截止"," 核算临近截止","")&amp;IF(LEFT(T102,1)="缺"," 单证"&amp;T102,"")&amp;IF(T102="未登记"," 单证未登记","")&amp;IF(AND(ISNUMBER(G102),N(G102)&lt;&gt;0)," 入仓差异"&amp;G102,""))," ","、")))</f>
        <v/>
      </c>
    </row>
    <row r="103" customFormat="false" ht="21.75" hidden="false" customHeight="true" outlineLevel="0" collapsed="false">
      <c r="A103" s="29" t="str">
        <f aca="false">IF(①出口报关!A100="","",①出口报关!A100)</f>
        <v/>
      </c>
      <c r="B103" s="29" t="str">
        <f aca="false">IF($A103="","",①出口报关!I100)</f>
        <v/>
      </c>
      <c r="C103" s="29" t="str">
        <f aca="false">IF($A103="","",①出口报关!J100)</f>
        <v/>
      </c>
      <c r="D103" s="30" t="str">
        <f aca="false">IF($A103="","",IF(①出口报关!D100="","",①出口报关!D100))</f>
        <v/>
      </c>
      <c r="E103" s="31" t="str">
        <f aca="false">IF($A103="","",N(①出口报关!L100))</f>
        <v/>
      </c>
      <c r="F103" s="31" t="str">
        <f aca="false">IF($A103="","",IF(①出口报关!Y100="","未签收",①出口报关!Y100))</f>
        <v/>
      </c>
      <c r="G103" s="32" t="str">
        <f aca="false">IF(OR($A103="",NOT(ISNUMBER(F103))),"",F103-E103)</f>
        <v/>
      </c>
      <c r="H103" s="31" t="str">
        <f aca="false">IF($A103="","",SUMIFS(②销售核销!$I$4:$I$603,②销售核销!$E$4:$E$603,$A103))</f>
        <v/>
      </c>
      <c r="I103" s="31" t="str">
        <f aca="false">IF($A103="","",SUMIFS(⑤库存异常!$E$4:$E$203,⑤库存异常!$B$4:$B$203,$A103))</f>
        <v/>
      </c>
      <c r="J103" s="31" t="str">
        <f aca="false">IF($A103="","",IF(ISNUMBER(F103),F103,E103)-H103-I103)</f>
        <v/>
      </c>
      <c r="K103" s="33" t="str">
        <f aca="false">IF(OR($A103="",N(E103)=0),"",H103/E103)</f>
        <v/>
      </c>
      <c r="L103" s="34" t="str">
        <f aca="false">IF($A103="","",SUMIFS(②销售核销!$L$4:$L$603,②销售核销!$E$4:$E$603,$A103))</f>
        <v/>
      </c>
      <c r="M103" s="34" t="str">
        <f aca="false">IF($A103="","",SUMIFS(②销售核销!$L$4:$L$603,②销售核销!$E$4:$E$603,$A103,②销售核销!$M$4:$M$603,"已收汇"))</f>
        <v/>
      </c>
      <c r="N103" s="30" t="str">
        <f aca="false">IF(ISNUMBER(D103),DATE(YEAR(D103)+1,4,30),"")</f>
        <v/>
      </c>
      <c r="O103" s="35" t="str">
        <f aca="true">IF($A103="","",IF(N(H103)=0,IF(AND(ISNUMBER(N103),TODAY()&gt;N103),"超过收汇期限仍未销售","尚未销售"),IF(ROUND(M103,2)&gt;=ROUND(L103,2),"已售部分已收汇",IF(AND(ISNUMBER(N103),TODAY()&gt;N103),"超期未收汇","有回款待收汇"))))</f>
        <v/>
      </c>
      <c r="P103" s="34" t="str">
        <f aca="false">IF($A103="","",SUMIFS(④退税核算!$H$4:$H$303,④退税核算!$A$4:$A$303,$A103))</f>
        <v/>
      </c>
      <c r="Q103" s="34" t="str">
        <f aca="false">IF($A103="","",SUMIFS(④退税核算!$H$4:$H$303,④退税核算!$A$4:$A$303,$A103,④退税核算!$D$4:$D$303,"未售-海外仓预退（HWC-YT）"))</f>
        <v/>
      </c>
      <c r="R103" s="30" t="str">
        <f aca="false">IF($A103="","",IF(COUNTIFS(④退税核算!$A$4:$A$303,$A103,④退税核算!$D$4:$D$303,"未售-海外仓预退（HWC-YT）",④退税核算!$I$4:$I$303,"&gt;0")=0,"",_xlfn.MINIFS(④退税核算!$J$4:$J$303,④退税核算!$A$4:$A$303,$A103,④退税核算!$D$4:$D$303,"未售-海外仓预退（HWC-YT）")))</f>
        <v/>
      </c>
      <c r="S103" s="35" t="str">
        <f aca="false">IF($A103="","",IF(COUNTIFS(④退税核算!$A$4:$A$303,$A103,④退税核算!$D$4:$D$303,"未售-海外仓预退（HWC-YT）")=0,"不涉及",IF(COUNTIFS(④退税核算!$A$4:$A$303,$A103,④退税核算!$S$4:$S$303,"已逾期*")&gt;0,"已逾期",IF(COUNTIFS(④退税核算!$A$4:$A$303,$A103,④退税核算!$S$4:$S$303,"临近*")&gt;0,"临近截止",IF(COUNTIFS(④退税核算!$A$4:$A$303,$A103,④退税核算!$S$4:$S$303,"待*")&gt;0,"待核算","已核算")))))</f>
        <v/>
      </c>
      <c r="T103" s="35" t="str">
        <f aca="false">IF($A103="","",IFERROR(INDEX(⑥单证留存!$P$4:$P$203,MATCH(①出口报关!B100,⑥单证留存!$A$4:$A$203,0)),"未登记"))</f>
        <v/>
      </c>
      <c r="U103" s="36" t="str">
        <f aca="false">IF($A103="","",IF(IF(OR(O103="超期未收汇",O103="超过收汇期限仍未销售")," 收汇超期","")&amp;IF(S103="已逾期"," 核算逾期","")&amp;IF(S103="临近截止"," 核算临近截止","")&amp;IF(LEFT(T103,1)="缺"," 单证"&amp;T103,"")&amp;IF(T103="未登记"," 单证未登记","")&amp;IF(AND(ISNUMBER(G103),N(G103)&lt;&gt;0)," 入仓差异"&amp;G103,"")="","正常",SUBSTITUTE(TRIM(IF(OR(O103="超期未收汇",O103="超过收汇期限仍未销售")," 收汇超期","")&amp;IF(S103="已逾期"," 核算逾期","")&amp;IF(S103="临近截止"," 核算临近截止","")&amp;IF(LEFT(T103,1)="缺"," 单证"&amp;T103,"")&amp;IF(T103="未登记"," 单证未登记","")&amp;IF(AND(ISNUMBER(G103),N(G103)&lt;&gt;0)," 入仓差异"&amp;G103,""))," ","、")))</f>
        <v/>
      </c>
    </row>
    <row r="104" customFormat="false" ht="21.75" hidden="false" customHeight="true" outlineLevel="0" collapsed="false">
      <c r="A104" s="29" t="str">
        <f aca="false">IF(①出口报关!A101="","",①出口报关!A101)</f>
        <v/>
      </c>
      <c r="B104" s="29" t="str">
        <f aca="false">IF($A104="","",①出口报关!I101)</f>
        <v/>
      </c>
      <c r="C104" s="29" t="str">
        <f aca="false">IF($A104="","",①出口报关!J101)</f>
        <v/>
      </c>
      <c r="D104" s="30" t="str">
        <f aca="false">IF($A104="","",IF(①出口报关!D101="","",①出口报关!D101))</f>
        <v/>
      </c>
      <c r="E104" s="31" t="str">
        <f aca="false">IF($A104="","",N(①出口报关!L101))</f>
        <v/>
      </c>
      <c r="F104" s="31" t="str">
        <f aca="false">IF($A104="","",IF(①出口报关!Y101="","未签收",①出口报关!Y101))</f>
        <v/>
      </c>
      <c r="G104" s="32" t="str">
        <f aca="false">IF(OR($A104="",NOT(ISNUMBER(F104))),"",F104-E104)</f>
        <v/>
      </c>
      <c r="H104" s="31" t="str">
        <f aca="false">IF($A104="","",SUMIFS(②销售核销!$I$4:$I$603,②销售核销!$E$4:$E$603,$A104))</f>
        <v/>
      </c>
      <c r="I104" s="31" t="str">
        <f aca="false">IF($A104="","",SUMIFS(⑤库存异常!$E$4:$E$203,⑤库存异常!$B$4:$B$203,$A104))</f>
        <v/>
      </c>
      <c r="J104" s="31" t="str">
        <f aca="false">IF($A104="","",IF(ISNUMBER(F104),F104,E104)-H104-I104)</f>
        <v/>
      </c>
      <c r="K104" s="33" t="str">
        <f aca="false">IF(OR($A104="",N(E104)=0),"",H104/E104)</f>
        <v/>
      </c>
      <c r="L104" s="34" t="str">
        <f aca="false">IF($A104="","",SUMIFS(②销售核销!$L$4:$L$603,②销售核销!$E$4:$E$603,$A104))</f>
        <v/>
      </c>
      <c r="M104" s="34" t="str">
        <f aca="false">IF($A104="","",SUMIFS(②销售核销!$L$4:$L$603,②销售核销!$E$4:$E$603,$A104,②销售核销!$M$4:$M$603,"已收汇"))</f>
        <v/>
      </c>
      <c r="N104" s="30" t="str">
        <f aca="false">IF(ISNUMBER(D104),DATE(YEAR(D104)+1,4,30),"")</f>
        <v/>
      </c>
      <c r="O104" s="35" t="str">
        <f aca="true">IF($A104="","",IF(N(H104)=0,IF(AND(ISNUMBER(N104),TODAY()&gt;N104),"超过收汇期限仍未销售","尚未销售"),IF(ROUND(M104,2)&gt;=ROUND(L104,2),"已售部分已收汇",IF(AND(ISNUMBER(N104),TODAY()&gt;N104),"超期未收汇","有回款待收汇"))))</f>
        <v/>
      </c>
      <c r="P104" s="34" t="str">
        <f aca="false">IF($A104="","",SUMIFS(④退税核算!$H$4:$H$303,④退税核算!$A$4:$A$303,$A104))</f>
        <v/>
      </c>
      <c r="Q104" s="34" t="str">
        <f aca="false">IF($A104="","",SUMIFS(④退税核算!$H$4:$H$303,④退税核算!$A$4:$A$303,$A104,④退税核算!$D$4:$D$303,"未售-海外仓预退（HWC-YT）"))</f>
        <v/>
      </c>
      <c r="R104" s="30" t="str">
        <f aca="false">IF($A104="","",IF(COUNTIFS(④退税核算!$A$4:$A$303,$A104,④退税核算!$D$4:$D$303,"未售-海外仓预退（HWC-YT）",④退税核算!$I$4:$I$303,"&gt;0")=0,"",_xlfn.MINIFS(④退税核算!$J$4:$J$303,④退税核算!$A$4:$A$303,$A104,④退税核算!$D$4:$D$303,"未售-海外仓预退（HWC-YT）")))</f>
        <v/>
      </c>
      <c r="S104" s="35" t="str">
        <f aca="false">IF($A104="","",IF(COUNTIFS(④退税核算!$A$4:$A$303,$A104,④退税核算!$D$4:$D$303,"未售-海外仓预退（HWC-YT）")=0,"不涉及",IF(COUNTIFS(④退税核算!$A$4:$A$303,$A104,④退税核算!$S$4:$S$303,"已逾期*")&gt;0,"已逾期",IF(COUNTIFS(④退税核算!$A$4:$A$303,$A104,④退税核算!$S$4:$S$303,"临近*")&gt;0,"临近截止",IF(COUNTIFS(④退税核算!$A$4:$A$303,$A104,④退税核算!$S$4:$S$303,"待*")&gt;0,"待核算","已核算")))))</f>
        <v/>
      </c>
      <c r="T104" s="35" t="str">
        <f aca="false">IF($A104="","",IFERROR(INDEX(⑥单证留存!$P$4:$P$203,MATCH(①出口报关!B101,⑥单证留存!$A$4:$A$203,0)),"未登记"))</f>
        <v/>
      </c>
      <c r="U104" s="36" t="str">
        <f aca="false">IF($A104="","",IF(IF(OR(O104="超期未收汇",O104="超过收汇期限仍未销售")," 收汇超期","")&amp;IF(S104="已逾期"," 核算逾期","")&amp;IF(S104="临近截止"," 核算临近截止","")&amp;IF(LEFT(T104,1)="缺"," 单证"&amp;T104,"")&amp;IF(T104="未登记"," 单证未登记","")&amp;IF(AND(ISNUMBER(G104),N(G104)&lt;&gt;0)," 入仓差异"&amp;G104,"")="","正常",SUBSTITUTE(TRIM(IF(OR(O104="超期未收汇",O104="超过收汇期限仍未销售")," 收汇超期","")&amp;IF(S104="已逾期"," 核算逾期","")&amp;IF(S104="临近截止"," 核算临近截止","")&amp;IF(LEFT(T104,1)="缺"," 单证"&amp;T104,"")&amp;IF(T104="未登记"," 单证未登记","")&amp;IF(AND(ISNUMBER(G104),N(G104)&lt;&gt;0)," 入仓差异"&amp;G104,""))," ","、")))</f>
        <v/>
      </c>
    </row>
    <row r="105" customFormat="false" ht="21.75" hidden="false" customHeight="true" outlineLevel="0" collapsed="false">
      <c r="A105" s="29" t="str">
        <f aca="false">IF(①出口报关!A102="","",①出口报关!A102)</f>
        <v/>
      </c>
      <c r="B105" s="29" t="str">
        <f aca="false">IF($A105="","",①出口报关!I102)</f>
        <v/>
      </c>
      <c r="C105" s="29" t="str">
        <f aca="false">IF($A105="","",①出口报关!J102)</f>
        <v/>
      </c>
      <c r="D105" s="30" t="str">
        <f aca="false">IF($A105="","",IF(①出口报关!D102="","",①出口报关!D102))</f>
        <v/>
      </c>
      <c r="E105" s="31" t="str">
        <f aca="false">IF($A105="","",N(①出口报关!L102))</f>
        <v/>
      </c>
      <c r="F105" s="31" t="str">
        <f aca="false">IF($A105="","",IF(①出口报关!Y102="","未签收",①出口报关!Y102))</f>
        <v/>
      </c>
      <c r="G105" s="32" t="str">
        <f aca="false">IF(OR($A105="",NOT(ISNUMBER(F105))),"",F105-E105)</f>
        <v/>
      </c>
      <c r="H105" s="31" t="str">
        <f aca="false">IF($A105="","",SUMIFS(②销售核销!$I$4:$I$603,②销售核销!$E$4:$E$603,$A105))</f>
        <v/>
      </c>
      <c r="I105" s="31" t="str">
        <f aca="false">IF($A105="","",SUMIFS(⑤库存异常!$E$4:$E$203,⑤库存异常!$B$4:$B$203,$A105))</f>
        <v/>
      </c>
      <c r="J105" s="31" t="str">
        <f aca="false">IF($A105="","",IF(ISNUMBER(F105),F105,E105)-H105-I105)</f>
        <v/>
      </c>
      <c r="K105" s="33" t="str">
        <f aca="false">IF(OR($A105="",N(E105)=0),"",H105/E105)</f>
        <v/>
      </c>
      <c r="L105" s="34" t="str">
        <f aca="false">IF($A105="","",SUMIFS(②销售核销!$L$4:$L$603,②销售核销!$E$4:$E$603,$A105))</f>
        <v/>
      </c>
      <c r="M105" s="34" t="str">
        <f aca="false">IF($A105="","",SUMIFS(②销售核销!$L$4:$L$603,②销售核销!$E$4:$E$603,$A105,②销售核销!$M$4:$M$603,"已收汇"))</f>
        <v/>
      </c>
      <c r="N105" s="30" t="str">
        <f aca="false">IF(ISNUMBER(D105),DATE(YEAR(D105)+1,4,30),"")</f>
        <v/>
      </c>
      <c r="O105" s="35" t="str">
        <f aca="true">IF($A105="","",IF(N(H105)=0,IF(AND(ISNUMBER(N105),TODAY()&gt;N105),"超过收汇期限仍未销售","尚未销售"),IF(ROUND(M105,2)&gt;=ROUND(L105,2),"已售部分已收汇",IF(AND(ISNUMBER(N105),TODAY()&gt;N105),"超期未收汇","有回款待收汇"))))</f>
        <v/>
      </c>
      <c r="P105" s="34" t="str">
        <f aca="false">IF($A105="","",SUMIFS(④退税核算!$H$4:$H$303,④退税核算!$A$4:$A$303,$A105))</f>
        <v/>
      </c>
      <c r="Q105" s="34" t="str">
        <f aca="false">IF($A105="","",SUMIFS(④退税核算!$H$4:$H$303,④退税核算!$A$4:$A$303,$A105,④退税核算!$D$4:$D$303,"未售-海外仓预退（HWC-YT）"))</f>
        <v/>
      </c>
      <c r="R105" s="30" t="str">
        <f aca="false">IF($A105="","",IF(COUNTIFS(④退税核算!$A$4:$A$303,$A105,④退税核算!$D$4:$D$303,"未售-海外仓预退（HWC-YT）",④退税核算!$I$4:$I$303,"&gt;0")=0,"",_xlfn.MINIFS(④退税核算!$J$4:$J$303,④退税核算!$A$4:$A$303,$A105,④退税核算!$D$4:$D$303,"未售-海外仓预退（HWC-YT）")))</f>
        <v/>
      </c>
      <c r="S105" s="35" t="str">
        <f aca="false">IF($A105="","",IF(COUNTIFS(④退税核算!$A$4:$A$303,$A105,④退税核算!$D$4:$D$303,"未售-海外仓预退（HWC-YT）")=0,"不涉及",IF(COUNTIFS(④退税核算!$A$4:$A$303,$A105,④退税核算!$S$4:$S$303,"已逾期*")&gt;0,"已逾期",IF(COUNTIFS(④退税核算!$A$4:$A$303,$A105,④退税核算!$S$4:$S$303,"临近*")&gt;0,"临近截止",IF(COUNTIFS(④退税核算!$A$4:$A$303,$A105,④退税核算!$S$4:$S$303,"待*")&gt;0,"待核算","已核算")))))</f>
        <v/>
      </c>
      <c r="T105" s="35" t="str">
        <f aca="false">IF($A105="","",IFERROR(INDEX(⑥单证留存!$P$4:$P$203,MATCH(①出口报关!B102,⑥单证留存!$A$4:$A$203,0)),"未登记"))</f>
        <v/>
      </c>
      <c r="U105" s="36" t="str">
        <f aca="false">IF($A105="","",IF(IF(OR(O105="超期未收汇",O105="超过收汇期限仍未销售")," 收汇超期","")&amp;IF(S105="已逾期"," 核算逾期","")&amp;IF(S105="临近截止"," 核算临近截止","")&amp;IF(LEFT(T105,1)="缺"," 单证"&amp;T105,"")&amp;IF(T105="未登记"," 单证未登记","")&amp;IF(AND(ISNUMBER(G105),N(G105)&lt;&gt;0)," 入仓差异"&amp;G105,"")="","正常",SUBSTITUTE(TRIM(IF(OR(O105="超期未收汇",O105="超过收汇期限仍未销售")," 收汇超期","")&amp;IF(S105="已逾期"," 核算逾期","")&amp;IF(S105="临近截止"," 核算临近截止","")&amp;IF(LEFT(T105,1)="缺"," 单证"&amp;T105,"")&amp;IF(T105="未登记"," 单证未登记","")&amp;IF(AND(ISNUMBER(G105),N(G105)&lt;&gt;0)," 入仓差异"&amp;G105,""))," ","、")))</f>
        <v/>
      </c>
    </row>
    <row r="106" customFormat="false" ht="21.75" hidden="false" customHeight="true" outlineLevel="0" collapsed="false">
      <c r="A106" s="29" t="str">
        <f aca="false">IF(①出口报关!A103="","",①出口报关!A103)</f>
        <v/>
      </c>
      <c r="B106" s="29" t="str">
        <f aca="false">IF($A106="","",①出口报关!I103)</f>
        <v/>
      </c>
      <c r="C106" s="29" t="str">
        <f aca="false">IF($A106="","",①出口报关!J103)</f>
        <v/>
      </c>
      <c r="D106" s="30" t="str">
        <f aca="false">IF($A106="","",IF(①出口报关!D103="","",①出口报关!D103))</f>
        <v/>
      </c>
      <c r="E106" s="31" t="str">
        <f aca="false">IF($A106="","",N(①出口报关!L103))</f>
        <v/>
      </c>
      <c r="F106" s="31" t="str">
        <f aca="false">IF($A106="","",IF(①出口报关!Y103="","未签收",①出口报关!Y103))</f>
        <v/>
      </c>
      <c r="G106" s="32" t="str">
        <f aca="false">IF(OR($A106="",NOT(ISNUMBER(F106))),"",F106-E106)</f>
        <v/>
      </c>
      <c r="H106" s="31" t="str">
        <f aca="false">IF($A106="","",SUMIFS(②销售核销!$I$4:$I$603,②销售核销!$E$4:$E$603,$A106))</f>
        <v/>
      </c>
      <c r="I106" s="31" t="str">
        <f aca="false">IF($A106="","",SUMIFS(⑤库存异常!$E$4:$E$203,⑤库存异常!$B$4:$B$203,$A106))</f>
        <v/>
      </c>
      <c r="J106" s="31" t="str">
        <f aca="false">IF($A106="","",IF(ISNUMBER(F106),F106,E106)-H106-I106)</f>
        <v/>
      </c>
      <c r="K106" s="33" t="str">
        <f aca="false">IF(OR($A106="",N(E106)=0),"",H106/E106)</f>
        <v/>
      </c>
      <c r="L106" s="34" t="str">
        <f aca="false">IF($A106="","",SUMIFS(②销售核销!$L$4:$L$603,②销售核销!$E$4:$E$603,$A106))</f>
        <v/>
      </c>
      <c r="M106" s="34" t="str">
        <f aca="false">IF($A106="","",SUMIFS(②销售核销!$L$4:$L$603,②销售核销!$E$4:$E$603,$A106,②销售核销!$M$4:$M$603,"已收汇"))</f>
        <v/>
      </c>
      <c r="N106" s="30" t="str">
        <f aca="false">IF(ISNUMBER(D106),DATE(YEAR(D106)+1,4,30),"")</f>
        <v/>
      </c>
      <c r="O106" s="35" t="str">
        <f aca="true">IF($A106="","",IF(N(H106)=0,IF(AND(ISNUMBER(N106),TODAY()&gt;N106),"超过收汇期限仍未销售","尚未销售"),IF(ROUND(M106,2)&gt;=ROUND(L106,2),"已售部分已收汇",IF(AND(ISNUMBER(N106),TODAY()&gt;N106),"超期未收汇","有回款待收汇"))))</f>
        <v/>
      </c>
      <c r="P106" s="34" t="str">
        <f aca="false">IF($A106="","",SUMIFS(④退税核算!$H$4:$H$303,④退税核算!$A$4:$A$303,$A106))</f>
        <v/>
      </c>
      <c r="Q106" s="34" t="str">
        <f aca="false">IF($A106="","",SUMIFS(④退税核算!$H$4:$H$303,④退税核算!$A$4:$A$303,$A106,④退税核算!$D$4:$D$303,"未售-海外仓预退（HWC-YT）"))</f>
        <v/>
      </c>
      <c r="R106" s="30" t="str">
        <f aca="false">IF($A106="","",IF(COUNTIFS(④退税核算!$A$4:$A$303,$A106,④退税核算!$D$4:$D$303,"未售-海外仓预退（HWC-YT）",④退税核算!$I$4:$I$303,"&gt;0")=0,"",_xlfn.MINIFS(④退税核算!$J$4:$J$303,④退税核算!$A$4:$A$303,$A106,④退税核算!$D$4:$D$303,"未售-海外仓预退（HWC-YT）")))</f>
        <v/>
      </c>
      <c r="S106" s="35" t="str">
        <f aca="false">IF($A106="","",IF(COUNTIFS(④退税核算!$A$4:$A$303,$A106,④退税核算!$D$4:$D$303,"未售-海外仓预退（HWC-YT）")=0,"不涉及",IF(COUNTIFS(④退税核算!$A$4:$A$303,$A106,④退税核算!$S$4:$S$303,"已逾期*")&gt;0,"已逾期",IF(COUNTIFS(④退税核算!$A$4:$A$303,$A106,④退税核算!$S$4:$S$303,"临近*")&gt;0,"临近截止",IF(COUNTIFS(④退税核算!$A$4:$A$303,$A106,④退税核算!$S$4:$S$303,"待*")&gt;0,"待核算","已核算")))))</f>
        <v/>
      </c>
      <c r="T106" s="35" t="str">
        <f aca="false">IF($A106="","",IFERROR(INDEX(⑥单证留存!$P$4:$P$203,MATCH(①出口报关!B103,⑥单证留存!$A$4:$A$203,0)),"未登记"))</f>
        <v/>
      </c>
      <c r="U106" s="36" t="str">
        <f aca="false">IF($A106="","",IF(IF(OR(O106="超期未收汇",O106="超过收汇期限仍未销售")," 收汇超期","")&amp;IF(S106="已逾期"," 核算逾期","")&amp;IF(S106="临近截止"," 核算临近截止","")&amp;IF(LEFT(T106,1)="缺"," 单证"&amp;T106,"")&amp;IF(T106="未登记"," 单证未登记","")&amp;IF(AND(ISNUMBER(G106),N(G106)&lt;&gt;0)," 入仓差异"&amp;G106,"")="","正常",SUBSTITUTE(TRIM(IF(OR(O106="超期未收汇",O106="超过收汇期限仍未销售")," 收汇超期","")&amp;IF(S106="已逾期"," 核算逾期","")&amp;IF(S106="临近截止"," 核算临近截止","")&amp;IF(LEFT(T106,1)="缺"," 单证"&amp;T106,"")&amp;IF(T106="未登记"," 单证未登记","")&amp;IF(AND(ISNUMBER(G106),N(G106)&lt;&gt;0)," 入仓差异"&amp;G106,""))," ","、")))</f>
        <v/>
      </c>
    </row>
    <row r="107" customFormat="false" ht="21.75" hidden="false" customHeight="true" outlineLevel="0" collapsed="false">
      <c r="A107" s="29" t="str">
        <f aca="false">IF(①出口报关!A104="","",①出口报关!A104)</f>
        <v/>
      </c>
      <c r="B107" s="29" t="str">
        <f aca="false">IF($A107="","",①出口报关!I104)</f>
        <v/>
      </c>
      <c r="C107" s="29" t="str">
        <f aca="false">IF($A107="","",①出口报关!J104)</f>
        <v/>
      </c>
      <c r="D107" s="30" t="str">
        <f aca="false">IF($A107="","",IF(①出口报关!D104="","",①出口报关!D104))</f>
        <v/>
      </c>
      <c r="E107" s="31" t="str">
        <f aca="false">IF($A107="","",N(①出口报关!L104))</f>
        <v/>
      </c>
      <c r="F107" s="31" t="str">
        <f aca="false">IF($A107="","",IF(①出口报关!Y104="","未签收",①出口报关!Y104))</f>
        <v/>
      </c>
      <c r="G107" s="32" t="str">
        <f aca="false">IF(OR($A107="",NOT(ISNUMBER(F107))),"",F107-E107)</f>
        <v/>
      </c>
      <c r="H107" s="31" t="str">
        <f aca="false">IF($A107="","",SUMIFS(②销售核销!$I$4:$I$603,②销售核销!$E$4:$E$603,$A107))</f>
        <v/>
      </c>
      <c r="I107" s="31" t="str">
        <f aca="false">IF($A107="","",SUMIFS(⑤库存异常!$E$4:$E$203,⑤库存异常!$B$4:$B$203,$A107))</f>
        <v/>
      </c>
      <c r="J107" s="31" t="str">
        <f aca="false">IF($A107="","",IF(ISNUMBER(F107),F107,E107)-H107-I107)</f>
        <v/>
      </c>
      <c r="K107" s="33" t="str">
        <f aca="false">IF(OR($A107="",N(E107)=0),"",H107/E107)</f>
        <v/>
      </c>
      <c r="L107" s="34" t="str">
        <f aca="false">IF($A107="","",SUMIFS(②销售核销!$L$4:$L$603,②销售核销!$E$4:$E$603,$A107))</f>
        <v/>
      </c>
      <c r="M107" s="34" t="str">
        <f aca="false">IF($A107="","",SUMIFS(②销售核销!$L$4:$L$603,②销售核销!$E$4:$E$603,$A107,②销售核销!$M$4:$M$603,"已收汇"))</f>
        <v/>
      </c>
      <c r="N107" s="30" t="str">
        <f aca="false">IF(ISNUMBER(D107),DATE(YEAR(D107)+1,4,30),"")</f>
        <v/>
      </c>
      <c r="O107" s="35" t="str">
        <f aca="true">IF($A107="","",IF(N(H107)=0,IF(AND(ISNUMBER(N107),TODAY()&gt;N107),"超过收汇期限仍未销售","尚未销售"),IF(ROUND(M107,2)&gt;=ROUND(L107,2),"已售部分已收汇",IF(AND(ISNUMBER(N107),TODAY()&gt;N107),"超期未收汇","有回款待收汇"))))</f>
        <v/>
      </c>
      <c r="P107" s="34" t="str">
        <f aca="false">IF($A107="","",SUMIFS(④退税核算!$H$4:$H$303,④退税核算!$A$4:$A$303,$A107))</f>
        <v/>
      </c>
      <c r="Q107" s="34" t="str">
        <f aca="false">IF($A107="","",SUMIFS(④退税核算!$H$4:$H$303,④退税核算!$A$4:$A$303,$A107,④退税核算!$D$4:$D$303,"未售-海外仓预退（HWC-YT）"))</f>
        <v/>
      </c>
      <c r="R107" s="30" t="str">
        <f aca="false">IF($A107="","",IF(COUNTIFS(④退税核算!$A$4:$A$303,$A107,④退税核算!$D$4:$D$303,"未售-海外仓预退（HWC-YT）",④退税核算!$I$4:$I$303,"&gt;0")=0,"",_xlfn.MINIFS(④退税核算!$J$4:$J$303,④退税核算!$A$4:$A$303,$A107,④退税核算!$D$4:$D$303,"未售-海外仓预退（HWC-YT）")))</f>
        <v/>
      </c>
      <c r="S107" s="35" t="str">
        <f aca="false">IF($A107="","",IF(COUNTIFS(④退税核算!$A$4:$A$303,$A107,④退税核算!$D$4:$D$303,"未售-海外仓预退（HWC-YT）")=0,"不涉及",IF(COUNTIFS(④退税核算!$A$4:$A$303,$A107,④退税核算!$S$4:$S$303,"已逾期*")&gt;0,"已逾期",IF(COUNTIFS(④退税核算!$A$4:$A$303,$A107,④退税核算!$S$4:$S$303,"临近*")&gt;0,"临近截止",IF(COUNTIFS(④退税核算!$A$4:$A$303,$A107,④退税核算!$S$4:$S$303,"待*")&gt;0,"待核算","已核算")))))</f>
        <v/>
      </c>
      <c r="T107" s="35" t="str">
        <f aca="false">IF($A107="","",IFERROR(INDEX(⑥单证留存!$P$4:$P$203,MATCH(①出口报关!B104,⑥单证留存!$A$4:$A$203,0)),"未登记"))</f>
        <v/>
      </c>
      <c r="U107" s="36" t="str">
        <f aca="false">IF($A107="","",IF(IF(OR(O107="超期未收汇",O107="超过收汇期限仍未销售")," 收汇超期","")&amp;IF(S107="已逾期"," 核算逾期","")&amp;IF(S107="临近截止"," 核算临近截止","")&amp;IF(LEFT(T107,1)="缺"," 单证"&amp;T107,"")&amp;IF(T107="未登记"," 单证未登记","")&amp;IF(AND(ISNUMBER(G107),N(G107)&lt;&gt;0)," 入仓差异"&amp;G107,"")="","正常",SUBSTITUTE(TRIM(IF(OR(O107="超期未收汇",O107="超过收汇期限仍未销售")," 收汇超期","")&amp;IF(S107="已逾期"," 核算逾期","")&amp;IF(S107="临近截止"," 核算临近截止","")&amp;IF(LEFT(T107,1)="缺"," 单证"&amp;T107,"")&amp;IF(T107="未登记"," 单证未登记","")&amp;IF(AND(ISNUMBER(G107),N(G107)&lt;&gt;0)," 入仓差异"&amp;G107,""))," ","、")))</f>
        <v/>
      </c>
    </row>
    <row r="108" customFormat="false" ht="21.75" hidden="false" customHeight="true" outlineLevel="0" collapsed="false">
      <c r="A108" s="29" t="str">
        <f aca="false">IF(①出口报关!A105="","",①出口报关!A105)</f>
        <v/>
      </c>
      <c r="B108" s="29" t="str">
        <f aca="false">IF($A108="","",①出口报关!I105)</f>
        <v/>
      </c>
      <c r="C108" s="29" t="str">
        <f aca="false">IF($A108="","",①出口报关!J105)</f>
        <v/>
      </c>
      <c r="D108" s="30" t="str">
        <f aca="false">IF($A108="","",IF(①出口报关!D105="","",①出口报关!D105))</f>
        <v/>
      </c>
      <c r="E108" s="31" t="str">
        <f aca="false">IF($A108="","",N(①出口报关!L105))</f>
        <v/>
      </c>
      <c r="F108" s="31" t="str">
        <f aca="false">IF($A108="","",IF(①出口报关!Y105="","未签收",①出口报关!Y105))</f>
        <v/>
      </c>
      <c r="G108" s="32" t="str">
        <f aca="false">IF(OR($A108="",NOT(ISNUMBER(F108))),"",F108-E108)</f>
        <v/>
      </c>
      <c r="H108" s="31" t="str">
        <f aca="false">IF($A108="","",SUMIFS(②销售核销!$I$4:$I$603,②销售核销!$E$4:$E$603,$A108))</f>
        <v/>
      </c>
      <c r="I108" s="31" t="str">
        <f aca="false">IF($A108="","",SUMIFS(⑤库存异常!$E$4:$E$203,⑤库存异常!$B$4:$B$203,$A108))</f>
        <v/>
      </c>
      <c r="J108" s="31" t="str">
        <f aca="false">IF($A108="","",IF(ISNUMBER(F108),F108,E108)-H108-I108)</f>
        <v/>
      </c>
      <c r="K108" s="33" t="str">
        <f aca="false">IF(OR($A108="",N(E108)=0),"",H108/E108)</f>
        <v/>
      </c>
      <c r="L108" s="34" t="str">
        <f aca="false">IF($A108="","",SUMIFS(②销售核销!$L$4:$L$603,②销售核销!$E$4:$E$603,$A108))</f>
        <v/>
      </c>
      <c r="M108" s="34" t="str">
        <f aca="false">IF($A108="","",SUMIFS(②销售核销!$L$4:$L$603,②销售核销!$E$4:$E$603,$A108,②销售核销!$M$4:$M$603,"已收汇"))</f>
        <v/>
      </c>
      <c r="N108" s="30" t="str">
        <f aca="false">IF(ISNUMBER(D108),DATE(YEAR(D108)+1,4,30),"")</f>
        <v/>
      </c>
      <c r="O108" s="35" t="str">
        <f aca="true">IF($A108="","",IF(N(H108)=0,IF(AND(ISNUMBER(N108),TODAY()&gt;N108),"超过收汇期限仍未销售","尚未销售"),IF(ROUND(M108,2)&gt;=ROUND(L108,2),"已售部分已收汇",IF(AND(ISNUMBER(N108),TODAY()&gt;N108),"超期未收汇","有回款待收汇"))))</f>
        <v/>
      </c>
      <c r="P108" s="34" t="str">
        <f aca="false">IF($A108="","",SUMIFS(④退税核算!$H$4:$H$303,④退税核算!$A$4:$A$303,$A108))</f>
        <v/>
      </c>
      <c r="Q108" s="34" t="str">
        <f aca="false">IF($A108="","",SUMIFS(④退税核算!$H$4:$H$303,④退税核算!$A$4:$A$303,$A108,④退税核算!$D$4:$D$303,"未售-海外仓预退（HWC-YT）"))</f>
        <v/>
      </c>
      <c r="R108" s="30" t="str">
        <f aca="false">IF($A108="","",IF(COUNTIFS(④退税核算!$A$4:$A$303,$A108,④退税核算!$D$4:$D$303,"未售-海外仓预退（HWC-YT）",④退税核算!$I$4:$I$303,"&gt;0")=0,"",_xlfn.MINIFS(④退税核算!$J$4:$J$303,④退税核算!$A$4:$A$303,$A108,④退税核算!$D$4:$D$303,"未售-海外仓预退（HWC-YT）")))</f>
        <v/>
      </c>
      <c r="S108" s="35" t="str">
        <f aca="false">IF($A108="","",IF(COUNTIFS(④退税核算!$A$4:$A$303,$A108,④退税核算!$D$4:$D$303,"未售-海外仓预退（HWC-YT）")=0,"不涉及",IF(COUNTIFS(④退税核算!$A$4:$A$303,$A108,④退税核算!$S$4:$S$303,"已逾期*")&gt;0,"已逾期",IF(COUNTIFS(④退税核算!$A$4:$A$303,$A108,④退税核算!$S$4:$S$303,"临近*")&gt;0,"临近截止",IF(COUNTIFS(④退税核算!$A$4:$A$303,$A108,④退税核算!$S$4:$S$303,"待*")&gt;0,"待核算","已核算")))))</f>
        <v/>
      </c>
      <c r="T108" s="35" t="str">
        <f aca="false">IF($A108="","",IFERROR(INDEX(⑥单证留存!$P$4:$P$203,MATCH(①出口报关!B105,⑥单证留存!$A$4:$A$203,0)),"未登记"))</f>
        <v/>
      </c>
      <c r="U108" s="36" t="str">
        <f aca="false">IF($A108="","",IF(IF(OR(O108="超期未收汇",O108="超过收汇期限仍未销售")," 收汇超期","")&amp;IF(S108="已逾期"," 核算逾期","")&amp;IF(S108="临近截止"," 核算临近截止","")&amp;IF(LEFT(T108,1)="缺"," 单证"&amp;T108,"")&amp;IF(T108="未登记"," 单证未登记","")&amp;IF(AND(ISNUMBER(G108),N(G108)&lt;&gt;0)," 入仓差异"&amp;G108,"")="","正常",SUBSTITUTE(TRIM(IF(OR(O108="超期未收汇",O108="超过收汇期限仍未销售")," 收汇超期","")&amp;IF(S108="已逾期"," 核算逾期","")&amp;IF(S108="临近截止"," 核算临近截止","")&amp;IF(LEFT(T108,1)="缺"," 单证"&amp;T108,"")&amp;IF(T108="未登记"," 单证未登记","")&amp;IF(AND(ISNUMBER(G108),N(G108)&lt;&gt;0)," 入仓差异"&amp;G108,""))," ","、")))</f>
        <v/>
      </c>
    </row>
    <row r="109" customFormat="false" ht="21.75" hidden="false" customHeight="true" outlineLevel="0" collapsed="false">
      <c r="A109" s="29" t="str">
        <f aca="false">IF(①出口报关!A106="","",①出口报关!A106)</f>
        <v/>
      </c>
      <c r="B109" s="29" t="str">
        <f aca="false">IF($A109="","",①出口报关!I106)</f>
        <v/>
      </c>
      <c r="C109" s="29" t="str">
        <f aca="false">IF($A109="","",①出口报关!J106)</f>
        <v/>
      </c>
      <c r="D109" s="30" t="str">
        <f aca="false">IF($A109="","",IF(①出口报关!D106="","",①出口报关!D106))</f>
        <v/>
      </c>
      <c r="E109" s="31" t="str">
        <f aca="false">IF($A109="","",N(①出口报关!L106))</f>
        <v/>
      </c>
      <c r="F109" s="31" t="str">
        <f aca="false">IF($A109="","",IF(①出口报关!Y106="","未签收",①出口报关!Y106))</f>
        <v/>
      </c>
      <c r="G109" s="32" t="str">
        <f aca="false">IF(OR($A109="",NOT(ISNUMBER(F109))),"",F109-E109)</f>
        <v/>
      </c>
      <c r="H109" s="31" t="str">
        <f aca="false">IF($A109="","",SUMIFS(②销售核销!$I$4:$I$603,②销售核销!$E$4:$E$603,$A109))</f>
        <v/>
      </c>
      <c r="I109" s="31" t="str">
        <f aca="false">IF($A109="","",SUMIFS(⑤库存异常!$E$4:$E$203,⑤库存异常!$B$4:$B$203,$A109))</f>
        <v/>
      </c>
      <c r="J109" s="31" t="str">
        <f aca="false">IF($A109="","",IF(ISNUMBER(F109),F109,E109)-H109-I109)</f>
        <v/>
      </c>
      <c r="K109" s="33" t="str">
        <f aca="false">IF(OR($A109="",N(E109)=0),"",H109/E109)</f>
        <v/>
      </c>
      <c r="L109" s="34" t="str">
        <f aca="false">IF($A109="","",SUMIFS(②销售核销!$L$4:$L$603,②销售核销!$E$4:$E$603,$A109))</f>
        <v/>
      </c>
      <c r="M109" s="34" t="str">
        <f aca="false">IF($A109="","",SUMIFS(②销售核销!$L$4:$L$603,②销售核销!$E$4:$E$603,$A109,②销售核销!$M$4:$M$603,"已收汇"))</f>
        <v/>
      </c>
      <c r="N109" s="30" t="str">
        <f aca="false">IF(ISNUMBER(D109),DATE(YEAR(D109)+1,4,30),"")</f>
        <v/>
      </c>
      <c r="O109" s="35" t="str">
        <f aca="true">IF($A109="","",IF(N(H109)=0,IF(AND(ISNUMBER(N109),TODAY()&gt;N109),"超过收汇期限仍未销售","尚未销售"),IF(ROUND(M109,2)&gt;=ROUND(L109,2),"已售部分已收汇",IF(AND(ISNUMBER(N109),TODAY()&gt;N109),"超期未收汇","有回款待收汇"))))</f>
        <v/>
      </c>
      <c r="P109" s="34" t="str">
        <f aca="false">IF($A109="","",SUMIFS(④退税核算!$H$4:$H$303,④退税核算!$A$4:$A$303,$A109))</f>
        <v/>
      </c>
      <c r="Q109" s="34" t="str">
        <f aca="false">IF($A109="","",SUMIFS(④退税核算!$H$4:$H$303,④退税核算!$A$4:$A$303,$A109,④退税核算!$D$4:$D$303,"未售-海外仓预退（HWC-YT）"))</f>
        <v/>
      </c>
      <c r="R109" s="30" t="str">
        <f aca="false">IF($A109="","",IF(COUNTIFS(④退税核算!$A$4:$A$303,$A109,④退税核算!$D$4:$D$303,"未售-海外仓预退（HWC-YT）",④退税核算!$I$4:$I$303,"&gt;0")=0,"",_xlfn.MINIFS(④退税核算!$J$4:$J$303,④退税核算!$A$4:$A$303,$A109,④退税核算!$D$4:$D$303,"未售-海外仓预退（HWC-YT）")))</f>
        <v/>
      </c>
      <c r="S109" s="35" t="str">
        <f aca="false">IF($A109="","",IF(COUNTIFS(④退税核算!$A$4:$A$303,$A109,④退税核算!$D$4:$D$303,"未售-海外仓预退（HWC-YT）")=0,"不涉及",IF(COUNTIFS(④退税核算!$A$4:$A$303,$A109,④退税核算!$S$4:$S$303,"已逾期*")&gt;0,"已逾期",IF(COUNTIFS(④退税核算!$A$4:$A$303,$A109,④退税核算!$S$4:$S$303,"临近*")&gt;0,"临近截止",IF(COUNTIFS(④退税核算!$A$4:$A$303,$A109,④退税核算!$S$4:$S$303,"待*")&gt;0,"待核算","已核算")))))</f>
        <v/>
      </c>
      <c r="T109" s="35" t="str">
        <f aca="false">IF($A109="","",IFERROR(INDEX(⑥单证留存!$P$4:$P$203,MATCH(①出口报关!B106,⑥单证留存!$A$4:$A$203,0)),"未登记"))</f>
        <v/>
      </c>
      <c r="U109" s="36" t="str">
        <f aca="false">IF($A109="","",IF(IF(OR(O109="超期未收汇",O109="超过收汇期限仍未销售")," 收汇超期","")&amp;IF(S109="已逾期"," 核算逾期","")&amp;IF(S109="临近截止"," 核算临近截止","")&amp;IF(LEFT(T109,1)="缺"," 单证"&amp;T109,"")&amp;IF(T109="未登记"," 单证未登记","")&amp;IF(AND(ISNUMBER(G109),N(G109)&lt;&gt;0)," 入仓差异"&amp;G109,"")="","正常",SUBSTITUTE(TRIM(IF(OR(O109="超期未收汇",O109="超过收汇期限仍未销售")," 收汇超期","")&amp;IF(S109="已逾期"," 核算逾期","")&amp;IF(S109="临近截止"," 核算临近截止","")&amp;IF(LEFT(T109,1)="缺"," 单证"&amp;T109,"")&amp;IF(T109="未登记"," 单证未登记","")&amp;IF(AND(ISNUMBER(G109),N(G109)&lt;&gt;0)," 入仓差异"&amp;G109,""))," ","、")))</f>
        <v/>
      </c>
    </row>
    <row r="110" customFormat="false" ht="21.75" hidden="false" customHeight="true" outlineLevel="0" collapsed="false">
      <c r="A110" s="29" t="str">
        <f aca="false">IF(①出口报关!A107="","",①出口报关!A107)</f>
        <v/>
      </c>
      <c r="B110" s="29" t="str">
        <f aca="false">IF($A110="","",①出口报关!I107)</f>
        <v/>
      </c>
      <c r="C110" s="29" t="str">
        <f aca="false">IF($A110="","",①出口报关!J107)</f>
        <v/>
      </c>
      <c r="D110" s="30" t="str">
        <f aca="false">IF($A110="","",IF(①出口报关!D107="","",①出口报关!D107))</f>
        <v/>
      </c>
      <c r="E110" s="31" t="str">
        <f aca="false">IF($A110="","",N(①出口报关!L107))</f>
        <v/>
      </c>
      <c r="F110" s="31" t="str">
        <f aca="false">IF($A110="","",IF(①出口报关!Y107="","未签收",①出口报关!Y107))</f>
        <v/>
      </c>
      <c r="G110" s="32" t="str">
        <f aca="false">IF(OR($A110="",NOT(ISNUMBER(F110))),"",F110-E110)</f>
        <v/>
      </c>
      <c r="H110" s="31" t="str">
        <f aca="false">IF($A110="","",SUMIFS(②销售核销!$I$4:$I$603,②销售核销!$E$4:$E$603,$A110))</f>
        <v/>
      </c>
      <c r="I110" s="31" t="str">
        <f aca="false">IF($A110="","",SUMIFS(⑤库存异常!$E$4:$E$203,⑤库存异常!$B$4:$B$203,$A110))</f>
        <v/>
      </c>
      <c r="J110" s="31" t="str">
        <f aca="false">IF($A110="","",IF(ISNUMBER(F110),F110,E110)-H110-I110)</f>
        <v/>
      </c>
      <c r="K110" s="33" t="str">
        <f aca="false">IF(OR($A110="",N(E110)=0),"",H110/E110)</f>
        <v/>
      </c>
      <c r="L110" s="34" t="str">
        <f aca="false">IF($A110="","",SUMIFS(②销售核销!$L$4:$L$603,②销售核销!$E$4:$E$603,$A110))</f>
        <v/>
      </c>
      <c r="M110" s="34" t="str">
        <f aca="false">IF($A110="","",SUMIFS(②销售核销!$L$4:$L$603,②销售核销!$E$4:$E$603,$A110,②销售核销!$M$4:$M$603,"已收汇"))</f>
        <v/>
      </c>
      <c r="N110" s="30" t="str">
        <f aca="false">IF(ISNUMBER(D110),DATE(YEAR(D110)+1,4,30),"")</f>
        <v/>
      </c>
      <c r="O110" s="35" t="str">
        <f aca="true">IF($A110="","",IF(N(H110)=0,IF(AND(ISNUMBER(N110),TODAY()&gt;N110),"超过收汇期限仍未销售","尚未销售"),IF(ROUND(M110,2)&gt;=ROUND(L110,2),"已售部分已收汇",IF(AND(ISNUMBER(N110),TODAY()&gt;N110),"超期未收汇","有回款待收汇"))))</f>
        <v/>
      </c>
      <c r="P110" s="34" t="str">
        <f aca="false">IF($A110="","",SUMIFS(④退税核算!$H$4:$H$303,④退税核算!$A$4:$A$303,$A110))</f>
        <v/>
      </c>
      <c r="Q110" s="34" t="str">
        <f aca="false">IF($A110="","",SUMIFS(④退税核算!$H$4:$H$303,④退税核算!$A$4:$A$303,$A110,④退税核算!$D$4:$D$303,"未售-海外仓预退（HWC-YT）"))</f>
        <v/>
      </c>
      <c r="R110" s="30" t="str">
        <f aca="false">IF($A110="","",IF(COUNTIFS(④退税核算!$A$4:$A$303,$A110,④退税核算!$D$4:$D$303,"未售-海外仓预退（HWC-YT）",④退税核算!$I$4:$I$303,"&gt;0")=0,"",_xlfn.MINIFS(④退税核算!$J$4:$J$303,④退税核算!$A$4:$A$303,$A110,④退税核算!$D$4:$D$303,"未售-海外仓预退（HWC-YT）")))</f>
        <v/>
      </c>
      <c r="S110" s="35" t="str">
        <f aca="false">IF($A110="","",IF(COUNTIFS(④退税核算!$A$4:$A$303,$A110,④退税核算!$D$4:$D$303,"未售-海外仓预退（HWC-YT）")=0,"不涉及",IF(COUNTIFS(④退税核算!$A$4:$A$303,$A110,④退税核算!$S$4:$S$303,"已逾期*")&gt;0,"已逾期",IF(COUNTIFS(④退税核算!$A$4:$A$303,$A110,④退税核算!$S$4:$S$303,"临近*")&gt;0,"临近截止",IF(COUNTIFS(④退税核算!$A$4:$A$303,$A110,④退税核算!$S$4:$S$303,"待*")&gt;0,"待核算","已核算")))))</f>
        <v/>
      </c>
      <c r="T110" s="35" t="str">
        <f aca="false">IF($A110="","",IFERROR(INDEX(⑥单证留存!$P$4:$P$203,MATCH(①出口报关!B107,⑥单证留存!$A$4:$A$203,0)),"未登记"))</f>
        <v/>
      </c>
      <c r="U110" s="36" t="str">
        <f aca="false">IF($A110="","",IF(IF(OR(O110="超期未收汇",O110="超过收汇期限仍未销售")," 收汇超期","")&amp;IF(S110="已逾期"," 核算逾期","")&amp;IF(S110="临近截止"," 核算临近截止","")&amp;IF(LEFT(T110,1)="缺"," 单证"&amp;T110,"")&amp;IF(T110="未登记"," 单证未登记","")&amp;IF(AND(ISNUMBER(G110),N(G110)&lt;&gt;0)," 入仓差异"&amp;G110,"")="","正常",SUBSTITUTE(TRIM(IF(OR(O110="超期未收汇",O110="超过收汇期限仍未销售")," 收汇超期","")&amp;IF(S110="已逾期"," 核算逾期","")&amp;IF(S110="临近截止"," 核算临近截止","")&amp;IF(LEFT(T110,1)="缺"," 单证"&amp;T110,"")&amp;IF(T110="未登记"," 单证未登记","")&amp;IF(AND(ISNUMBER(G110),N(G110)&lt;&gt;0)," 入仓差异"&amp;G110,""))," ","、")))</f>
        <v/>
      </c>
    </row>
    <row r="111" customFormat="false" ht="21.75" hidden="false" customHeight="true" outlineLevel="0" collapsed="false">
      <c r="A111" s="29" t="str">
        <f aca="false">IF(①出口报关!A108="","",①出口报关!A108)</f>
        <v/>
      </c>
      <c r="B111" s="29" t="str">
        <f aca="false">IF($A111="","",①出口报关!I108)</f>
        <v/>
      </c>
      <c r="C111" s="29" t="str">
        <f aca="false">IF($A111="","",①出口报关!J108)</f>
        <v/>
      </c>
      <c r="D111" s="30" t="str">
        <f aca="false">IF($A111="","",IF(①出口报关!D108="","",①出口报关!D108))</f>
        <v/>
      </c>
      <c r="E111" s="31" t="str">
        <f aca="false">IF($A111="","",N(①出口报关!L108))</f>
        <v/>
      </c>
      <c r="F111" s="31" t="str">
        <f aca="false">IF($A111="","",IF(①出口报关!Y108="","未签收",①出口报关!Y108))</f>
        <v/>
      </c>
      <c r="G111" s="32" t="str">
        <f aca="false">IF(OR($A111="",NOT(ISNUMBER(F111))),"",F111-E111)</f>
        <v/>
      </c>
      <c r="H111" s="31" t="str">
        <f aca="false">IF($A111="","",SUMIFS(②销售核销!$I$4:$I$603,②销售核销!$E$4:$E$603,$A111))</f>
        <v/>
      </c>
      <c r="I111" s="31" t="str">
        <f aca="false">IF($A111="","",SUMIFS(⑤库存异常!$E$4:$E$203,⑤库存异常!$B$4:$B$203,$A111))</f>
        <v/>
      </c>
      <c r="J111" s="31" t="str">
        <f aca="false">IF($A111="","",IF(ISNUMBER(F111),F111,E111)-H111-I111)</f>
        <v/>
      </c>
      <c r="K111" s="33" t="str">
        <f aca="false">IF(OR($A111="",N(E111)=0),"",H111/E111)</f>
        <v/>
      </c>
      <c r="L111" s="34" t="str">
        <f aca="false">IF($A111="","",SUMIFS(②销售核销!$L$4:$L$603,②销售核销!$E$4:$E$603,$A111))</f>
        <v/>
      </c>
      <c r="M111" s="34" t="str">
        <f aca="false">IF($A111="","",SUMIFS(②销售核销!$L$4:$L$603,②销售核销!$E$4:$E$603,$A111,②销售核销!$M$4:$M$603,"已收汇"))</f>
        <v/>
      </c>
      <c r="N111" s="30" t="str">
        <f aca="false">IF(ISNUMBER(D111),DATE(YEAR(D111)+1,4,30),"")</f>
        <v/>
      </c>
      <c r="O111" s="35" t="str">
        <f aca="true">IF($A111="","",IF(N(H111)=0,IF(AND(ISNUMBER(N111),TODAY()&gt;N111),"超过收汇期限仍未销售","尚未销售"),IF(ROUND(M111,2)&gt;=ROUND(L111,2),"已售部分已收汇",IF(AND(ISNUMBER(N111),TODAY()&gt;N111),"超期未收汇","有回款待收汇"))))</f>
        <v/>
      </c>
      <c r="P111" s="34" t="str">
        <f aca="false">IF($A111="","",SUMIFS(④退税核算!$H$4:$H$303,④退税核算!$A$4:$A$303,$A111))</f>
        <v/>
      </c>
      <c r="Q111" s="34" t="str">
        <f aca="false">IF($A111="","",SUMIFS(④退税核算!$H$4:$H$303,④退税核算!$A$4:$A$303,$A111,④退税核算!$D$4:$D$303,"未售-海外仓预退（HWC-YT）"))</f>
        <v/>
      </c>
      <c r="R111" s="30" t="str">
        <f aca="false">IF($A111="","",IF(COUNTIFS(④退税核算!$A$4:$A$303,$A111,④退税核算!$D$4:$D$303,"未售-海外仓预退（HWC-YT）",④退税核算!$I$4:$I$303,"&gt;0")=0,"",_xlfn.MINIFS(④退税核算!$J$4:$J$303,④退税核算!$A$4:$A$303,$A111,④退税核算!$D$4:$D$303,"未售-海外仓预退（HWC-YT）")))</f>
        <v/>
      </c>
      <c r="S111" s="35" t="str">
        <f aca="false">IF($A111="","",IF(COUNTIFS(④退税核算!$A$4:$A$303,$A111,④退税核算!$D$4:$D$303,"未售-海外仓预退（HWC-YT）")=0,"不涉及",IF(COUNTIFS(④退税核算!$A$4:$A$303,$A111,④退税核算!$S$4:$S$303,"已逾期*")&gt;0,"已逾期",IF(COUNTIFS(④退税核算!$A$4:$A$303,$A111,④退税核算!$S$4:$S$303,"临近*")&gt;0,"临近截止",IF(COUNTIFS(④退税核算!$A$4:$A$303,$A111,④退税核算!$S$4:$S$303,"待*")&gt;0,"待核算","已核算")))))</f>
        <v/>
      </c>
      <c r="T111" s="35" t="str">
        <f aca="false">IF($A111="","",IFERROR(INDEX(⑥单证留存!$P$4:$P$203,MATCH(①出口报关!B108,⑥单证留存!$A$4:$A$203,0)),"未登记"))</f>
        <v/>
      </c>
      <c r="U111" s="36" t="str">
        <f aca="false">IF($A111="","",IF(IF(OR(O111="超期未收汇",O111="超过收汇期限仍未销售")," 收汇超期","")&amp;IF(S111="已逾期"," 核算逾期","")&amp;IF(S111="临近截止"," 核算临近截止","")&amp;IF(LEFT(T111,1)="缺"," 单证"&amp;T111,"")&amp;IF(T111="未登记"," 单证未登记","")&amp;IF(AND(ISNUMBER(G111),N(G111)&lt;&gt;0)," 入仓差异"&amp;G111,"")="","正常",SUBSTITUTE(TRIM(IF(OR(O111="超期未收汇",O111="超过收汇期限仍未销售")," 收汇超期","")&amp;IF(S111="已逾期"," 核算逾期","")&amp;IF(S111="临近截止"," 核算临近截止","")&amp;IF(LEFT(T111,1)="缺"," 单证"&amp;T111,"")&amp;IF(T111="未登记"," 单证未登记","")&amp;IF(AND(ISNUMBER(G111),N(G111)&lt;&gt;0)," 入仓差异"&amp;G111,""))," ","、")))</f>
        <v/>
      </c>
    </row>
    <row r="112" customFormat="false" ht="21.75" hidden="false" customHeight="true" outlineLevel="0" collapsed="false">
      <c r="A112" s="29" t="str">
        <f aca="false">IF(①出口报关!A109="","",①出口报关!A109)</f>
        <v/>
      </c>
      <c r="B112" s="29" t="str">
        <f aca="false">IF($A112="","",①出口报关!I109)</f>
        <v/>
      </c>
      <c r="C112" s="29" t="str">
        <f aca="false">IF($A112="","",①出口报关!J109)</f>
        <v/>
      </c>
      <c r="D112" s="30" t="str">
        <f aca="false">IF($A112="","",IF(①出口报关!D109="","",①出口报关!D109))</f>
        <v/>
      </c>
      <c r="E112" s="31" t="str">
        <f aca="false">IF($A112="","",N(①出口报关!L109))</f>
        <v/>
      </c>
      <c r="F112" s="31" t="str">
        <f aca="false">IF($A112="","",IF(①出口报关!Y109="","未签收",①出口报关!Y109))</f>
        <v/>
      </c>
      <c r="G112" s="32" t="str">
        <f aca="false">IF(OR($A112="",NOT(ISNUMBER(F112))),"",F112-E112)</f>
        <v/>
      </c>
      <c r="H112" s="31" t="str">
        <f aca="false">IF($A112="","",SUMIFS(②销售核销!$I$4:$I$603,②销售核销!$E$4:$E$603,$A112))</f>
        <v/>
      </c>
      <c r="I112" s="31" t="str">
        <f aca="false">IF($A112="","",SUMIFS(⑤库存异常!$E$4:$E$203,⑤库存异常!$B$4:$B$203,$A112))</f>
        <v/>
      </c>
      <c r="J112" s="31" t="str">
        <f aca="false">IF($A112="","",IF(ISNUMBER(F112),F112,E112)-H112-I112)</f>
        <v/>
      </c>
      <c r="K112" s="33" t="str">
        <f aca="false">IF(OR($A112="",N(E112)=0),"",H112/E112)</f>
        <v/>
      </c>
      <c r="L112" s="34" t="str">
        <f aca="false">IF($A112="","",SUMIFS(②销售核销!$L$4:$L$603,②销售核销!$E$4:$E$603,$A112))</f>
        <v/>
      </c>
      <c r="M112" s="34" t="str">
        <f aca="false">IF($A112="","",SUMIFS(②销售核销!$L$4:$L$603,②销售核销!$E$4:$E$603,$A112,②销售核销!$M$4:$M$603,"已收汇"))</f>
        <v/>
      </c>
      <c r="N112" s="30" t="str">
        <f aca="false">IF(ISNUMBER(D112),DATE(YEAR(D112)+1,4,30),"")</f>
        <v/>
      </c>
      <c r="O112" s="35" t="str">
        <f aca="true">IF($A112="","",IF(N(H112)=0,IF(AND(ISNUMBER(N112),TODAY()&gt;N112),"超过收汇期限仍未销售","尚未销售"),IF(ROUND(M112,2)&gt;=ROUND(L112,2),"已售部分已收汇",IF(AND(ISNUMBER(N112),TODAY()&gt;N112),"超期未收汇","有回款待收汇"))))</f>
        <v/>
      </c>
      <c r="P112" s="34" t="str">
        <f aca="false">IF($A112="","",SUMIFS(④退税核算!$H$4:$H$303,④退税核算!$A$4:$A$303,$A112))</f>
        <v/>
      </c>
      <c r="Q112" s="34" t="str">
        <f aca="false">IF($A112="","",SUMIFS(④退税核算!$H$4:$H$303,④退税核算!$A$4:$A$303,$A112,④退税核算!$D$4:$D$303,"未售-海外仓预退（HWC-YT）"))</f>
        <v/>
      </c>
      <c r="R112" s="30" t="str">
        <f aca="false">IF($A112="","",IF(COUNTIFS(④退税核算!$A$4:$A$303,$A112,④退税核算!$D$4:$D$303,"未售-海外仓预退（HWC-YT）",④退税核算!$I$4:$I$303,"&gt;0")=0,"",_xlfn.MINIFS(④退税核算!$J$4:$J$303,④退税核算!$A$4:$A$303,$A112,④退税核算!$D$4:$D$303,"未售-海外仓预退（HWC-YT）")))</f>
        <v/>
      </c>
      <c r="S112" s="35" t="str">
        <f aca="false">IF($A112="","",IF(COUNTIFS(④退税核算!$A$4:$A$303,$A112,④退税核算!$D$4:$D$303,"未售-海外仓预退（HWC-YT）")=0,"不涉及",IF(COUNTIFS(④退税核算!$A$4:$A$303,$A112,④退税核算!$S$4:$S$303,"已逾期*")&gt;0,"已逾期",IF(COUNTIFS(④退税核算!$A$4:$A$303,$A112,④退税核算!$S$4:$S$303,"临近*")&gt;0,"临近截止",IF(COUNTIFS(④退税核算!$A$4:$A$303,$A112,④退税核算!$S$4:$S$303,"待*")&gt;0,"待核算","已核算")))))</f>
        <v/>
      </c>
      <c r="T112" s="35" t="str">
        <f aca="false">IF($A112="","",IFERROR(INDEX(⑥单证留存!$P$4:$P$203,MATCH(①出口报关!B109,⑥单证留存!$A$4:$A$203,0)),"未登记"))</f>
        <v/>
      </c>
      <c r="U112" s="36" t="str">
        <f aca="false">IF($A112="","",IF(IF(OR(O112="超期未收汇",O112="超过收汇期限仍未销售")," 收汇超期","")&amp;IF(S112="已逾期"," 核算逾期","")&amp;IF(S112="临近截止"," 核算临近截止","")&amp;IF(LEFT(T112,1)="缺"," 单证"&amp;T112,"")&amp;IF(T112="未登记"," 单证未登记","")&amp;IF(AND(ISNUMBER(G112),N(G112)&lt;&gt;0)," 入仓差异"&amp;G112,"")="","正常",SUBSTITUTE(TRIM(IF(OR(O112="超期未收汇",O112="超过收汇期限仍未销售")," 收汇超期","")&amp;IF(S112="已逾期"," 核算逾期","")&amp;IF(S112="临近截止"," 核算临近截止","")&amp;IF(LEFT(T112,1)="缺"," 单证"&amp;T112,"")&amp;IF(T112="未登记"," 单证未登记","")&amp;IF(AND(ISNUMBER(G112),N(G112)&lt;&gt;0)," 入仓差异"&amp;G112,""))," ","、")))</f>
        <v/>
      </c>
    </row>
    <row r="113" customFormat="false" ht="21.75" hidden="false" customHeight="true" outlineLevel="0" collapsed="false">
      <c r="A113" s="29" t="str">
        <f aca="false">IF(①出口报关!A110="","",①出口报关!A110)</f>
        <v/>
      </c>
      <c r="B113" s="29" t="str">
        <f aca="false">IF($A113="","",①出口报关!I110)</f>
        <v/>
      </c>
      <c r="C113" s="29" t="str">
        <f aca="false">IF($A113="","",①出口报关!J110)</f>
        <v/>
      </c>
      <c r="D113" s="30" t="str">
        <f aca="false">IF($A113="","",IF(①出口报关!D110="","",①出口报关!D110))</f>
        <v/>
      </c>
      <c r="E113" s="31" t="str">
        <f aca="false">IF($A113="","",N(①出口报关!L110))</f>
        <v/>
      </c>
      <c r="F113" s="31" t="str">
        <f aca="false">IF($A113="","",IF(①出口报关!Y110="","未签收",①出口报关!Y110))</f>
        <v/>
      </c>
      <c r="G113" s="32" t="str">
        <f aca="false">IF(OR($A113="",NOT(ISNUMBER(F113))),"",F113-E113)</f>
        <v/>
      </c>
      <c r="H113" s="31" t="str">
        <f aca="false">IF($A113="","",SUMIFS(②销售核销!$I$4:$I$603,②销售核销!$E$4:$E$603,$A113))</f>
        <v/>
      </c>
      <c r="I113" s="31" t="str">
        <f aca="false">IF($A113="","",SUMIFS(⑤库存异常!$E$4:$E$203,⑤库存异常!$B$4:$B$203,$A113))</f>
        <v/>
      </c>
      <c r="J113" s="31" t="str">
        <f aca="false">IF($A113="","",IF(ISNUMBER(F113),F113,E113)-H113-I113)</f>
        <v/>
      </c>
      <c r="K113" s="33" t="str">
        <f aca="false">IF(OR($A113="",N(E113)=0),"",H113/E113)</f>
        <v/>
      </c>
      <c r="L113" s="34" t="str">
        <f aca="false">IF($A113="","",SUMIFS(②销售核销!$L$4:$L$603,②销售核销!$E$4:$E$603,$A113))</f>
        <v/>
      </c>
      <c r="M113" s="34" t="str">
        <f aca="false">IF($A113="","",SUMIFS(②销售核销!$L$4:$L$603,②销售核销!$E$4:$E$603,$A113,②销售核销!$M$4:$M$603,"已收汇"))</f>
        <v/>
      </c>
      <c r="N113" s="30" t="str">
        <f aca="false">IF(ISNUMBER(D113),DATE(YEAR(D113)+1,4,30),"")</f>
        <v/>
      </c>
      <c r="O113" s="35" t="str">
        <f aca="true">IF($A113="","",IF(N(H113)=0,IF(AND(ISNUMBER(N113),TODAY()&gt;N113),"超过收汇期限仍未销售","尚未销售"),IF(ROUND(M113,2)&gt;=ROUND(L113,2),"已售部分已收汇",IF(AND(ISNUMBER(N113),TODAY()&gt;N113),"超期未收汇","有回款待收汇"))))</f>
        <v/>
      </c>
      <c r="P113" s="34" t="str">
        <f aca="false">IF($A113="","",SUMIFS(④退税核算!$H$4:$H$303,④退税核算!$A$4:$A$303,$A113))</f>
        <v/>
      </c>
      <c r="Q113" s="34" t="str">
        <f aca="false">IF($A113="","",SUMIFS(④退税核算!$H$4:$H$303,④退税核算!$A$4:$A$303,$A113,④退税核算!$D$4:$D$303,"未售-海外仓预退（HWC-YT）"))</f>
        <v/>
      </c>
      <c r="R113" s="30" t="str">
        <f aca="false">IF($A113="","",IF(COUNTIFS(④退税核算!$A$4:$A$303,$A113,④退税核算!$D$4:$D$303,"未售-海外仓预退（HWC-YT）",④退税核算!$I$4:$I$303,"&gt;0")=0,"",_xlfn.MINIFS(④退税核算!$J$4:$J$303,④退税核算!$A$4:$A$303,$A113,④退税核算!$D$4:$D$303,"未售-海外仓预退（HWC-YT）")))</f>
        <v/>
      </c>
      <c r="S113" s="35" t="str">
        <f aca="false">IF($A113="","",IF(COUNTIFS(④退税核算!$A$4:$A$303,$A113,④退税核算!$D$4:$D$303,"未售-海外仓预退（HWC-YT）")=0,"不涉及",IF(COUNTIFS(④退税核算!$A$4:$A$303,$A113,④退税核算!$S$4:$S$303,"已逾期*")&gt;0,"已逾期",IF(COUNTIFS(④退税核算!$A$4:$A$303,$A113,④退税核算!$S$4:$S$303,"临近*")&gt;0,"临近截止",IF(COUNTIFS(④退税核算!$A$4:$A$303,$A113,④退税核算!$S$4:$S$303,"待*")&gt;0,"待核算","已核算")))))</f>
        <v/>
      </c>
      <c r="T113" s="35" t="str">
        <f aca="false">IF($A113="","",IFERROR(INDEX(⑥单证留存!$P$4:$P$203,MATCH(①出口报关!B110,⑥单证留存!$A$4:$A$203,0)),"未登记"))</f>
        <v/>
      </c>
      <c r="U113" s="36" t="str">
        <f aca="false">IF($A113="","",IF(IF(OR(O113="超期未收汇",O113="超过收汇期限仍未销售")," 收汇超期","")&amp;IF(S113="已逾期"," 核算逾期","")&amp;IF(S113="临近截止"," 核算临近截止","")&amp;IF(LEFT(T113,1)="缺"," 单证"&amp;T113,"")&amp;IF(T113="未登记"," 单证未登记","")&amp;IF(AND(ISNUMBER(G113),N(G113)&lt;&gt;0)," 入仓差异"&amp;G113,"")="","正常",SUBSTITUTE(TRIM(IF(OR(O113="超期未收汇",O113="超过收汇期限仍未销售")," 收汇超期","")&amp;IF(S113="已逾期"," 核算逾期","")&amp;IF(S113="临近截止"," 核算临近截止","")&amp;IF(LEFT(T113,1)="缺"," 单证"&amp;T113,"")&amp;IF(T113="未登记"," 单证未登记","")&amp;IF(AND(ISNUMBER(G113),N(G113)&lt;&gt;0)," 入仓差异"&amp;G113,""))," ","、")))</f>
        <v/>
      </c>
    </row>
    <row r="114" customFormat="false" ht="21.75" hidden="false" customHeight="true" outlineLevel="0" collapsed="false">
      <c r="A114" s="29" t="str">
        <f aca="false">IF(①出口报关!A111="","",①出口报关!A111)</f>
        <v/>
      </c>
      <c r="B114" s="29" t="str">
        <f aca="false">IF($A114="","",①出口报关!I111)</f>
        <v/>
      </c>
      <c r="C114" s="29" t="str">
        <f aca="false">IF($A114="","",①出口报关!J111)</f>
        <v/>
      </c>
      <c r="D114" s="30" t="str">
        <f aca="false">IF($A114="","",IF(①出口报关!D111="","",①出口报关!D111))</f>
        <v/>
      </c>
      <c r="E114" s="31" t="str">
        <f aca="false">IF($A114="","",N(①出口报关!L111))</f>
        <v/>
      </c>
      <c r="F114" s="31" t="str">
        <f aca="false">IF($A114="","",IF(①出口报关!Y111="","未签收",①出口报关!Y111))</f>
        <v/>
      </c>
      <c r="G114" s="32" t="str">
        <f aca="false">IF(OR($A114="",NOT(ISNUMBER(F114))),"",F114-E114)</f>
        <v/>
      </c>
      <c r="H114" s="31" t="str">
        <f aca="false">IF($A114="","",SUMIFS(②销售核销!$I$4:$I$603,②销售核销!$E$4:$E$603,$A114))</f>
        <v/>
      </c>
      <c r="I114" s="31" t="str">
        <f aca="false">IF($A114="","",SUMIFS(⑤库存异常!$E$4:$E$203,⑤库存异常!$B$4:$B$203,$A114))</f>
        <v/>
      </c>
      <c r="J114" s="31" t="str">
        <f aca="false">IF($A114="","",IF(ISNUMBER(F114),F114,E114)-H114-I114)</f>
        <v/>
      </c>
      <c r="K114" s="33" t="str">
        <f aca="false">IF(OR($A114="",N(E114)=0),"",H114/E114)</f>
        <v/>
      </c>
      <c r="L114" s="34" t="str">
        <f aca="false">IF($A114="","",SUMIFS(②销售核销!$L$4:$L$603,②销售核销!$E$4:$E$603,$A114))</f>
        <v/>
      </c>
      <c r="M114" s="34" t="str">
        <f aca="false">IF($A114="","",SUMIFS(②销售核销!$L$4:$L$603,②销售核销!$E$4:$E$603,$A114,②销售核销!$M$4:$M$603,"已收汇"))</f>
        <v/>
      </c>
      <c r="N114" s="30" t="str">
        <f aca="false">IF(ISNUMBER(D114),DATE(YEAR(D114)+1,4,30),"")</f>
        <v/>
      </c>
      <c r="O114" s="35" t="str">
        <f aca="true">IF($A114="","",IF(N(H114)=0,IF(AND(ISNUMBER(N114),TODAY()&gt;N114),"超过收汇期限仍未销售","尚未销售"),IF(ROUND(M114,2)&gt;=ROUND(L114,2),"已售部分已收汇",IF(AND(ISNUMBER(N114),TODAY()&gt;N114),"超期未收汇","有回款待收汇"))))</f>
        <v/>
      </c>
      <c r="P114" s="34" t="str">
        <f aca="false">IF($A114="","",SUMIFS(④退税核算!$H$4:$H$303,④退税核算!$A$4:$A$303,$A114))</f>
        <v/>
      </c>
      <c r="Q114" s="34" t="str">
        <f aca="false">IF($A114="","",SUMIFS(④退税核算!$H$4:$H$303,④退税核算!$A$4:$A$303,$A114,④退税核算!$D$4:$D$303,"未售-海外仓预退（HWC-YT）"))</f>
        <v/>
      </c>
      <c r="R114" s="30" t="str">
        <f aca="false">IF($A114="","",IF(COUNTIFS(④退税核算!$A$4:$A$303,$A114,④退税核算!$D$4:$D$303,"未售-海外仓预退（HWC-YT）",④退税核算!$I$4:$I$303,"&gt;0")=0,"",_xlfn.MINIFS(④退税核算!$J$4:$J$303,④退税核算!$A$4:$A$303,$A114,④退税核算!$D$4:$D$303,"未售-海外仓预退（HWC-YT）")))</f>
        <v/>
      </c>
      <c r="S114" s="35" t="str">
        <f aca="false">IF($A114="","",IF(COUNTIFS(④退税核算!$A$4:$A$303,$A114,④退税核算!$D$4:$D$303,"未售-海外仓预退（HWC-YT）")=0,"不涉及",IF(COUNTIFS(④退税核算!$A$4:$A$303,$A114,④退税核算!$S$4:$S$303,"已逾期*")&gt;0,"已逾期",IF(COUNTIFS(④退税核算!$A$4:$A$303,$A114,④退税核算!$S$4:$S$303,"临近*")&gt;0,"临近截止",IF(COUNTIFS(④退税核算!$A$4:$A$303,$A114,④退税核算!$S$4:$S$303,"待*")&gt;0,"待核算","已核算")))))</f>
        <v/>
      </c>
      <c r="T114" s="35" t="str">
        <f aca="false">IF($A114="","",IFERROR(INDEX(⑥单证留存!$P$4:$P$203,MATCH(①出口报关!B111,⑥单证留存!$A$4:$A$203,0)),"未登记"))</f>
        <v/>
      </c>
      <c r="U114" s="36" t="str">
        <f aca="false">IF($A114="","",IF(IF(OR(O114="超期未收汇",O114="超过收汇期限仍未销售")," 收汇超期","")&amp;IF(S114="已逾期"," 核算逾期","")&amp;IF(S114="临近截止"," 核算临近截止","")&amp;IF(LEFT(T114,1)="缺"," 单证"&amp;T114,"")&amp;IF(T114="未登记"," 单证未登记","")&amp;IF(AND(ISNUMBER(G114),N(G114)&lt;&gt;0)," 入仓差异"&amp;G114,"")="","正常",SUBSTITUTE(TRIM(IF(OR(O114="超期未收汇",O114="超过收汇期限仍未销售")," 收汇超期","")&amp;IF(S114="已逾期"," 核算逾期","")&amp;IF(S114="临近截止"," 核算临近截止","")&amp;IF(LEFT(T114,1)="缺"," 单证"&amp;T114,"")&amp;IF(T114="未登记"," 单证未登记","")&amp;IF(AND(ISNUMBER(G114),N(G114)&lt;&gt;0)," 入仓差异"&amp;G114,""))," ","、")))</f>
        <v/>
      </c>
    </row>
    <row r="115" customFormat="false" ht="21.75" hidden="false" customHeight="true" outlineLevel="0" collapsed="false">
      <c r="A115" s="29" t="str">
        <f aca="false">IF(①出口报关!A112="","",①出口报关!A112)</f>
        <v/>
      </c>
      <c r="B115" s="29" t="str">
        <f aca="false">IF($A115="","",①出口报关!I112)</f>
        <v/>
      </c>
      <c r="C115" s="29" t="str">
        <f aca="false">IF($A115="","",①出口报关!J112)</f>
        <v/>
      </c>
      <c r="D115" s="30" t="str">
        <f aca="false">IF($A115="","",IF(①出口报关!D112="","",①出口报关!D112))</f>
        <v/>
      </c>
      <c r="E115" s="31" t="str">
        <f aca="false">IF($A115="","",N(①出口报关!L112))</f>
        <v/>
      </c>
      <c r="F115" s="31" t="str">
        <f aca="false">IF($A115="","",IF(①出口报关!Y112="","未签收",①出口报关!Y112))</f>
        <v/>
      </c>
      <c r="G115" s="32" t="str">
        <f aca="false">IF(OR($A115="",NOT(ISNUMBER(F115))),"",F115-E115)</f>
        <v/>
      </c>
      <c r="H115" s="31" t="str">
        <f aca="false">IF($A115="","",SUMIFS(②销售核销!$I$4:$I$603,②销售核销!$E$4:$E$603,$A115))</f>
        <v/>
      </c>
      <c r="I115" s="31" t="str">
        <f aca="false">IF($A115="","",SUMIFS(⑤库存异常!$E$4:$E$203,⑤库存异常!$B$4:$B$203,$A115))</f>
        <v/>
      </c>
      <c r="J115" s="31" t="str">
        <f aca="false">IF($A115="","",IF(ISNUMBER(F115),F115,E115)-H115-I115)</f>
        <v/>
      </c>
      <c r="K115" s="33" t="str">
        <f aca="false">IF(OR($A115="",N(E115)=0),"",H115/E115)</f>
        <v/>
      </c>
      <c r="L115" s="34" t="str">
        <f aca="false">IF($A115="","",SUMIFS(②销售核销!$L$4:$L$603,②销售核销!$E$4:$E$603,$A115))</f>
        <v/>
      </c>
      <c r="M115" s="34" t="str">
        <f aca="false">IF($A115="","",SUMIFS(②销售核销!$L$4:$L$603,②销售核销!$E$4:$E$603,$A115,②销售核销!$M$4:$M$603,"已收汇"))</f>
        <v/>
      </c>
      <c r="N115" s="30" t="str">
        <f aca="false">IF(ISNUMBER(D115),DATE(YEAR(D115)+1,4,30),"")</f>
        <v/>
      </c>
      <c r="O115" s="35" t="str">
        <f aca="true">IF($A115="","",IF(N(H115)=0,IF(AND(ISNUMBER(N115),TODAY()&gt;N115),"超过收汇期限仍未销售","尚未销售"),IF(ROUND(M115,2)&gt;=ROUND(L115,2),"已售部分已收汇",IF(AND(ISNUMBER(N115),TODAY()&gt;N115),"超期未收汇","有回款待收汇"))))</f>
        <v/>
      </c>
      <c r="P115" s="34" t="str">
        <f aca="false">IF($A115="","",SUMIFS(④退税核算!$H$4:$H$303,④退税核算!$A$4:$A$303,$A115))</f>
        <v/>
      </c>
      <c r="Q115" s="34" t="str">
        <f aca="false">IF($A115="","",SUMIFS(④退税核算!$H$4:$H$303,④退税核算!$A$4:$A$303,$A115,④退税核算!$D$4:$D$303,"未售-海外仓预退（HWC-YT）"))</f>
        <v/>
      </c>
      <c r="R115" s="30" t="str">
        <f aca="false">IF($A115="","",IF(COUNTIFS(④退税核算!$A$4:$A$303,$A115,④退税核算!$D$4:$D$303,"未售-海外仓预退（HWC-YT）",④退税核算!$I$4:$I$303,"&gt;0")=0,"",_xlfn.MINIFS(④退税核算!$J$4:$J$303,④退税核算!$A$4:$A$303,$A115,④退税核算!$D$4:$D$303,"未售-海外仓预退（HWC-YT）")))</f>
        <v/>
      </c>
      <c r="S115" s="35" t="str">
        <f aca="false">IF($A115="","",IF(COUNTIFS(④退税核算!$A$4:$A$303,$A115,④退税核算!$D$4:$D$303,"未售-海外仓预退（HWC-YT）")=0,"不涉及",IF(COUNTIFS(④退税核算!$A$4:$A$303,$A115,④退税核算!$S$4:$S$303,"已逾期*")&gt;0,"已逾期",IF(COUNTIFS(④退税核算!$A$4:$A$303,$A115,④退税核算!$S$4:$S$303,"临近*")&gt;0,"临近截止",IF(COUNTIFS(④退税核算!$A$4:$A$303,$A115,④退税核算!$S$4:$S$303,"待*")&gt;0,"待核算","已核算")))))</f>
        <v/>
      </c>
      <c r="T115" s="35" t="str">
        <f aca="false">IF($A115="","",IFERROR(INDEX(⑥单证留存!$P$4:$P$203,MATCH(①出口报关!B112,⑥单证留存!$A$4:$A$203,0)),"未登记"))</f>
        <v/>
      </c>
      <c r="U115" s="36" t="str">
        <f aca="false">IF($A115="","",IF(IF(OR(O115="超期未收汇",O115="超过收汇期限仍未销售")," 收汇超期","")&amp;IF(S115="已逾期"," 核算逾期","")&amp;IF(S115="临近截止"," 核算临近截止","")&amp;IF(LEFT(T115,1)="缺"," 单证"&amp;T115,"")&amp;IF(T115="未登记"," 单证未登记","")&amp;IF(AND(ISNUMBER(G115),N(G115)&lt;&gt;0)," 入仓差异"&amp;G115,"")="","正常",SUBSTITUTE(TRIM(IF(OR(O115="超期未收汇",O115="超过收汇期限仍未销售")," 收汇超期","")&amp;IF(S115="已逾期"," 核算逾期","")&amp;IF(S115="临近截止"," 核算临近截止","")&amp;IF(LEFT(T115,1)="缺"," 单证"&amp;T115,"")&amp;IF(T115="未登记"," 单证未登记","")&amp;IF(AND(ISNUMBER(G115),N(G115)&lt;&gt;0)," 入仓差异"&amp;G115,""))," ","、")))</f>
        <v/>
      </c>
    </row>
    <row r="116" customFormat="false" ht="21.75" hidden="false" customHeight="true" outlineLevel="0" collapsed="false">
      <c r="A116" s="29" t="str">
        <f aca="false">IF(①出口报关!A113="","",①出口报关!A113)</f>
        <v/>
      </c>
      <c r="B116" s="29" t="str">
        <f aca="false">IF($A116="","",①出口报关!I113)</f>
        <v/>
      </c>
      <c r="C116" s="29" t="str">
        <f aca="false">IF($A116="","",①出口报关!J113)</f>
        <v/>
      </c>
      <c r="D116" s="30" t="str">
        <f aca="false">IF($A116="","",IF(①出口报关!D113="","",①出口报关!D113))</f>
        <v/>
      </c>
      <c r="E116" s="31" t="str">
        <f aca="false">IF($A116="","",N(①出口报关!L113))</f>
        <v/>
      </c>
      <c r="F116" s="31" t="str">
        <f aca="false">IF($A116="","",IF(①出口报关!Y113="","未签收",①出口报关!Y113))</f>
        <v/>
      </c>
      <c r="G116" s="32" t="str">
        <f aca="false">IF(OR($A116="",NOT(ISNUMBER(F116))),"",F116-E116)</f>
        <v/>
      </c>
      <c r="H116" s="31" t="str">
        <f aca="false">IF($A116="","",SUMIFS(②销售核销!$I$4:$I$603,②销售核销!$E$4:$E$603,$A116))</f>
        <v/>
      </c>
      <c r="I116" s="31" t="str">
        <f aca="false">IF($A116="","",SUMIFS(⑤库存异常!$E$4:$E$203,⑤库存异常!$B$4:$B$203,$A116))</f>
        <v/>
      </c>
      <c r="J116" s="31" t="str">
        <f aca="false">IF($A116="","",IF(ISNUMBER(F116),F116,E116)-H116-I116)</f>
        <v/>
      </c>
      <c r="K116" s="33" t="str">
        <f aca="false">IF(OR($A116="",N(E116)=0),"",H116/E116)</f>
        <v/>
      </c>
      <c r="L116" s="34" t="str">
        <f aca="false">IF($A116="","",SUMIFS(②销售核销!$L$4:$L$603,②销售核销!$E$4:$E$603,$A116))</f>
        <v/>
      </c>
      <c r="M116" s="34" t="str">
        <f aca="false">IF($A116="","",SUMIFS(②销售核销!$L$4:$L$603,②销售核销!$E$4:$E$603,$A116,②销售核销!$M$4:$M$603,"已收汇"))</f>
        <v/>
      </c>
      <c r="N116" s="30" t="str">
        <f aca="false">IF(ISNUMBER(D116),DATE(YEAR(D116)+1,4,30),"")</f>
        <v/>
      </c>
      <c r="O116" s="35" t="str">
        <f aca="true">IF($A116="","",IF(N(H116)=0,IF(AND(ISNUMBER(N116),TODAY()&gt;N116),"超过收汇期限仍未销售","尚未销售"),IF(ROUND(M116,2)&gt;=ROUND(L116,2),"已售部分已收汇",IF(AND(ISNUMBER(N116),TODAY()&gt;N116),"超期未收汇","有回款待收汇"))))</f>
        <v/>
      </c>
      <c r="P116" s="34" t="str">
        <f aca="false">IF($A116="","",SUMIFS(④退税核算!$H$4:$H$303,④退税核算!$A$4:$A$303,$A116))</f>
        <v/>
      </c>
      <c r="Q116" s="34" t="str">
        <f aca="false">IF($A116="","",SUMIFS(④退税核算!$H$4:$H$303,④退税核算!$A$4:$A$303,$A116,④退税核算!$D$4:$D$303,"未售-海外仓预退（HWC-YT）"))</f>
        <v/>
      </c>
      <c r="R116" s="30" t="str">
        <f aca="false">IF($A116="","",IF(COUNTIFS(④退税核算!$A$4:$A$303,$A116,④退税核算!$D$4:$D$303,"未售-海外仓预退（HWC-YT）",④退税核算!$I$4:$I$303,"&gt;0")=0,"",_xlfn.MINIFS(④退税核算!$J$4:$J$303,④退税核算!$A$4:$A$303,$A116,④退税核算!$D$4:$D$303,"未售-海外仓预退（HWC-YT）")))</f>
        <v/>
      </c>
      <c r="S116" s="35" t="str">
        <f aca="false">IF($A116="","",IF(COUNTIFS(④退税核算!$A$4:$A$303,$A116,④退税核算!$D$4:$D$303,"未售-海外仓预退（HWC-YT）")=0,"不涉及",IF(COUNTIFS(④退税核算!$A$4:$A$303,$A116,④退税核算!$S$4:$S$303,"已逾期*")&gt;0,"已逾期",IF(COUNTIFS(④退税核算!$A$4:$A$303,$A116,④退税核算!$S$4:$S$303,"临近*")&gt;0,"临近截止",IF(COUNTIFS(④退税核算!$A$4:$A$303,$A116,④退税核算!$S$4:$S$303,"待*")&gt;0,"待核算","已核算")))))</f>
        <v/>
      </c>
      <c r="T116" s="35" t="str">
        <f aca="false">IF($A116="","",IFERROR(INDEX(⑥单证留存!$P$4:$P$203,MATCH(①出口报关!B113,⑥单证留存!$A$4:$A$203,0)),"未登记"))</f>
        <v/>
      </c>
      <c r="U116" s="36" t="str">
        <f aca="false">IF($A116="","",IF(IF(OR(O116="超期未收汇",O116="超过收汇期限仍未销售")," 收汇超期","")&amp;IF(S116="已逾期"," 核算逾期","")&amp;IF(S116="临近截止"," 核算临近截止","")&amp;IF(LEFT(T116,1)="缺"," 单证"&amp;T116,"")&amp;IF(T116="未登记"," 单证未登记","")&amp;IF(AND(ISNUMBER(G116),N(G116)&lt;&gt;0)," 入仓差异"&amp;G116,"")="","正常",SUBSTITUTE(TRIM(IF(OR(O116="超期未收汇",O116="超过收汇期限仍未销售")," 收汇超期","")&amp;IF(S116="已逾期"," 核算逾期","")&amp;IF(S116="临近截止"," 核算临近截止","")&amp;IF(LEFT(T116,1)="缺"," 单证"&amp;T116,"")&amp;IF(T116="未登记"," 单证未登记","")&amp;IF(AND(ISNUMBER(G116),N(G116)&lt;&gt;0)," 入仓差异"&amp;G116,""))," ","、")))</f>
        <v/>
      </c>
    </row>
    <row r="117" customFormat="false" ht="21.75" hidden="false" customHeight="true" outlineLevel="0" collapsed="false">
      <c r="A117" s="29" t="str">
        <f aca="false">IF(①出口报关!A114="","",①出口报关!A114)</f>
        <v/>
      </c>
      <c r="B117" s="29" t="str">
        <f aca="false">IF($A117="","",①出口报关!I114)</f>
        <v/>
      </c>
      <c r="C117" s="29" t="str">
        <f aca="false">IF($A117="","",①出口报关!J114)</f>
        <v/>
      </c>
      <c r="D117" s="30" t="str">
        <f aca="false">IF($A117="","",IF(①出口报关!D114="","",①出口报关!D114))</f>
        <v/>
      </c>
      <c r="E117" s="31" t="str">
        <f aca="false">IF($A117="","",N(①出口报关!L114))</f>
        <v/>
      </c>
      <c r="F117" s="31" t="str">
        <f aca="false">IF($A117="","",IF(①出口报关!Y114="","未签收",①出口报关!Y114))</f>
        <v/>
      </c>
      <c r="G117" s="32" t="str">
        <f aca="false">IF(OR($A117="",NOT(ISNUMBER(F117))),"",F117-E117)</f>
        <v/>
      </c>
      <c r="H117" s="31" t="str">
        <f aca="false">IF($A117="","",SUMIFS(②销售核销!$I$4:$I$603,②销售核销!$E$4:$E$603,$A117))</f>
        <v/>
      </c>
      <c r="I117" s="31" t="str">
        <f aca="false">IF($A117="","",SUMIFS(⑤库存异常!$E$4:$E$203,⑤库存异常!$B$4:$B$203,$A117))</f>
        <v/>
      </c>
      <c r="J117" s="31" t="str">
        <f aca="false">IF($A117="","",IF(ISNUMBER(F117),F117,E117)-H117-I117)</f>
        <v/>
      </c>
      <c r="K117" s="33" t="str">
        <f aca="false">IF(OR($A117="",N(E117)=0),"",H117/E117)</f>
        <v/>
      </c>
      <c r="L117" s="34" t="str">
        <f aca="false">IF($A117="","",SUMIFS(②销售核销!$L$4:$L$603,②销售核销!$E$4:$E$603,$A117))</f>
        <v/>
      </c>
      <c r="M117" s="34" t="str">
        <f aca="false">IF($A117="","",SUMIFS(②销售核销!$L$4:$L$603,②销售核销!$E$4:$E$603,$A117,②销售核销!$M$4:$M$603,"已收汇"))</f>
        <v/>
      </c>
      <c r="N117" s="30" t="str">
        <f aca="false">IF(ISNUMBER(D117),DATE(YEAR(D117)+1,4,30),"")</f>
        <v/>
      </c>
      <c r="O117" s="35" t="str">
        <f aca="true">IF($A117="","",IF(N(H117)=0,IF(AND(ISNUMBER(N117),TODAY()&gt;N117),"超过收汇期限仍未销售","尚未销售"),IF(ROUND(M117,2)&gt;=ROUND(L117,2),"已售部分已收汇",IF(AND(ISNUMBER(N117),TODAY()&gt;N117),"超期未收汇","有回款待收汇"))))</f>
        <v/>
      </c>
      <c r="P117" s="34" t="str">
        <f aca="false">IF($A117="","",SUMIFS(④退税核算!$H$4:$H$303,④退税核算!$A$4:$A$303,$A117))</f>
        <v/>
      </c>
      <c r="Q117" s="34" t="str">
        <f aca="false">IF($A117="","",SUMIFS(④退税核算!$H$4:$H$303,④退税核算!$A$4:$A$303,$A117,④退税核算!$D$4:$D$303,"未售-海外仓预退（HWC-YT）"))</f>
        <v/>
      </c>
      <c r="R117" s="30" t="str">
        <f aca="false">IF($A117="","",IF(COUNTIFS(④退税核算!$A$4:$A$303,$A117,④退税核算!$D$4:$D$303,"未售-海外仓预退（HWC-YT）",④退税核算!$I$4:$I$303,"&gt;0")=0,"",_xlfn.MINIFS(④退税核算!$J$4:$J$303,④退税核算!$A$4:$A$303,$A117,④退税核算!$D$4:$D$303,"未售-海外仓预退（HWC-YT）")))</f>
        <v/>
      </c>
      <c r="S117" s="35" t="str">
        <f aca="false">IF($A117="","",IF(COUNTIFS(④退税核算!$A$4:$A$303,$A117,④退税核算!$D$4:$D$303,"未售-海外仓预退（HWC-YT）")=0,"不涉及",IF(COUNTIFS(④退税核算!$A$4:$A$303,$A117,④退税核算!$S$4:$S$303,"已逾期*")&gt;0,"已逾期",IF(COUNTIFS(④退税核算!$A$4:$A$303,$A117,④退税核算!$S$4:$S$303,"临近*")&gt;0,"临近截止",IF(COUNTIFS(④退税核算!$A$4:$A$303,$A117,④退税核算!$S$4:$S$303,"待*")&gt;0,"待核算","已核算")))))</f>
        <v/>
      </c>
      <c r="T117" s="35" t="str">
        <f aca="false">IF($A117="","",IFERROR(INDEX(⑥单证留存!$P$4:$P$203,MATCH(①出口报关!B114,⑥单证留存!$A$4:$A$203,0)),"未登记"))</f>
        <v/>
      </c>
      <c r="U117" s="36" t="str">
        <f aca="false">IF($A117="","",IF(IF(OR(O117="超期未收汇",O117="超过收汇期限仍未销售")," 收汇超期","")&amp;IF(S117="已逾期"," 核算逾期","")&amp;IF(S117="临近截止"," 核算临近截止","")&amp;IF(LEFT(T117,1)="缺"," 单证"&amp;T117,"")&amp;IF(T117="未登记"," 单证未登记","")&amp;IF(AND(ISNUMBER(G117),N(G117)&lt;&gt;0)," 入仓差异"&amp;G117,"")="","正常",SUBSTITUTE(TRIM(IF(OR(O117="超期未收汇",O117="超过收汇期限仍未销售")," 收汇超期","")&amp;IF(S117="已逾期"," 核算逾期","")&amp;IF(S117="临近截止"," 核算临近截止","")&amp;IF(LEFT(T117,1)="缺"," 单证"&amp;T117,"")&amp;IF(T117="未登记"," 单证未登记","")&amp;IF(AND(ISNUMBER(G117),N(G117)&lt;&gt;0)," 入仓差异"&amp;G117,""))," ","、")))</f>
        <v/>
      </c>
    </row>
    <row r="118" customFormat="false" ht="21.75" hidden="false" customHeight="true" outlineLevel="0" collapsed="false">
      <c r="A118" s="29" t="str">
        <f aca="false">IF(①出口报关!A115="","",①出口报关!A115)</f>
        <v/>
      </c>
      <c r="B118" s="29" t="str">
        <f aca="false">IF($A118="","",①出口报关!I115)</f>
        <v/>
      </c>
      <c r="C118" s="29" t="str">
        <f aca="false">IF($A118="","",①出口报关!J115)</f>
        <v/>
      </c>
      <c r="D118" s="30" t="str">
        <f aca="false">IF($A118="","",IF(①出口报关!D115="","",①出口报关!D115))</f>
        <v/>
      </c>
      <c r="E118" s="31" t="str">
        <f aca="false">IF($A118="","",N(①出口报关!L115))</f>
        <v/>
      </c>
      <c r="F118" s="31" t="str">
        <f aca="false">IF($A118="","",IF(①出口报关!Y115="","未签收",①出口报关!Y115))</f>
        <v/>
      </c>
      <c r="G118" s="32" t="str">
        <f aca="false">IF(OR($A118="",NOT(ISNUMBER(F118))),"",F118-E118)</f>
        <v/>
      </c>
      <c r="H118" s="31" t="str">
        <f aca="false">IF($A118="","",SUMIFS(②销售核销!$I$4:$I$603,②销售核销!$E$4:$E$603,$A118))</f>
        <v/>
      </c>
      <c r="I118" s="31" t="str">
        <f aca="false">IF($A118="","",SUMIFS(⑤库存异常!$E$4:$E$203,⑤库存异常!$B$4:$B$203,$A118))</f>
        <v/>
      </c>
      <c r="J118" s="31" t="str">
        <f aca="false">IF($A118="","",IF(ISNUMBER(F118),F118,E118)-H118-I118)</f>
        <v/>
      </c>
      <c r="K118" s="33" t="str">
        <f aca="false">IF(OR($A118="",N(E118)=0),"",H118/E118)</f>
        <v/>
      </c>
      <c r="L118" s="34" t="str">
        <f aca="false">IF($A118="","",SUMIFS(②销售核销!$L$4:$L$603,②销售核销!$E$4:$E$603,$A118))</f>
        <v/>
      </c>
      <c r="M118" s="34" t="str">
        <f aca="false">IF($A118="","",SUMIFS(②销售核销!$L$4:$L$603,②销售核销!$E$4:$E$603,$A118,②销售核销!$M$4:$M$603,"已收汇"))</f>
        <v/>
      </c>
      <c r="N118" s="30" t="str">
        <f aca="false">IF(ISNUMBER(D118),DATE(YEAR(D118)+1,4,30),"")</f>
        <v/>
      </c>
      <c r="O118" s="35" t="str">
        <f aca="true">IF($A118="","",IF(N(H118)=0,IF(AND(ISNUMBER(N118),TODAY()&gt;N118),"超过收汇期限仍未销售","尚未销售"),IF(ROUND(M118,2)&gt;=ROUND(L118,2),"已售部分已收汇",IF(AND(ISNUMBER(N118),TODAY()&gt;N118),"超期未收汇","有回款待收汇"))))</f>
        <v/>
      </c>
      <c r="P118" s="34" t="str">
        <f aca="false">IF($A118="","",SUMIFS(④退税核算!$H$4:$H$303,④退税核算!$A$4:$A$303,$A118))</f>
        <v/>
      </c>
      <c r="Q118" s="34" t="str">
        <f aca="false">IF($A118="","",SUMIFS(④退税核算!$H$4:$H$303,④退税核算!$A$4:$A$303,$A118,④退税核算!$D$4:$D$303,"未售-海外仓预退（HWC-YT）"))</f>
        <v/>
      </c>
      <c r="R118" s="30" t="str">
        <f aca="false">IF($A118="","",IF(COUNTIFS(④退税核算!$A$4:$A$303,$A118,④退税核算!$D$4:$D$303,"未售-海外仓预退（HWC-YT）",④退税核算!$I$4:$I$303,"&gt;0")=0,"",_xlfn.MINIFS(④退税核算!$J$4:$J$303,④退税核算!$A$4:$A$303,$A118,④退税核算!$D$4:$D$303,"未售-海外仓预退（HWC-YT）")))</f>
        <v/>
      </c>
      <c r="S118" s="35" t="str">
        <f aca="false">IF($A118="","",IF(COUNTIFS(④退税核算!$A$4:$A$303,$A118,④退税核算!$D$4:$D$303,"未售-海外仓预退（HWC-YT）")=0,"不涉及",IF(COUNTIFS(④退税核算!$A$4:$A$303,$A118,④退税核算!$S$4:$S$303,"已逾期*")&gt;0,"已逾期",IF(COUNTIFS(④退税核算!$A$4:$A$303,$A118,④退税核算!$S$4:$S$303,"临近*")&gt;0,"临近截止",IF(COUNTIFS(④退税核算!$A$4:$A$303,$A118,④退税核算!$S$4:$S$303,"待*")&gt;0,"待核算","已核算")))))</f>
        <v/>
      </c>
      <c r="T118" s="35" t="str">
        <f aca="false">IF($A118="","",IFERROR(INDEX(⑥单证留存!$P$4:$P$203,MATCH(①出口报关!B115,⑥单证留存!$A$4:$A$203,0)),"未登记"))</f>
        <v/>
      </c>
      <c r="U118" s="36" t="str">
        <f aca="false">IF($A118="","",IF(IF(OR(O118="超期未收汇",O118="超过收汇期限仍未销售")," 收汇超期","")&amp;IF(S118="已逾期"," 核算逾期","")&amp;IF(S118="临近截止"," 核算临近截止","")&amp;IF(LEFT(T118,1)="缺"," 单证"&amp;T118,"")&amp;IF(T118="未登记"," 单证未登记","")&amp;IF(AND(ISNUMBER(G118),N(G118)&lt;&gt;0)," 入仓差异"&amp;G118,"")="","正常",SUBSTITUTE(TRIM(IF(OR(O118="超期未收汇",O118="超过收汇期限仍未销售")," 收汇超期","")&amp;IF(S118="已逾期"," 核算逾期","")&amp;IF(S118="临近截止"," 核算临近截止","")&amp;IF(LEFT(T118,1)="缺"," 单证"&amp;T118,"")&amp;IF(T118="未登记"," 单证未登记","")&amp;IF(AND(ISNUMBER(G118),N(G118)&lt;&gt;0)," 入仓差异"&amp;G118,""))," ","、")))</f>
        <v/>
      </c>
    </row>
    <row r="119" customFormat="false" ht="21.75" hidden="false" customHeight="true" outlineLevel="0" collapsed="false">
      <c r="A119" s="29" t="str">
        <f aca="false">IF(①出口报关!A116="","",①出口报关!A116)</f>
        <v/>
      </c>
      <c r="B119" s="29" t="str">
        <f aca="false">IF($A119="","",①出口报关!I116)</f>
        <v/>
      </c>
      <c r="C119" s="29" t="str">
        <f aca="false">IF($A119="","",①出口报关!J116)</f>
        <v/>
      </c>
      <c r="D119" s="30" t="str">
        <f aca="false">IF($A119="","",IF(①出口报关!D116="","",①出口报关!D116))</f>
        <v/>
      </c>
      <c r="E119" s="31" t="str">
        <f aca="false">IF($A119="","",N(①出口报关!L116))</f>
        <v/>
      </c>
      <c r="F119" s="31" t="str">
        <f aca="false">IF($A119="","",IF(①出口报关!Y116="","未签收",①出口报关!Y116))</f>
        <v/>
      </c>
      <c r="G119" s="32" t="str">
        <f aca="false">IF(OR($A119="",NOT(ISNUMBER(F119))),"",F119-E119)</f>
        <v/>
      </c>
      <c r="H119" s="31" t="str">
        <f aca="false">IF($A119="","",SUMIFS(②销售核销!$I$4:$I$603,②销售核销!$E$4:$E$603,$A119))</f>
        <v/>
      </c>
      <c r="I119" s="31" t="str">
        <f aca="false">IF($A119="","",SUMIFS(⑤库存异常!$E$4:$E$203,⑤库存异常!$B$4:$B$203,$A119))</f>
        <v/>
      </c>
      <c r="J119" s="31" t="str">
        <f aca="false">IF($A119="","",IF(ISNUMBER(F119),F119,E119)-H119-I119)</f>
        <v/>
      </c>
      <c r="K119" s="33" t="str">
        <f aca="false">IF(OR($A119="",N(E119)=0),"",H119/E119)</f>
        <v/>
      </c>
      <c r="L119" s="34" t="str">
        <f aca="false">IF($A119="","",SUMIFS(②销售核销!$L$4:$L$603,②销售核销!$E$4:$E$603,$A119))</f>
        <v/>
      </c>
      <c r="M119" s="34" t="str">
        <f aca="false">IF($A119="","",SUMIFS(②销售核销!$L$4:$L$603,②销售核销!$E$4:$E$603,$A119,②销售核销!$M$4:$M$603,"已收汇"))</f>
        <v/>
      </c>
      <c r="N119" s="30" t="str">
        <f aca="false">IF(ISNUMBER(D119),DATE(YEAR(D119)+1,4,30),"")</f>
        <v/>
      </c>
      <c r="O119" s="35" t="str">
        <f aca="true">IF($A119="","",IF(N(H119)=0,IF(AND(ISNUMBER(N119),TODAY()&gt;N119),"超过收汇期限仍未销售","尚未销售"),IF(ROUND(M119,2)&gt;=ROUND(L119,2),"已售部分已收汇",IF(AND(ISNUMBER(N119),TODAY()&gt;N119),"超期未收汇","有回款待收汇"))))</f>
        <v/>
      </c>
      <c r="P119" s="34" t="str">
        <f aca="false">IF($A119="","",SUMIFS(④退税核算!$H$4:$H$303,④退税核算!$A$4:$A$303,$A119))</f>
        <v/>
      </c>
      <c r="Q119" s="34" t="str">
        <f aca="false">IF($A119="","",SUMIFS(④退税核算!$H$4:$H$303,④退税核算!$A$4:$A$303,$A119,④退税核算!$D$4:$D$303,"未售-海外仓预退（HWC-YT）"))</f>
        <v/>
      </c>
      <c r="R119" s="30" t="str">
        <f aca="false">IF($A119="","",IF(COUNTIFS(④退税核算!$A$4:$A$303,$A119,④退税核算!$D$4:$D$303,"未售-海外仓预退（HWC-YT）",④退税核算!$I$4:$I$303,"&gt;0")=0,"",_xlfn.MINIFS(④退税核算!$J$4:$J$303,④退税核算!$A$4:$A$303,$A119,④退税核算!$D$4:$D$303,"未售-海外仓预退（HWC-YT）")))</f>
        <v/>
      </c>
      <c r="S119" s="35" t="str">
        <f aca="false">IF($A119="","",IF(COUNTIFS(④退税核算!$A$4:$A$303,$A119,④退税核算!$D$4:$D$303,"未售-海外仓预退（HWC-YT）")=0,"不涉及",IF(COUNTIFS(④退税核算!$A$4:$A$303,$A119,④退税核算!$S$4:$S$303,"已逾期*")&gt;0,"已逾期",IF(COUNTIFS(④退税核算!$A$4:$A$303,$A119,④退税核算!$S$4:$S$303,"临近*")&gt;0,"临近截止",IF(COUNTIFS(④退税核算!$A$4:$A$303,$A119,④退税核算!$S$4:$S$303,"待*")&gt;0,"待核算","已核算")))))</f>
        <v/>
      </c>
      <c r="T119" s="35" t="str">
        <f aca="false">IF($A119="","",IFERROR(INDEX(⑥单证留存!$P$4:$P$203,MATCH(①出口报关!B116,⑥单证留存!$A$4:$A$203,0)),"未登记"))</f>
        <v/>
      </c>
      <c r="U119" s="36" t="str">
        <f aca="false">IF($A119="","",IF(IF(OR(O119="超期未收汇",O119="超过收汇期限仍未销售")," 收汇超期","")&amp;IF(S119="已逾期"," 核算逾期","")&amp;IF(S119="临近截止"," 核算临近截止","")&amp;IF(LEFT(T119,1)="缺"," 单证"&amp;T119,"")&amp;IF(T119="未登记"," 单证未登记","")&amp;IF(AND(ISNUMBER(G119),N(G119)&lt;&gt;0)," 入仓差异"&amp;G119,"")="","正常",SUBSTITUTE(TRIM(IF(OR(O119="超期未收汇",O119="超过收汇期限仍未销售")," 收汇超期","")&amp;IF(S119="已逾期"," 核算逾期","")&amp;IF(S119="临近截止"," 核算临近截止","")&amp;IF(LEFT(T119,1)="缺"," 单证"&amp;T119,"")&amp;IF(T119="未登记"," 单证未登记","")&amp;IF(AND(ISNUMBER(G119),N(G119)&lt;&gt;0)," 入仓差异"&amp;G119,""))," ","、")))</f>
        <v/>
      </c>
    </row>
    <row r="120" customFormat="false" ht="21.75" hidden="false" customHeight="true" outlineLevel="0" collapsed="false">
      <c r="A120" s="29" t="str">
        <f aca="false">IF(①出口报关!A117="","",①出口报关!A117)</f>
        <v/>
      </c>
      <c r="B120" s="29" t="str">
        <f aca="false">IF($A120="","",①出口报关!I117)</f>
        <v/>
      </c>
      <c r="C120" s="29" t="str">
        <f aca="false">IF($A120="","",①出口报关!J117)</f>
        <v/>
      </c>
      <c r="D120" s="30" t="str">
        <f aca="false">IF($A120="","",IF(①出口报关!D117="","",①出口报关!D117))</f>
        <v/>
      </c>
      <c r="E120" s="31" t="str">
        <f aca="false">IF($A120="","",N(①出口报关!L117))</f>
        <v/>
      </c>
      <c r="F120" s="31" t="str">
        <f aca="false">IF($A120="","",IF(①出口报关!Y117="","未签收",①出口报关!Y117))</f>
        <v/>
      </c>
      <c r="G120" s="32" t="str">
        <f aca="false">IF(OR($A120="",NOT(ISNUMBER(F120))),"",F120-E120)</f>
        <v/>
      </c>
      <c r="H120" s="31" t="str">
        <f aca="false">IF($A120="","",SUMIFS(②销售核销!$I$4:$I$603,②销售核销!$E$4:$E$603,$A120))</f>
        <v/>
      </c>
      <c r="I120" s="31" t="str">
        <f aca="false">IF($A120="","",SUMIFS(⑤库存异常!$E$4:$E$203,⑤库存异常!$B$4:$B$203,$A120))</f>
        <v/>
      </c>
      <c r="J120" s="31" t="str">
        <f aca="false">IF($A120="","",IF(ISNUMBER(F120),F120,E120)-H120-I120)</f>
        <v/>
      </c>
      <c r="K120" s="33" t="str">
        <f aca="false">IF(OR($A120="",N(E120)=0),"",H120/E120)</f>
        <v/>
      </c>
      <c r="L120" s="34" t="str">
        <f aca="false">IF($A120="","",SUMIFS(②销售核销!$L$4:$L$603,②销售核销!$E$4:$E$603,$A120))</f>
        <v/>
      </c>
      <c r="M120" s="34" t="str">
        <f aca="false">IF($A120="","",SUMIFS(②销售核销!$L$4:$L$603,②销售核销!$E$4:$E$603,$A120,②销售核销!$M$4:$M$603,"已收汇"))</f>
        <v/>
      </c>
      <c r="N120" s="30" t="str">
        <f aca="false">IF(ISNUMBER(D120),DATE(YEAR(D120)+1,4,30),"")</f>
        <v/>
      </c>
      <c r="O120" s="35" t="str">
        <f aca="true">IF($A120="","",IF(N(H120)=0,IF(AND(ISNUMBER(N120),TODAY()&gt;N120),"超过收汇期限仍未销售","尚未销售"),IF(ROUND(M120,2)&gt;=ROUND(L120,2),"已售部分已收汇",IF(AND(ISNUMBER(N120),TODAY()&gt;N120),"超期未收汇","有回款待收汇"))))</f>
        <v/>
      </c>
      <c r="P120" s="34" t="str">
        <f aca="false">IF($A120="","",SUMIFS(④退税核算!$H$4:$H$303,④退税核算!$A$4:$A$303,$A120))</f>
        <v/>
      </c>
      <c r="Q120" s="34" t="str">
        <f aca="false">IF($A120="","",SUMIFS(④退税核算!$H$4:$H$303,④退税核算!$A$4:$A$303,$A120,④退税核算!$D$4:$D$303,"未售-海外仓预退（HWC-YT）"))</f>
        <v/>
      </c>
      <c r="R120" s="30" t="str">
        <f aca="false">IF($A120="","",IF(COUNTIFS(④退税核算!$A$4:$A$303,$A120,④退税核算!$D$4:$D$303,"未售-海外仓预退（HWC-YT）",④退税核算!$I$4:$I$303,"&gt;0")=0,"",_xlfn.MINIFS(④退税核算!$J$4:$J$303,④退税核算!$A$4:$A$303,$A120,④退税核算!$D$4:$D$303,"未售-海外仓预退（HWC-YT）")))</f>
        <v/>
      </c>
      <c r="S120" s="35" t="str">
        <f aca="false">IF($A120="","",IF(COUNTIFS(④退税核算!$A$4:$A$303,$A120,④退税核算!$D$4:$D$303,"未售-海外仓预退（HWC-YT）")=0,"不涉及",IF(COUNTIFS(④退税核算!$A$4:$A$303,$A120,④退税核算!$S$4:$S$303,"已逾期*")&gt;0,"已逾期",IF(COUNTIFS(④退税核算!$A$4:$A$303,$A120,④退税核算!$S$4:$S$303,"临近*")&gt;0,"临近截止",IF(COUNTIFS(④退税核算!$A$4:$A$303,$A120,④退税核算!$S$4:$S$303,"待*")&gt;0,"待核算","已核算")))))</f>
        <v/>
      </c>
      <c r="T120" s="35" t="str">
        <f aca="false">IF($A120="","",IFERROR(INDEX(⑥单证留存!$P$4:$P$203,MATCH(①出口报关!B117,⑥单证留存!$A$4:$A$203,0)),"未登记"))</f>
        <v/>
      </c>
      <c r="U120" s="36" t="str">
        <f aca="false">IF($A120="","",IF(IF(OR(O120="超期未收汇",O120="超过收汇期限仍未销售")," 收汇超期","")&amp;IF(S120="已逾期"," 核算逾期","")&amp;IF(S120="临近截止"," 核算临近截止","")&amp;IF(LEFT(T120,1)="缺"," 单证"&amp;T120,"")&amp;IF(T120="未登记"," 单证未登记","")&amp;IF(AND(ISNUMBER(G120),N(G120)&lt;&gt;0)," 入仓差异"&amp;G120,"")="","正常",SUBSTITUTE(TRIM(IF(OR(O120="超期未收汇",O120="超过收汇期限仍未销售")," 收汇超期","")&amp;IF(S120="已逾期"," 核算逾期","")&amp;IF(S120="临近截止"," 核算临近截止","")&amp;IF(LEFT(T120,1)="缺"," 单证"&amp;T120,"")&amp;IF(T120="未登记"," 单证未登记","")&amp;IF(AND(ISNUMBER(G120),N(G120)&lt;&gt;0)," 入仓差异"&amp;G120,""))," ","、")))</f>
        <v/>
      </c>
    </row>
    <row r="121" customFormat="false" ht="21.75" hidden="false" customHeight="true" outlineLevel="0" collapsed="false">
      <c r="A121" s="29" t="str">
        <f aca="false">IF(①出口报关!A118="","",①出口报关!A118)</f>
        <v/>
      </c>
      <c r="B121" s="29" t="str">
        <f aca="false">IF($A121="","",①出口报关!I118)</f>
        <v/>
      </c>
      <c r="C121" s="29" t="str">
        <f aca="false">IF($A121="","",①出口报关!J118)</f>
        <v/>
      </c>
      <c r="D121" s="30" t="str">
        <f aca="false">IF($A121="","",IF(①出口报关!D118="","",①出口报关!D118))</f>
        <v/>
      </c>
      <c r="E121" s="31" t="str">
        <f aca="false">IF($A121="","",N(①出口报关!L118))</f>
        <v/>
      </c>
      <c r="F121" s="31" t="str">
        <f aca="false">IF($A121="","",IF(①出口报关!Y118="","未签收",①出口报关!Y118))</f>
        <v/>
      </c>
      <c r="G121" s="32" t="str">
        <f aca="false">IF(OR($A121="",NOT(ISNUMBER(F121))),"",F121-E121)</f>
        <v/>
      </c>
      <c r="H121" s="31" t="str">
        <f aca="false">IF($A121="","",SUMIFS(②销售核销!$I$4:$I$603,②销售核销!$E$4:$E$603,$A121))</f>
        <v/>
      </c>
      <c r="I121" s="31" t="str">
        <f aca="false">IF($A121="","",SUMIFS(⑤库存异常!$E$4:$E$203,⑤库存异常!$B$4:$B$203,$A121))</f>
        <v/>
      </c>
      <c r="J121" s="31" t="str">
        <f aca="false">IF($A121="","",IF(ISNUMBER(F121),F121,E121)-H121-I121)</f>
        <v/>
      </c>
      <c r="K121" s="33" t="str">
        <f aca="false">IF(OR($A121="",N(E121)=0),"",H121/E121)</f>
        <v/>
      </c>
      <c r="L121" s="34" t="str">
        <f aca="false">IF($A121="","",SUMIFS(②销售核销!$L$4:$L$603,②销售核销!$E$4:$E$603,$A121))</f>
        <v/>
      </c>
      <c r="M121" s="34" t="str">
        <f aca="false">IF($A121="","",SUMIFS(②销售核销!$L$4:$L$603,②销售核销!$E$4:$E$603,$A121,②销售核销!$M$4:$M$603,"已收汇"))</f>
        <v/>
      </c>
      <c r="N121" s="30" t="str">
        <f aca="false">IF(ISNUMBER(D121),DATE(YEAR(D121)+1,4,30),"")</f>
        <v/>
      </c>
      <c r="O121" s="35" t="str">
        <f aca="true">IF($A121="","",IF(N(H121)=0,IF(AND(ISNUMBER(N121),TODAY()&gt;N121),"超过收汇期限仍未销售","尚未销售"),IF(ROUND(M121,2)&gt;=ROUND(L121,2),"已售部分已收汇",IF(AND(ISNUMBER(N121),TODAY()&gt;N121),"超期未收汇","有回款待收汇"))))</f>
        <v/>
      </c>
      <c r="P121" s="34" t="str">
        <f aca="false">IF($A121="","",SUMIFS(④退税核算!$H$4:$H$303,④退税核算!$A$4:$A$303,$A121))</f>
        <v/>
      </c>
      <c r="Q121" s="34" t="str">
        <f aca="false">IF($A121="","",SUMIFS(④退税核算!$H$4:$H$303,④退税核算!$A$4:$A$303,$A121,④退税核算!$D$4:$D$303,"未售-海外仓预退（HWC-YT）"))</f>
        <v/>
      </c>
      <c r="R121" s="30" t="str">
        <f aca="false">IF($A121="","",IF(COUNTIFS(④退税核算!$A$4:$A$303,$A121,④退税核算!$D$4:$D$303,"未售-海外仓预退（HWC-YT）",④退税核算!$I$4:$I$303,"&gt;0")=0,"",_xlfn.MINIFS(④退税核算!$J$4:$J$303,④退税核算!$A$4:$A$303,$A121,④退税核算!$D$4:$D$303,"未售-海外仓预退（HWC-YT）")))</f>
        <v/>
      </c>
      <c r="S121" s="35" t="str">
        <f aca="false">IF($A121="","",IF(COUNTIFS(④退税核算!$A$4:$A$303,$A121,④退税核算!$D$4:$D$303,"未售-海外仓预退（HWC-YT）")=0,"不涉及",IF(COUNTIFS(④退税核算!$A$4:$A$303,$A121,④退税核算!$S$4:$S$303,"已逾期*")&gt;0,"已逾期",IF(COUNTIFS(④退税核算!$A$4:$A$303,$A121,④退税核算!$S$4:$S$303,"临近*")&gt;0,"临近截止",IF(COUNTIFS(④退税核算!$A$4:$A$303,$A121,④退税核算!$S$4:$S$303,"待*")&gt;0,"待核算","已核算")))))</f>
        <v/>
      </c>
      <c r="T121" s="35" t="str">
        <f aca="false">IF($A121="","",IFERROR(INDEX(⑥单证留存!$P$4:$P$203,MATCH(①出口报关!B118,⑥单证留存!$A$4:$A$203,0)),"未登记"))</f>
        <v/>
      </c>
      <c r="U121" s="36" t="str">
        <f aca="false">IF($A121="","",IF(IF(OR(O121="超期未收汇",O121="超过收汇期限仍未销售")," 收汇超期","")&amp;IF(S121="已逾期"," 核算逾期","")&amp;IF(S121="临近截止"," 核算临近截止","")&amp;IF(LEFT(T121,1)="缺"," 单证"&amp;T121,"")&amp;IF(T121="未登记"," 单证未登记","")&amp;IF(AND(ISNUMBER(G121),N(G121)&lt;&gt;0)," 入仓差异"&amp;G121,"")="","正常",SUBSTITUTE(TRIM(IF(OR(O121="超期未收汇",O121="超过收汇期限仍未销售")," 收汇超期","")&amp;IF(S121="已逾期"," 核算逾期","")&amp;IF(S121="临近截止"," 核算临近截止","")&amp;IF(LEFT(T121,1)="缺"," 单证"&amp;T121,"")&amp;IF(T121="未登记"," 单证未登记","")&amp;IF(AND(ISNUMBER(G121),N(G121)&lt;&gt;0)," 入仓差异"&amp;G121,""))," ","、")))</f>
        <v/>
      </c>
    </row>
    <row r="122" customFormat="false" ht="21.75" hidden="false" customHeight="true" outlineLevel="0" collapsed="false">
      <c r="A122" s="29" t="str">
        <f aca="false">IF(①出口报关!A119="","",①出口报关!A119)</f>
        <v/>
      </c>
      <c r="B122" s="29" t="str">
        <f aca="false">IF($A122="","",①出口报关!I119)</f>
        <v/>
      </c>
      <c r="C122" s="29" t="str">
        <f aca="false">IF($A122="","",①出口报关!J119)</f>
        <v/>
      </c>
      <c r="D122" s="30" t="str">
        <f aca="false">IF($A122="","",IF(①出口报关!D119="","",①出口报关!D119))</f>
        <v/>
      </c>
      <c r="E122" s="31" t="str">
        <f aca="false">IF($A122="","",N(①出口报关!L119))</f>
        <v/>
      </c>
      <c r="F122" s="31" t="str">
        <f aca="false">IF($A122="","",IF(①出口报关!Y119="","未签收",①出口报关!Y119))</f>
        <v/>
      </c>
      <c r="G122" s="32" t="str">
        <f aca="false">IF(OR($A122="",NOT(ISNUMBER(F122))),"",F122-E122)</f>
        <v/>
      </c>
      <c r="H122" s="31" t="str">
        <f aca="false">IF($A122="","",SUMIFS(②销售核销!$I$4:$I$603,②销售核销!$E$4:$E$603,$A122))</f>
        <v/>
      </c>
      <c r="I122" s="31" t="str">
        <f aca="false">IF($A122="","",SUMIFS(⑤库存异常!$E$4:$E$203,⑤库存异常!$B$4:$B$203,$A122))</f>
        <v/>
      </c>
      <c r="J122" s="31" t="str">
        <f aca="false">IF($A122="","",IF(ISNUMBER(F122),F122,E122)-H122-I122)</f>
        <v/>
      </c>
      <c r="K122" s="33" t="str">
        <f aca="false">IF(OR($A122="",N(E122)=0),"",H122/E122)</f>
        <v/>
      </c>
      <c r="L122" s="34" t="str">
        <f aca="false">IF($A122="","",SUMIFS(②销售核销!$L$4:$L$603,②销售核销!$E$4:$E$603,$A122))</f>
        <v/>
      </c>
      <c r="M122" s="34" t="str">
        <f aca="false">IF($A122="","",SUMIFS(②销售核销!$L$4:$L$603,②销售核销!$E$4:$E$603,$A122,②销售核销!$M$4:$M$603,"已收汇"))</f>
        <v/>
      </c>
      <c r="N122" s="30" t="str">
        <f aca="false">IF(ISNUMBER(D122),DATE(YEAR(D122)+1,4,30),"")</f>
        <v/>
      </c>
      <c r="O122" s="35" t="str">
        <f aca="true">IF($A122="","",IF(N(H122)=0,IF(AND(ISNUMBER(N122),TODAY()&gt;N122),"超过收汇期限仍未销售","尚未销售"),IF(ROUND(M122,2)&gt;=ROUND(L122,2),"已售部分已收汇",IF(AND(ISNUMBER(N122),TODAY()&gt;N122),"超期未收汇","有回款待收汇"))))</f>
        <v/>
      </c>
      <c r="P122" s="34" t="str">
        <f aca="false">IF($A122="","",SUMIFS(④退税核算!$H$4:$H$303,④退税核算!$A$4:$A$303,$A122))</f>
        <v/>
      </c>
      <c r="Q122" s="34" t="str">
        <f aca="false">IF($A122="","",SUMIFS(④退税核算!$H$4:$H$303,④退税核算!$A$4:$A$303,$A122,④退税核算!$D$4:$D$303,"未售-海外仓预退（HWC-YT）"))</f>
        <v/>
      </c>
      <c r="R122" s="30" t="str">
        <f aca="false">IF($A122="","",IF(COUNTIFS(④退税核算!$A$4:$A$303,$A122,④退税核算!$D$4:$D$303,"未售-海外仓预退（HWC-YT）",④退税核算!$I$4:$I$303,"&gt;0")=0,"",_xlfn.MINIFS(④退税核算!$J$4:$J$303,④退税核算!$A$4:$A$303,$A122,④退税核算!$D$4:$D$303,"未售-海外仓预退（HWC-YT）")))</f>
        <v/>
      </c>
      <c r="S122" s="35" t="str">
        <f aca="false">IF($A122="","",IF(COUNTIFS(④退税核算!$A$4:$A$303,$A122,④退税核算!$D$4:$D$303,"未售-海外仓预退（HWC-YT）")=0,"不涉及",IF(COUNTIFS(④退税核算!$A$4:$A$303,$A122,④退税核算!$S$4:$S$303,"已逾期*")&gt;0,"已逾期",IF(COUNTIFS(④退税核算!$A$4:$A$303,$A122,④退税核算!$S$4:$S$303,"临近*")&gt;0,"临近截止",IF(COUNTIFS(④退税核算!$A$4:$A$303,$A122,④退税核算!$S$4:$S$303,"待*")&gt;0,"待核算","已核算")))))</f>
        <v/>
      </c>
      <c r="T122" s="35" t="str">
        <f aca="false">IF($A122="","",IFERROR(INDEX(⑥单证留存!$P$4:$P$203,MATCH(①出口报关!B119,⑥单证留存!$A$4:$A$203,0)),"未登记"))</f>
        <v/>
      </c>
      <c r="U122" s="36" t="str">
        <f aca="false">IF($A122="","",IF(IF(OR(O122="超期未收汇",O122="超过收汇期限仍未销售")," 收汇超期","")&amp;IF(S122="已逾期"," 核算逾期","")&amp;IF(S122="临近截止"," 核算临近截止","")&amp;IF(LEFT(T122,1)="缺"," 单证"&amp;T122,"")&amp;IF(T122="未登记"," 单证未登记","")&amp;IF(AND(ISNUMBER(G122),N(G122)&lt;&gt;0)," 入仓差异"&amp;G122,"")="","正常",SUBSTITUTE(TRIM(IF(OR(O122="超期未收汇",O122="超过收汇期限仍未销售")," 收汇超期","")&amp;IF(S122="已逾期"," 核算逾期","")&amp;IF(S122="临近截止"," 核算临近截止","")&amp;IF(LEFT(T122,1)="缺"," 单证"&amp;T122,"")&amp;IF(T122="未登记"," 单证未登记","")&amp;IF(AND(ISNUMBER(G122),N(G122)&lt;&gt;0)," 入仓差异"&amp;G122,""))," ","、")))</f>
        <v/>
      </c>
    </row>
    <row r="123" customFormat="false" ht="21.75" hidden="false" customHeight="true" outlineLevel="0" collapsed="false">
      <c r="A123" s="29" t="str">
        <f aca="false">IF(①出口报关!A120="","",①出口报关!A120)</f>
        <v/>
      </c>
      <c r="B123" s="29" t="str">
        <f aca="false">IF($A123="","",①出口报关!I120)</f>
        <v/>
      </c>
      <c r="C123" s="29" t="str">
        <f aca="false">IF($A123="","",①出口报关!J120)</f>
        <v/>
      </c>
      <c r="D123" s="30" t="str">
        <f aca="false">IF($A123="","",IF(①出口报关!D120="","",①出口报关!D120))</f>
        <v/>
      </c>
      <c r="E123" s="31" t="str">
        <f aca="false">IF($A123="","",N(①出口报关!L120))</f>
        <v/>
      </c>
      <c r="F123" s="31" t="str">
        <f aca="false">IF($A123="","",IF(①出口报关!Y120="","未签收",①出口报关!Y120))</f>
        <v/>
      </c>
      <c r="G123" s="32" t="str">
        <f aca="false">IF(OR($A123="",NOT(ISNUMBER(F123))),"",F123-E123)</f>
        <v/>
      </c>
      <c r="H123" s="31" t="str">
        <f aca="false">IF($A123="","",SUMIFS(②销售核销!$I$4:$I$603,②销售核销!$E$4:$E$603,$A123))</f>
        <v/>
      </c>
      <c r="I123" s="31" t="str">
        <f aca="false">IF($A123="","",SUMIFS(⑤库存异常!$E$4:$E$203,⑤库存异常!$B$4:$B$203,$A123))</f>
        <v/>
      </c>
      <c r="J123" s="31" t="str">
        <f aca="false">IF($A123="","",IF(ISNUMBER(F123),F123,E123)-H123-I123)</f>
        <v/>
      </c>
      <c r="K123" s="33" t="str">
        <f aca="false">IF(OR($A123="",N(E123)=0),"",H123/E123)</f>
        <v/>
      </c>
      <c r="L123" s="34" t="str">
        <f aca="false">IF($A123="","",SUMIFS(②销售核销!$L$4:$L$603,②销售核销!$E$4:$E$603,$A123))</f>
        <v/>
      </c>
      <c r="M123" s="34" t="str">
        <f aca="false">IF($A123="","",SUMIFS(②销售核销!$L$4:$L$603,②销售核销!$E$4:$E$603,$A123,②销售核销!$M$4:$M$603,"已收汇"))</f>
        <v/>
      </c>
      <c r="N123" s="30" t="str">
        <f aca="false">IF(ISNUMBER(D123),DATE(YEAR(D123)+1,4,30),"")</f>
        <v/>
      </c>
      <c r="O123" s="35" t="str">
        <f aca="true">IF($A123="","",IF(N(H123)=0,IF(AND(ISNUMBER(N123),TODAY()&gt;N123),"超过收汇期限仍未销售","尚未销售"),IF(ROUND(M123,2)&gt;=ROUND(L123,2),"已售部分已收汇",IF(AND(ISNUMBER(N123),TODAY()&gt;N123),"超期未收汇","有回款待收汇"))))</f>
        <v/>
      </c>
      <c r="P123" s="34" t="str">
        <f aca="false">IF($A123="","",SUMIFS(④退税核算!$H$4:$H$303,④退税核算!$A$4:$A$303,$A123))</f>
        <v/>
      </c>
      <c r="Q123" s="34" t="str">
        <f aca="false">IF($A123="","",SUMIFS(④退税核算!$H$4:$H$303,④退税核算!$A$4:$A$303,$A123,④退税核算!$D$4:$D$303,"未售-海外仓预退（HWC-YT）"))</f>
        <v/>
      </c>
      <c r="R123" s="30" t="str">
        <f aca="false">IF($A123="","",IF(COUNTIFS(④退税核算!$A$4:$A$303,$A123,④退税核算!$D$4:$D$303,"未售-海外仓预退（HWC-YT）",④退税核算!$I$4:$I$303,"&gt;0")=0,"",_xlfn.MINIFS(④退税核算!$J$4:$J$303,④退税核算!$A$4:$A$303,$A123,④退税核算!$D$4:$D$303,"未售-海外仓预退（HWC-YT）")))</f>
        <v/>
      </c>
      <c r="S123" s="35" t="str">
        <f aca="false">IF($A123="","",IF(COUNTIFS(④退税核算!$A$4:$A$303,$A123,④退税核算!$D$4:$D$303,"未售-海外仓预退（HWC-YT）")=0,"不涉及",IF(COUNTIFS(④退税核算!$A$4:$A$303,$A123,④退税核算!$S$4:$S$303,"已逾期*")&gt;0,"已逾期",IF(COUNTIFS(④退税核算!$A$4:$A$303,$A123,④退税核算!$S$4:$S$303,"临近*")&gt;0,"临近截止",IF(COUNTIFS(④退税核算!$A$4:$A$303,$A123,④退税核算!$S$4:$S$303,"待*")&gt;0,"待核算","已核算")))))</f>
        <v/>
      </c>
      <c r="T123" s="35" t="str">
        <f aca="false">IF($A123="","",IFERROR(INDEX(⑥单证留存!$P$4:$P$203,MATCH(①出口报关!B120,⑥单证留存!$A$4:$A$203,0)),"未登记"))</f>
        <v/>
      </c>
      <c r="U123" s="36" t="str">
        <f aca="false">IF($A123="","",IF(IF(OR(O123="超期未收汇",O123="超过收汇期限仍未销售")," 收汇超期","")&amp;IF(S123="已逾期"," 核算逾期","")&amp;IF(S123="临近截止"," 核算临近截止","")&amp;IF(LEFT(T123,1)="缺"," 单证"&amp;T123,"")&amp;IF(T123="未登记"," 单证未登记","")&amp;IF(AND(ISNUMBER(G123),N(G123)&lt;&gt;0)," 入仓差异"&amp;G123,"")="","正常",SUBSTITUTE(TRIM(IF(OR(O123="超期未收汇",O123="超过收汇期限仍未销售")," 收汇超期","")&amp;IF(S123="已逾期"," 核算逾期","")&amp;IF(S123="临近截止"," 核算临近截止","")&amp;IF(LEFT(T123,1)="缺"," 单证"&amp;T123,"")&amp;IF(T123="未登记"," 单证未登记","")&amp;IF(AND(ISNUMBER(G123),N(G123)&lt;&gt;0)," 入仓差异"&amp;G123,""))," ","、")))</f>
        <v/>
      </c>
    </row>
    <row r="124" customFormat="false" ht="21.75" hidden="false" customHeight="true" outlineLevel="0" collapsed="false">
      <c r="A124" s="29" t="str">
        <f aca="false">IF(①出口报关!A121="","",①出口报关!A121)</f>
        <v/>
      </c>
      <c r="B124" s="29" t="str">
        <f aca="false">IF($A124="","",①出口报关!I121)</f>
        <v/>
      </c>
      <c r="C124" s="29" t="str">
        <f aca="false">IF($A124="","",①出口报关!J121)</f>
        <v/>
      </c>
      <c r="D124" s="30" t="str">
        <f aca="false">IF($A124="","",IF(①出口报关!D121="","",①出口报关!D121))</f>
        <v/>
      </c>
      <c r="E124" s="31" t="str">
        <f aca="false">IF($A124="","",N(①出口报关!L121))</f>
        <v/>
      </c>
      <c r="F124" s="31" t="str">
        <f aca="false">IF($A124="","",IF(①出口报关!Y121="","未签收",①出口报关!Y121))</f>
        <v/>
      </c>
      <c r="G124" s="32" t="str">
        <f aca="false">IF(OR($A124="",NOT(ISNUMBER(F124))),"",F124-E124)</f>
        <v/>
      </c>
      <c r="H124" s="31" t="str">
        <f aca="false">IF($A124="","",SUMIFS(②销售核销!$I$4:$I$603,②销售核销!$E$4:$E$603,$A124))</f>
        <v/>
      </c>
      <c r="I124" s="31" t="str">
        <f aca="false">IF($A124="","",SUMIFS(⑤库存异常!$E$4:$E$203,⑤库存异常!$B$4:$B$203,$A124))</f>
        <v/>
      </c>
      <c r="J124" s="31" t="str">
        <f aca="false">IF($A124="","",IF(ISNUMBER(F124),F124,E124)-H124-I124)</f>
        <v/>
      </c>
      <c r="K124" s="33" t="str">
        <f aca="false">IF(OR($A124="",N(E124)=0),"",H124/E124)</f>
        <v/>
      </c>
      <c r="L124" s="34" t="str">
        <f aca="false">IF($A124="","",SUMIFS(②销售核销!$L$4:$L$603,②销售核销!$E$4:$E$603,$A124))</f>
        <v/>
      </c>
      <c r="M124" s="34" t="str">
        <f aca="false">IF($A124="","",SUMIFS(②销售核销!$L$4:$L$603,②销售核销!$E$4:$E$603,$A124,②销售核销!$M$4:$M$603,"已收汇"))</f>
        <v/>
      </c>
      <c r="N124" s="30" t="str">
        <f aca="false">IF(ISNUMBER(D124),DATE(YEAR(D124)+1,4,30),"")</f>
        <v/>
      </c>
      <c r="O124" s="35" t="str">
        <f aca="true">IF($A124="","",IF(N(H124)=0,IF(AND(ISNUMBER(N124),TODAY()&gt;N124),"超过收汇期限仍未销售","尚未销售"),IF(ROUND(M124,2)&gt;=ROUND(L124,2),"已售部分已收汇",IF(AND(ISNUMBER(N124),TODAY()&gt;N124),"超期未收汇","有回款待收汇"))))</f>
        <v/>
      </c>
      <c r="P124" s="34" t="str">
        <f aca="false">IF($A124="","",SUMIFS(④退税核算!$H$4:$H$303,④退税核算!$A$4:$A$303,$A124))</f>
        <v/>
      </c>
      <c r="Q124" s="34" t="str">
        <f aca="false">IF($A124="","",SUMIFS(④退税核算!$H$4:$H$303,④退税核算!$A$4:$A$303,$A124,④退税核算!$D$4:$D$303,"未售-海外仓预退（HWC-YT）"))</f>
        <v/>
      </c>
      <c r="R124" s="30" t="str">
        <f aca="false">IF($A124="","",IF(COUNTIFS(④退税核算!$A$4:$A$303,$A124,④退税核算!$D$4:$D$303,"未售-海外仓预退（HWC-YT）",④退税核算!$I$4:$I$303,"&gt;0")=0,"",_xlfn.MINIFS(④退税核算!$J$4:$J$303,④退税核算!$A$4:$A$303,$A124,④退税核算!$D$4:$D$303,"未售-海外仓预退（HWC-YT）")))</f>
        <v/>
      </c>
      <c r="S124" s="35" t="str">
        <f aca="false">IF($A124="","",IF(COUNTIFS(④退税核算!$A$4:$A$303,$A124,④退税核算!$D$4:$D$303,"未售-海外仓预退（HWC-YT）")=0,"不涉及",IF(COUNTIFS(④退税核算!$A$4:$A$303,$A124,④退税核算!$S$4:$S$303,"已逾期*")&gt;0,"已逾期",IF(COUNTIFS(④退税核算!$A$4:$A$303,$A124,④退税核算!$S$4:$S$303,"临近*")&gt;0,"临近截止",IF(COUNTIFS(④退税核算!$A$4:$A$303,$A124,④退税核算!$S$4:$S$303,"待*")&gt;0,"待核算","已核算")))))</f>
        <v/>
      </c>
      <c r="T124" s="35" t="str">
        <f aca="false">IF($A124="","",IFERROR(INDEX(⑥单证留存!$P$4:$P$203,MATCH(①出口报关!B121,⑥单证留存!$A$4:$A$203,0)),"未登记"))</f>
        <v/>
      </c>
      <c r="U124" s="36" t="str">
        <f aca="false">IF($A124="","",IF(IF(OR(O124="超期未收汇",O124="超过收汇期限仍未销售")," 收汇超期","")&amp;IF(S124="已逾期"," 核算逾期","")&amp;IF(S124="临近截止"," 核算临近截止","")&amp;IF(LEFT(T124,1)="缺"," 单证"&amp;T124,"")&amp;IF(T124="未登记"," 单证未登记","")&amp;IF(AND(ISNUMBER(G124),N(G124)&lt;&gt;0)," 入仓差异"&amp;G124,"")="","正常",SUBSTITUTE(TRIM(IF(OR(O124="超期未收汇",O124="超过收汇期限仍未销售")," 收汇超期","")&amp;IF(S124="已逾期"," 核算逾期","")&amp;IF(S124="临近截止"," 核算临近截止","")&amp;IF(LEFT(T124,1)="缺"," 单证"&amp;T124,"")&amp;IF(T124="未登记"," 单证未登记","")&amp;IF(AND(ISNUMBER(G124),N(G124)&lt;&gt;0)," 入仓差异"&amp;G124,""))," ","、")))</f>
        <v/>
      </c>
    </row>
    <row r="125" customFormat="false" ht="21.75" hidden="false" customHeight="true" outlineLevel="0" collapsed="false">
      <c r="A125" s="29" t="str">
        <f aca="false">IF(①出口报关!A122="","",①出口报关!A122)</f>
        <v/>
      </c>
      <c r="B125" s="29" t="str">
        <f aca="false">IF($A125="","",①出口报关!I122)</f>
        <v/>
      </c>
      <c r="C125" s="29" t="str">
        <f aca="false">IF($A125="","",①出口报关!J122)</f>
        <v/>
      </c>
      <c r="D125" s="30" t="str">
        <f aca="false">IF($A125="","",IF(①出口报关!D122="","",①出口报关!D122))</f>
        <v/>
      </c>
      <c r="E125" s="31" t="str">
        <f aca="false">IF($A125="","",N(①出口报关!L122))</f>
        <v/>
      </c>
      <c r="F125" s="31" t="str">
        <f aca="false">IF($A125="","",IF(①出口报关!Y122="","未签收",①出口报关!Y122))</f>
        <v/>
      </c>
      <c r="G125" s="32" t="str">
        <f aca="false">IF(OR($A125="",NOT(ISNUMBER(F125))),"",F125-E125)</f>
        <v/>
      </c>
      <c r="H125" s="31" t="str">
        <f aca="false">IF($A125="","",SUMIFS(②销售核销!$I$4:$I$603,②销售核销!$E$4:$E$603,$A125))</f>
        <v/>
      </c>
      <c r="I125" s="31" t="str">
        <f aca="false">IF($A125="","",SUMIFS(⑤库存异常!$E$4:$E$203,⑤库存异常!$B$4:$B$203,$A125))</f>
        <v/>
      </c>
      <c r="J125" s="31" t="str">
        <f aca="false">IF($A125="","",IF(ISNUMBER(F125),F125,E125)-H125-I125)</f>
        <v/>
      </c>
      <c r="K125" s="33" t="str">
        <f aca="false">IF(OR($A125="",N(E125)=0),"",H125/E125)</f>
        <v/>
      </c>
      <c r="L125" s="34" t="str">
        <f aca="false">IF($A125="","",SUMIFS(②销售核销!$L$4:$L$603,②销售核销!$E$4:$E$603,$A125))</f>
        <v/>
      </c>
      <c r="M125" s="34" t="str">
        <f aca="false">IF($A125="","",SUMIFS(②销售核销!$L$4:$L$603,②销售核销!$E$4:$E$603,$A125,②销售核销!$M$4:$M$603,"已收汇"))</f>
        <v/>
      </c>
      <c r="N125" s="30" t="str">
        <f aca="false">IF(ISNUMBER(D125),DATE(YEAR(D125)+1,4,30),"")</f>
        <v/>
      </c>
      <c r="O125" s="35" t="str">
        <f aca="true">IF($A125="","",IF(N(H125)=0,IF(AND(ISNUMBER(N125),TODAY()&gt;N125),"超过收汇期限仍未销售","尚未销售"),IF(ROUND(M125,2)&gt;=ROUND(L125,2),"已售部分已收汇",IF(AND(ISNUMBER(N125),TODAY()&gt;N125),"超期未收汇","有回款待收汇"))))</f>
        <v/>
      </c>
      <c r="P125" s="34" t="str">
        <f aca="false">IF($A125="","",SUMIFS(④退税核算!$H$4:$H$303,④退税核算!$A$4:$A$303,$A125))</f>
        <v/>
      </c>
      <c r="Q125" s="34" t="str">
        <f aca="false">IF($A125="","",SUMIFS(④退税核算!$H$4:$H$303,④退税核算!$A$4:$A$303,$A125,④退税核算!$D$4:$D$303,"未售-海外仓预退（HWC-YT）"))</f>
        <v/>
      </c>
      <c r="R125" s="30" t="str">
        <f aca="false">IF($A125="","",IF(COUNTIFS(④退税核算!$A$4:$A$303,$A125,④退税核算!$D$4:$D$303,"未售-海外仓预退（HWC-YT）",④退税核算!$I$4:$I$303,"&gt;0")=0,"",_xlfn.MINIFS(④退税核算!$J$4:$J$303,④退税核算!$A$4:$A$303,$A125,④退税核算!$D$4:$D$303,"未售-海外仓预退（HWC-YT）")))</f>
        <v/>
      </c>
      <c r="S125" s="35" t="str">
        <f aca="false">IF($A125="","",IF(COUNTIFS(④退税核算!$A$4:$A$303,$A125,④退税核算!$D$4:$D$303,"未售-海外仓预退（HWC-YT）")=0,"不涉及",IF(COUNTIFS(④退税核算!$A$4:$A$303,$A125,④退税核算!$S$4:$S$303,"已逾期*")&gt;0,"已逾期",IF(COUNTIFS(④退税核算!$A$4:$A$303,$A125,④退税核算!$S$4:$S$303,"临近*")&gt;0,"临近截止",IF(COUNTIFS(④退税核算!$A$4:$A$303,$A125,④退税核算!$S$4:$S$303,"待*")&gt;0,"待核算","已核算")))))</f>
        <v/>
      </c>
      <c r="T125" s="35" t="str">
        <f aca="false">IF($A125="","",IFERROR(INDEX(⑥单证留存!$P$4:$P$203,MATCH(①出口报关!B122,⑥单证留存!$A$4:$A$203,0)),"未登记"))</f>
        <v/>
      </c>
      <c r="U125" s="36" t="str">
        <f aca="false">IF($A125="","",IF(IF(OR(O125="超期未收汇",O125="超过收汇期限仍未销售")," 收汇超期","")&amp;IF(S125="已逾期"," 核算逾期","")&amp;IF(S125="临近截止"," 核算临近截止","")&amp;IF(LEFT(T125,1)="缺"," 单证"&amp;T125,"")&amp;IF(T125="未登记"," 单证未登记","")&amp;IF(AND(ISNUMBER(G125),N(G125)&lt;&gt;0)," 入仓差异"&amp;G125,"")="","正常",SUBSTITUTE(TRIM(IF(OR(O125="超期未收汇",O125="超过收汇期限仍未销售")," 收汇超期","")&amp;IF(S125="已逾期"," 核算逾期","")&amp;IF(S125="临近截止"," 核算临近截止","")&amp;IF(LEFT(T125,1)="缺"," 单证"&amp;T125,"")&amp;IF(T125="未登记"," 单证未登记","")&amp;IF(AND(ISNUMBER(G125),N(G125)&lt;&gt;0)," 入仓差异"&amp;G125,""))," ","、")))</f>
        <v/>
      </c>
    </row>
    <row r="126" customFormat="false" ht="21.75" hidden="false" customHeight="true" outlineLevel="0" collapsed="false">
      <c r="A126" s="29" t="str">
        <f aca="false">IF(①出口报关!A123="","",①出口报关!A123)</f>
        <v/>
      </c>
      <c r="B126" s="29" t="str">
        <f aca="false">IF($A126="","",①出口报关!I123)</f>
        <v/>
      </c>
      <c r="C126" s="29" t="str">
        <f aca="false">IF($A126="","",①出口报关!J123)</f>
        <v/>
      </c>
      <c r="D126" s="30" t="str">
        <f aca="false">IF($A126="","",IF(①出口报关!D123="","",①出口报关!D123))</f>
        <v/>
      </c>
      <c r="E126" s="31" t="str">
        <f aca="false">IF($A126="","",N(①出口报关!L123))</f>
        <v/>
      </c>
      <c r="F126" s="31" t="str">
        <f aca="false">IF($A126="","",IF(①出口报关!Y123="","未签收",①出口报关!Y123))</f>
        <v/>
      </c>
      <c r="G126" s="32" t="str">
        <f aca="false">IF(OR($A126="",NOT(ISNUMBER(F126))),"",F126-E126)</f>
        <v/>
      </c>
      <c r="H126" s="31" t="str">
        <f aca="false">IF($A126="","",SUMIFS(②销售核销!$I$4:$I$603,②销售核销!$E$4:$E$603,$A126))</f>
        <v/>
      </c>
      <c r="I126" s="31" t="str">
        <f aca="false">IF($A126="","",SUMIFS(⑤库存异常!$E$4:$E$203,⑤库存异常!$B$4:$B$203,$A126))</f>
        <v/>
      </c>
      <c r="J126" s="31" t="str">
        <f aca="false">IF($A126="","",IF(ISNUMBER(F126),F126,E126)-H126-I126)</f>
        <v/>
      </c>
      <c r="K126" s="33" t="str">
        <f aca="false">IF(OR($A126="",N(E126)=0),"",H126/E126)</f>
        <v/>
      </c>
      <c r="L126" s="34" t="str">
        <f aca="false">IF($A126="","",SUMIFS(②销售核销!$L$4:$L$603,②销售核销!$E$4:$E$603,$A126))</f>
        <v/>
      </c>
      <c r="M126" s="34" t="str">
        <f aca="false">IF($A126="","",SUMIFS(②销售核销!$L$4:$L$603,②销售核销!$E$4:$E$603,$A126,②销售核销!$M$4:$M$603,"已收汇"))</f>
        <v/>
      </c>
      <c r="N126" s="30" t="str">
        <f aca="false">IF(ISNUMBER(D126),DATE(YEAR(D126)+1,4,30),"")</f>
        <v/>
      </c>
      <c r="O126" s="35" t="str">
        <f aca="true">IF($A126="","",IF(N(H126)=0,IF(AND(ISNUMBER(N126),TODAY()&gt;N126),"超过收汇期限仍未销售","尚未销售"),IF(ROUND(M126,2)&gt;=ROUND(L126,2),"已售部分已收汇",IF(AND(ISNUMBER(N126),TODAY()&gt;N126),"超期未收汇","有回款待收汇"))))</f>
        <v/>
      </c>
      <c r="P126" s="34" t="str">
        <f aca="false">IF($A126="","",SUMIFS(④退税核算!$H$4:$H$303,④退税核算!$A$4:$A$303,$A126))</f>
        <v/>
      </c>
      <c r="Q126" s="34" t="str">
        <f aca="false">IF($A126="","",SUMIFS(④退税核算!$H$4:$H$303,④退税核算!$A$4:$A$303,$A126,④退税核算!$D$4:$D$303,"未售-海外仓预退（HWC-YT）"))</f>
        <v/>
      </c>
      <c r="R126" s="30" t="str">
        <f aca="false">IF($A126="","",IF(COUNTIFS(④退税核算!$A$4:$A$303,$A126,④退税核算!$D$4:$D$303,"未售-海外仓预退（HWC-YT）",④退税核算!$I$4:$I$303,"&gt;0")=0,"",_xlfn.MINIFS(④退税核算!$J$4:$J$303,④退税核算!$A$4:$A$303,$A126,④退税核算!$D$4:$D$303,"未售-海外仓预退（HWC-YT）")))</f>
        <v/>
      </c>
      <c r="S126" s="35" t="str">
        <f aca="false">IF($A126="","",IF(COUNTIFS(④退税核算!$A$4:$A$303,$A126,④退税核算!$D$4:$D$303,"未售-海外仓预退（HWC-YT）")=0,"不涉及",IF(COUNTIFS(④退税核算!$A$4:$A$303,$A126,④退税核算!$S$4:$S$303,"已逾期*")&gt;0,"已逾期",IF(COUNTIFS(④退税核算!$A$4:$A$303,$A126,④退税核算!$S$4:$S$303,"临近*")&gt;0,"临近截止",IF(COUNTIFS(④退税核算!$A$4:$A$303,$A126,④退税核算!$S$4:$S$303,"待*")&gt;0,"待核算","已核算")))))</f>
        <v/>
      </c>
      <c r="T126" s="35" t="str">
        <f aca="false">IF($A126="","",IFERROR(INDEX(⑥单证留存!$P$4:$P$203,MATCH(①出口报关!B123,⑥单证留存!$A$4:$A$203,0)),"未登记"))</f>
        <v/>
      </c>
      <c r="U126" s="36" t="str">
        <f aca="false">IF($A126="","",IF(IF(OR(O126="超期未收汇",O126="超过收汇期限仍未销售")," 收汇超期","")&amp;IF(S126="已逾期"," 核算逾期","")&amp;IF(S126="临近截止"," 核算临近截止","")&amp;IF(LEFT(T126,1)="缺"," 单证"&amp;T126,"")&amp;IF(T126="未登记"," 单证未登记","")&amp;IF(AND(ISNUMBER(G126),N(G126)&lt;&gt;0)," 入仓差异"&amp;G126,"")="","正常",SUBSTITUTE(TRIM(IF(OR(O126="超期未收汇",O126="超过收汇期限仍未销售")," 收汇超期","")&amp;IF(S126="已逾期"," 核算逾期","")&amp;IF(S126="临近截止"," 核算临近截止","")&amp;IF(LEFT(T126,1)="缺"," 单证"&amp;T126,"")&amp;IF(T126="未登记"," 单证未登记","")&amp;IF(AND(ISNUMBER(G126),N(G126)&lt;&gt;0)," 入仓差异"&amp;G126,""))," ","、")))</f>
        <v/>
      </c>
    </row>
    <row r="127" customFormat="false" ht="21.75" hidden="false" customHeight="true" outlineLevel="0" collapsed="false">
      <c r="A127" s="29" t="str">
        <f aca="false">IF(①出口报关!A124="","",①出口报关!A124)</f>
        <v/>
      </c>
      <c r="B127" s="29" t="str">
        <f aca="false">IF($A127="","",①出口报关!I124)</f>
        <v/>
      </c>
      <c r="C127" s="29" t="str">
        <f aca="false">IF($A127="","",①出口报关!J124)</f>
        <v/>
      </c>
      <c r="D127" s="30" t="str">
        <f aca="false">IF($A127="","",IF(①出口报关!D124="","",①出口报关!D124))</f>
        <v/>
      </c>
      <c r="E127" s="31" t="str">
        <f aca="false">IF($A127="","",N(①出口报关!L124))</f>
        <v/>
      </c>
      <c r="F127" s="31" t="str">
        <f aca="false">IF($A127="","",IF(①出口报关!Y124="","未签收",①出口报关!Y124))</f>
        <v/>
      </c>
      <c r="G127" s="32" t="str">
        <f aca="false">IF(OR($A127="",NOT(ISNUMBER(F127))),"",F127-E127)</f>
        <v/>
      </c>
      <c r="H127" s="31" t="str">
        <f aca="false">IF($A127="","",SUMIFS(②销售核销!$I$4:$I$603,②销售核销!$E$4:$E$603,$A127))</f>
        <v/>
      </c>
      <c r="I127" s="31" t="str">
        <f aca="false">IF($A127="","",SUMIFS(⑤库存异常!$E$4:$E$203,⑤库存异常!$B$4:$B$203,$A127))</f>
        <v/>
      </c>
      <c r="J127" s="31" t="str">
        <f aca="false">IF($A127="","",IF(ISNUMBER(F127),F127,E127)-H127-I127)</f>
        <v/>
      </c>
      <c r="K127" s="33" t="str">
        <f aca="false">IF(OR($A127="",N(E127)=0),"",H127/E127)</f>
        <v/>
      </c>
      <c r="L127" s="34" t="str">
        <f aca="false">IF($A127="","",SUMIFS(②销售核销!$L$4:$L$603,②销售核销!$E$4:$E$603,$A127))</f>
        <v/>
      </c>
      <c r="M127" s="34" t="str">
        <f aca="false">IF($A127="","",SUMIFS(②销售核销!$L$4:$L$603,②销售核销!$E$4:$E$603,$A127,②销售核销!$M$4:$M$603,"已收汇"))</f>
        <v/>
      </c>
      <c r="N127" s="30" t="str">
        <f aca="false">IF(ISNUMBER(D127),DATE(YEAR(D127)+1,4,30),"")</f>
        <v/>
      </c>
      <c r="O127" s="35" t="str">
        <f aca="true">IF($A127="","",IF(N(H127)=0,IF(AND(ISNUMBER(N127),TODAY()&gt;N127),"超过收汇期限仍未销售","尚未销售"),IF(ROUND(M127,2)&gt;=ROUND(L127,2),"已售部分已收汇",IF(AND(ISNUMBER(N127),TODAY()&gt;N127),"超期未收汇","有回款待收汇"))))</f>
        <v/>
      </c>
      <c r="P127" s="34" t="str">
        <f aca="false">IF($A127="","",SUMIFS(④退税核算!$H$4:$H$303,④退税核算!$A$4:$A$303,$A127))</f>
        <v/>
      </c>
      <c r="Q127" s="34" t="str">
        <f aca="false">IF($A127="","",SUMIFS(④退税核算!$H$4:$H$303,④退税核算!$A$4:$A$303,$A127,④退税核算!$D$4:$D$303,"未售-海外仓预退（HWC-YT）"))</f>
        <v/>
      </c>
      <c r="R127" s="30" t="str">
        <f aca="false">IF($A127="","",IF(COUNTIFS(④退税核算!$A$4:$A$303,$A127,④退税核算!$D$4:$D$303,"未售-海外仓预退（HWC-YT）",④退税核算!$I$4:$I$303,"&gt;0")=0,"",_xlfn.MINIFS(④退税核算!$J$4:$J$303,④退税核算!$A$4:$A$303,$A127,④退税核算!$D$4:$D$303,"未售-海外仓预退（HWC-YT）")))</f>
        <v/>
      </c>
      <c r="S127" s="35" t="str">
        <f aca="false">IF($A127="","",IF(COUNTIFS(④退税核算!$A$4:$A$303,$A127,④退税核算!$D$4:$D$303,"未售-海外仓预退（HWC-YT）")=0,"不涉及",IF(COUNTIFS(④退税核算!$A$4:$A$303,$A127,④退税核算!$S$4:$S$303,"已逾期*")&gt;0,"已逾期",IF(COUNTIFS(④退税核算!$A$4:$A$303,$A127,④退税核算!$S$4:$S$303,"临近*")&gt;0,"临近截止",IF(COUNTIFS(④退税核算!$A$4:$A$303,$A127,④退税核算!$S$4:$S$303,"待*")&gt;0,"待核算","已核算")))))</f>
        <v/>
      </c>
      <c r="T127" s="35" t="str">
        <f aca="false">IF($A127="","",IFERROR(INDEX(⑥单证留存!$P$4:$P$203,MATCH(①出口报关!B124,⑥单证留存!$A$4:$A$203,0)),"未登记"))</f>
        <v/>
      </c>
      <c r="U127" s="36" t="str">
        <f aca="false">IF($A127="","",IF(IF(OR(O127="超期未收汇",O127="超过收汇期限仍未销售")," 收汇超期","")&amp;IF(S127="已逾期"," 核算逾期","")&amp;IF(S127="临近截止"," 核算临近截止","")&amp;IF(LEFT(T127,1)="缺"," 单证"&amp;T127,"")&amp;IF(T127="未登记"," 单证未登记","")&amp;IF(AND(ISNUMBER(G127),N(G127)&lt;&gt;0)," 入仓差异"&amp;G127,"")="","正常",SUBSTITUTE(TRIM(IF(OR(O127="超期未收汇",O127="超过收汇期限仍未销售")," 收汇超期","")&amp;IF(S127="已逾期"," 核算逾期","")&amp;IF(S127="临近截止"," 核算临近截止","")&amp;IF(LEFT(T127,1)="缺"," 单证"&amp;T127,"")&amp;IF(T127="未登记"," 单证未登记","")&amp;IF(AND(ISNUMBER(G127),N(G127)&lt;&gt;0)," 入仓差异"&amp;G127,""))," ","、")))</f>
        <v/>
      </c>
    </row>
    <row r="128" customFormat="false" ht="21.75" hidden="false" customHeight="true" outlineLevel="0" collapsed="false">
      <c r="A128" s="29" t="str">
        <f aca="false">IF(①出口报关!A125="","",①出口报关!A125)</f>
        <v/>
      </c>
      <c r="B128" s="29" t="str">
        <f aca="false">IF($A128="","",①出口报关!I125)</f>
        <v/>
      </c>
      <c r="C128" s="29" t="str">
        <f aca="false">IF($A128="","",①出口报关!J125)</f>
        <v/>
      </c>
      <c r="D128" s="30" t="str">
        <f aca="false">IF($A128="","",IF(①出口报关!D125="","",①出口报关!D125))</f>
        <v/>
      </c>
      <c r="E128" s="31" t="str">
        <f aca="false">IF($A128="","",N(①出口报关!L125))</f>
        <v/>
      </c>
      <c r="F128" s="31" t="str">
        <f aca="false">IF($A128="","",IF(①出口报关!Y125="","未签收",①出口报关!Y125))</f>
        <v/>
      </c>
      <c r="G128" s="32" t="str">
        <f aca="false">IF(OR($A128="",NOT(ISNUMBER(F128))),"",F128-E128)</f>
        <v/>
      </c>
      <c r="H128" s="31" t="str">
        <f aca="false">IF($A128="","",SUMIFS(②销售核销!$I$4:$I$603,②销售核销!$E$4:$E$603,$A128))</f>
        <v/>
      </c>
      <c r="I128" s="31" t="str">
        <f aca="false">IF($A128="","",SUMIFS(⑤库存异常!$E$4:$E$203,⑤库存异常!$B$4:$B$203,$A128))</f>
        <v/>
      </c>
      <c r="J128" s="31" t="str">
        <f aca="false">IF($A128="","",IF(ISNUMBER(F128),F128,E128)-H128-I128)</f>
        <v/>
      </c>
      <c r="K128" s="33" t="str">
        <f aca="false">IF(OR($A128="",N(E128)=0),"",H128/E128)</f>
        <v/>
      </c>
      <c r="L128" s="34" t="str">
        <f aca="false">IF($A128="","",SUMIFS(②销售核销!$L$4:$L$603,②销售核销!$E$4:$E$603,$A128))</f>
        <v/>
      </c>
      <c r="M128" s="34" t="str">
        <f aca="false">IF($A128="","",SUMIFS(②销售核销!$L$4:$L$603,②销售核销!$E$4:$E$603,$A128,②销售核销!$M$4:$M$603,"已收汇"))</f>
        <v/>
      </c>
      <c r="N128" s="30" t="str">
        <f aca="false">IF(ISNUMBER(D128),DATE(YEAR(D128)+1,4,30),"")</f>
        <v/>
      </c>
      <c r="O128" s="35" t="str">
        <f aca="true">IF($A128="","",IF(N(H128)=0,IF(AND(ISNUMBER(N128),TODAY()&gt;N128),"超过收汇期限仍未销售","尚未销售"),IF(ROUND(M128,2)&gt;=ROUND(L128,2),"已售部分已收汇",IF(AND(ISNUMBER(N128),TODAY()&gt;N128),"超期未收汇","有回款待收汇"))))</f>
        <v/>
      </c>
      <c r="P128" s="34" t="str">
        <f aca="false">IF($A128="","",SUMIFS(④退税核算!$H$4:$H$303,④退税核算!$A$4:$A$303,$A128))</f>
        <v/>
      </c>
      <c r="Q128" s="34" t="str">
        <f aca="false">IF($A128="","",SUMIFS(④退税核算!$H$4:$H$303,④退税核算!$A$4:$A$303,$A128,④退税核算!$D$4:$D$303,"未售-海外仓预退（HWC-YT）"))</f>
        <v/>
      </c>
      <c r="R128" s="30" t="str">
        <f aca="false">IF($A128="","",IF(COUNTIFS(④退税核算!$A$4:$A$303,$A128,④退税核算!$D$4:$D$303,"未售-海外仓预退（HWC-YT）",④退税核算!$I$4:$I$303,"&gt;0")=0,"",_xlfn.MINIFS(④退税核算!$J$4:$J$303,④退税核算!$A$4:$A$303,$A128,④退税核算!$D$4:$D$303,"未售-海外仓预退（HWC-YT）")))</f>
        <v/>
      </c>
      <c r="S128" s="35" t="str">
        <f aca="false">IF($A128="","",IF(COUNTIFS(④退税核算!$A$4:$A$303,$A128,④退税核算!$D$4:$D$303,"未售-海外仓预退（HWC-YT）")=0,"不涉及",IF(COUNTIFS(④退税核算!$A$4:$A$303,$A128,④退税核算!$S$4:$S$303,"已逾期*")&gt;0,"已逾期",IF(COUNTIFS(④退税核算!$A$4:$A$303,$A128,④退税核算!$S$4:$S$303,"临近*")&gt;0,"临近截止",IF(COUNTIFS(④退税核算!$A$4:$A$303,$A128,④退税核算!$S$4:$S$303,"待*")&gt;0,"待核算","已核算")))))</f>
        <v/>
      </c>
      <c r="T128" s="35" t="str">
        <f aca="false">IF($A128="","",IFERROR(INDEX(⑥单证留存!$P$4:$P$203,MATCH(①出口报关!B125,⑥单证留存!$A$4:$A$203,0)),"未登记"))</f>
        <v/>
      </c>
      <c r="U128" s="36" t="str">
        <f aca="false">IF($A128="","",IF(IF(OR(O128="超期未收汇",O128="超过收汇期限仍未销售")," 收汇超期","")&amp;IF(S128="已逾期"," 核算逾期","")&amp;IF(S128="临近截止"," 核算临近截止","")&amp;IF(LEFT(T128,1)="缺"," 单证"&amp;T128,"")&amp;IF(T128="未登记"," 单证未登记","")&amp;IF(AND(ISNUMBER(G128),N(G128)&lt;&gt;0)," 入仓差异"&amp;G128,"")="","正常",SUBSTITUTE(TRIM(IF(OR(O128="超期未收汇",O128="超过收汇期限仍未销售")," 收汇超期","")&amp;IF(S128="已逾期"," 核算逾期","")&amp;IF(S128="临近截止"," 核算临近截止","")&amp;IF(LEFT(T128,1)="缺"," 单证"&amp;T128,"")&amp;IF(T128="未登记"," 单证未登记","")&amp;IF(AND(ISNUMBER(G128),N(G128)&lt;&gt;0)," 入仓差异"&amp;G128,""))," ","、")))</f>
        <v/>
      </c>
    </row>
    <row r="129" customFormat="false" ht="21.75" hidden="false" customHeight="true" outlineLevel="0" collapsed="false">
      <c r="A129" s="29" t="str">
        <f aca="false">IF(①出口报关!A126="","",①出口报关!A126)</f>
        <v/>
      </c>
      <c r="B129" s="29" t="str">
        <f aca="false">IF($A129="","",①出口报关!I126)</f>
        <v/>
      </c>
      <c r="C129" s="29" t="str">
        <f aca="false">IF($A129="","",①出口报关!J126)</f>
        <v/>
      </c>
      <c r="D129" s="30" t="str">
        <f aca="false">IF($A129="","",IF(①出口报关!D126="","",①出口报关!D126))</f>
        <v/>
      </c>
      <c r="E129" s="31" t="str">
        <f aca="false">IF($A129="","",N(①出口报关!L126))</f>
        <v/>
      </c>
      <c r="F129" s="31" t="str">
        <f aca="false">IF($A129="","",IF(①出口报关!Y126="","未签收",①出口报关!Y126))</f>
        <v/>
      </c>
      <c r="G129" s="32" t="str">
        <f aca="false">IF(OR($A129="",NOT(ISNUMBER(F129))),"",F129-E129)</f>
        <v/>
      </c>
      <c r="H129" s="31" t="str">
        <f aca="false">IF($A129="","",SUMIFS(②销售核销!$I$4:$I$603,②销售核销!$E$4:$E$603,$A129))</f>
        <v/>
      </c>
      <c r="I129" s="31" t="str">
        <f aca="false">IF($A129="","",SUMIFS(⑤库存异常!$E$4:$E$203,⑤库存异常!$B$4:$B$203,$A129))</f>
        <v/>
      </c>
      <c r="J129" s="31" t="str">
        <f aca="false">IF($A129="","",IF(ISNUMBER(F129),F129,E129)-H129-I129)</f>
        <v/>
      </c>
      <c r="K129" s="33" t="str">
        <f aca="false">IF(OR($A129="",N(E129)=0),"",H129/E129)</f>
        <v/>
      </c>
      <c r="L129" s="34" t="str">
        <f aca="false">IF($A129="","",SUMIFS(②销售核销!$L$4:$L$603,②销售核销!$E$4:$E$603,$A129))</f>
        <v/>
      </c>
      <c r="M129" s="34" t="str">
        <f aca="false">IF($A129="","",SUMIFS(②销售核销!$L$4:$L$603,②销售核销!$E$4:$E$603,$A129,②销售核销!$M$4:$M$603,"已收汇"))</f>
        <v/>
      </c>
      <c r="N129" s="30" t="str">
        <f aca="false">IF(ISNUMBER(D129),DATE(YEAR(D129)+1,4,30),"")</f>
        <v/>
      </c>
      <c r="O129" s="35" t="str">
        <f aca="true">IF($A129="","",IF(N(H129)=0,IF(AND(ISNUMBER(N129),TODAY()&gt;N129),"超过收汇期限仍未销售","尚未销售"),IF(ROUND(M129,2)&gt;=ROUND(L129,2),"已售部分已收汇",IF(AND(ISNUMBER(N129),TODAY()&gt;N129),"超期未收汇","有回款待收汇"))))</f>
        <v/>
      </c>
      <c r="P129" s="34" t="str">
        <f aca="false">IF($A129="","",SUMIFS(④退税核算!$H$4:$H$303,④退税核算!$A$4:$A$303,$A129))</f>
        <v/>
      </c>
      <c r="Q129" s="34" t="str">
        <f aca="false">IF($A129="","",SUMIFS(④退税核算!$H$4:$H$303,④退税核算!$A$4:$A$303,$A129,④退税核算!$D$4:$D$303,"未售-海外仓预退（HWC-YT）"))</f>
        <v/>
      </c>
      <c r="R129" s="30" t="str">
        <f aca="false">IF($A129="","",IF(COUNTIFS(④退税核算!$A$4:$A$303,$A129,④退税核算!$D$4:$D$303,"未售-海外仓预退（HWC-YT）",④退税核算!$I$4:$I$303,"&gt;0")=0,"",_xlfn.MINIFS(④退税核算!$J$4:$J$303,④退税核算!$A$4:$A$303,$A129,④退税核算!$D$4:$D$303,"未售-海外仓预退（HWC-YT）")))</f>
        <v/>
      </c>
      <c r="S129" s="35" t="str">
        <f aca="false">IF($A129="","",IF(COUNTIFS(④退税核算!$A$4:$A$303,$A129,④退税核算!$D$4:$D$303,"未售-海外仓预退（HWC-YT）")=0,"不涉及",IF(COUNTIFS(④退税核算!$A$4:$A$303,$A129,④退税核算!$S$4:$S$303,"已逾期*")&gt;0,"已逾期",IF(COUNTIFS(④退税核算!$A$4:$A$303,$A129,④退税核算!$S$4:$S$303,"临近*")&gt;0,"临近截止",IF(COUNTIFS(④退税核算!$A$4:$A$303,$A129,④退税核算!$S$4:$S$303,"待*")&gt;0,"待核算","已核算")))))</f>
        <v/>
      </c>
      <c r="T129" s="35" t="str">
        <f aca="false">IF($A129="","",IFERROR(INDEX(⑥单证留存!$P$4:$P$203,MATCH(①出口报关!B126,⑥单证留存!$A$4:$A$203,0)),"未登记"))</f>
        <v/>
      </c>
      <c r="U129" s="36" t="str">
        <f aca="false">IF($A129="","",IF(IF(OR(O129="超期未收汇",O129="超过收汇期限仍未销售")," 收汇超期","")&amp;IF(S129="已逾期"," 核算逾期","")&amp;IF(S129="临近截止"," 核算临近截止","")&amp;IF(LEFT(T129,1)="缺"," 单证"&amp;T129,"")&amp;IF(T129="未登记"," 单证未登记","")&amp;IF(AND(ISNUMBER(G129),N(G129)&lt;&gt;0)," 入仓差异"&amp;G129,"")="","正常",SUBSTITUTE(TRIM(IF(OR(O129="超期未收汇",O129="超过收汇期限仍未销售")," 收汇超期","")&amp;IF(S129="已逾期"," 核算逾期","")&amp;IF(S129="临近截止"," 核算临近截止","")&amp;IF(LEFT(T129,1)="缺"," 单证"&amp;T129,"")&amp;IF(T129="未登记"," 单证未登记","")&amp;IF(AND(ISNUMBER(G129),N(G129)&lt;&gt;0)," 入仓差异"&amp;G129,""))," ","、")))</f>
        <v/>
      </c>
    </row>
    <row r="130" customFormat="false" ht="21.75" hidden="false" customHeight="true" outlineLevel="0" collapsed="false">
      <c r="A130" s="29" t="str">
        <f aca="false">IF(①出口报关!A127="","",①出口报关!A127)</f>
        <v/>
      </c>
      <c r="B130" s="29" t="str">
        <f aca="false">IF($A130="","",①出口报关!I127)</f>
        <v/>
      </c>
      <c r="C130" s="29" t="str">
        <f aca="false">IF($A130="","",①出口报关!J127)</f>
        <v/>
      </c>
      <c r="D130" s="30" t="str">
        <f aca="false">IF($A130="","",IF(①出口报关!D127="","",①出口报关!D127))</f>
        <v/>
      </c>
      <c r="E130" s="31" t="str">
        <f aca="false">IF($A130="","",N(①出口报关!L127))</f>
        <v/>
      </c>
      <c r="F130" s="31" t="str">
        <f aca="false">IF($A130="","",IF(①出口报关!Y127="","未签收",①出口报关!Y127))</f>
        <v/>
      </c>
      <c r="G130" s="32" t="str">
        <f aca="false">IF(OR($A130="",NOT(ISNUMBER(F130))),"",F130-E130)</f>
        <v/>
      </c>
      <c r="H130" s="31" t="str">
        <f aca="false">IF($A130="","",SUMIFS(②销售核销!$I$4:$I$603,②销售核销!$E$4:$E$603,$A130))</f>
        <v/>
      </c>
      <c r="I130" s="31" t="str">
        <f aca="false">IF($A130="","",SUMIFS(⑤库存异常!$E$4:$E$203,⑤库存异常!$B$4:$B$203,$A130))</f>
        <v/>
      </c>
      <c r="J130" s="31" t="str">
        <f aca="false">IF($A130="","",IF(ISNUMBER(F130),F130,E130)-H130-I130)</f>
        <v/>
      </c>
      <c r="K130" s="33" t="str">
        <f aca="false">IF(OR($A130="",N(E130)=0),"",H130/E130)</f>
        <v/>
      </c>
      <c r="L130" s="34" t="str">
        <f aca="false">IF($A130="","",SUMIFS(②销售核销!$L$4:$L$603,②销售核销!$E$4:$E$603,$A130))</f>
        <v/>
      </c>
      <c r="M130" s="34" t="str">
        <f aca="false">IF($A130="","",SUMIFS(②销售核销!$L$4:$L$603,②销售核销!$E$4:$E$603,$A130,②销售核销!$M$4:$M$603,"已收汇"))</f>
        <v/>
      </c>
      <c r="N130" s="30" t="str">
        <f aca="false">IF(ISNUMBER(D130),DATE(YEAR(D130)+1,4,30),"")</f>
        <v/>
      </c>
      <c r="O130" s="35" t="str">
        <f aca="true">IF($A130="","",IF(N(H130)=0,IF(AND(ISNUMBER(N130),TODAY()&gt;N130),"超过收汇期限仍未销售","尚未销售"),IF(ROUND(M130,2)&gt;=ROUND(L130,2),"已售部分已收汇",IF(AND(ISNUMBER(N130),TODAY()&gt;N130),"超期未收汇","有回款待收汇"))))</f>
        <v/>
      </c>
      <c r="P130" s="34" t="str">
        <f aca="false">IF($A130="","",SUMIFS(④退税核算!$H$4:$H$303,④退税核算!$A$4:$A$303,$A130))</f>
        <v/>
      </c>
      <c r="Q130" s="34" t="str">
        <f aca="false">IF($A130="","",SUMIFS(④退税核算!$H$4:$H$303,④退税核算!$A$4:$A$303,$A130,④退税核算!$D$4:$D$303,"未售-海外仓预退（HWC-YT）"))</f>
        <v/>
      </c>
      <c r="R130" s="30" t="str">
        <f aca="false">IF($A130="","",IF(COUNTIFS(④退税核算!$A$4:$A$303,$A130,④退税核算!$D$4:$D$303,"未售-海外仓预退（HWC-YT）",④退税核算!$I$4:$I$303,"&gt;0")=0,"",_xlfn.MINIFS(④退税核算!$J$4:$J$303,④退税核算!$A$4:$A$303,$A130,④退税核算!$D$4:$D$303,"未售-海外仓预退（HWC-YT）")))</f>
        <v/>
      </c>
      <c r="S130" s="35" t="str">
        <f aca="false">IF($A130="","",IF(COUNTIFS(④退税核算!$A$4:$A$303,$A130,④退税核算!$D$4:$D$303,"未售-海外仓预退（HWC-YT）")=0,"不涉及",IF(COUNTIFS(④退税核算!$A$4:$A$303,$A130,④退税核算!$S$4:$S$303,"已逾期*")&gt;0,"已逾期",IF(COUNTIFS(④退税核算!$A$4:$A$303,$A130,④退税核算!$S$4:$S$303,"临近*")&gt;0,"临近截止",IF(COUNTIFS(④退税核算!$A$4:$A$303,$A130,④退税核算!$S$4:$S$303,"待*")&gt;0,"待核算","已核算")))))</f>
        <v/>
      </c>
      <c r="T130" s="35" t="str">
        <f aca="false">IF($A130="","",IFERROR(INDEX(⑥单证留存!$P$4:$P$203,MATCH(①出口报关!B127,⑥单证留存!$A$4:$A$203,0)),"未登记"))</f>
        <v/>
      </c>
      <c r="U130" s="36" t="str">
        <f aca="false">IF($A130="","",IF(IF(OR(O130="超期未收汇",O130="超过收汇期限仍未销售")," 收汇超期","")&amp;IF(S130="已逾期"," 核算逾期","")&amp;IF(S130="临近截止"," 核算临近截止","")&amp;IF(LEFT(T130,1)="缺"," 单证"&amp;T130,"")&amp;IF(T130="未登记"," 单证未登记","")&amp;IF(AND(ISNUMBER(G130),N(G130)&lt;&gt;0)," 入仓差异"&amp;G130,"")="","正常",SUBSTITUTE(TRIM(IF(OR(O130="超期未收汇",O130="超过收汇期限仍未销售")," 收汇超期","")&amp;IF(S130="已逾期"," 核算逾期","")&amp;IF(S130="临近截止"," 核算临近截止","")&amp;IF(LEFT(T130,1)="缺"," 单证"&amp;T130,"")&amp;IF(T130="未登记"," 单证未登记","")&amp;IF(AND(ISNUMBER(G130),N(G130)&lt;&gt;0)," 入仓差异"&amp;G130,""))," ","、")))</f>
        <v/>
      </c>
    </row>
    <row r="131" customFormat="false" ht="21.75" hidden="false" customHeight="true" outlineLevel="0" collapsed="false">
      <c r="A131" s="29" t="str">
        <f aca="false">IF(①出口报关!A128="","",①出口报关!A128)</f>
        <v/>
      </c>
      <c r="B131" s="29" t="str">
        <f aca="false">IF($A131="","",①出口报关!I128)</f>
        <v/>
      </c>
      <c r="C131" s="29" t="str">
        <f aca="false">IF($A131="","",①出口报关!J128)</f>
        <v/>
      </c>
      <c r="D131" s="30" t="str">
        <f aca="false">IF($A131="","",IF(①出口报关!D128="","",①出口报关!D128))</f>
        <v/>
      </c>
      <c r="E131" s="31" t="str">
        <f aca="false">IF($A131="","",N(①出口报关!L128))</f>
        <v/>
      </c>
      <c r="F131" s="31" t="str">
        <f aca="false">IF($A131="","",IF(①出口报关!Y128="","未签收",①出口报关!Y128))</f>
        <v/>
      </c>
      <c r="G131" s="32" t="str">
        <f aca="false">IF(OR($A131="",NOT(ISNUMBER(F131))),"",F131-E131)</f>
        <v/>
      </c>
      <c r="H131" s="31" t="str">
        <f aca="false">IF($A131="","",SUMIFS(②销售核销!$I$4:$I$603,②销售核销!$E$4:$E$603,$A131))</f>
        <v/>
      </c>
      <c r="I131" s="31" t="str">
        <f aca="false">IF($A131="","",SUMIFS(⑤库存异常!$E$4:$E$203,⑤库存异常!$B$4:$B$203,$A131))</f>
        <v/>
      </c>
      <c r="J131" s="31" t="str">
        <f aca="false">IF($A131="","",IF(ISNUMBER(F131),F131,E131)-H131-I131)</f>
        <v/>
      </c>
      <c r="K131" s="33" t="str">
        <f aca="false">IF(OR($A131="",N(E131)=0),"",H131/E131)</f>
        <v/>
      </c>
      <c r="L131" s="34" t="str">
        <f aca="false">IF($A131="","",SUMIFS(②销售核销!$L$4:$L$603,②销售核销!$E$4:$E$603,$A131))</f>
        <v/>
      </c>
      <c r="M131" s="34" t="str">
        <f aca="false">IF($A131="","",SUMIFS(②销售核销!$L$4:$L$603,②销售核销!$E$4:$E$603,$A131,②销售核销!$M$4:$M$603,"已收汇"))</f>
        <v/>
      </c>
      <c r="N131" s="30" t="str">
        <f aca="false">IF(ISNUMBER(D131),DATE(YEAR(D131)+1,4,30),"")</f>
        <v/>
      </c>
      <c r="O131" s="35" t="str">
        <f aca="true">IF($A131="","",IF(N(H131)=0,IF(AND(ISNUMBER(N131),TODAY()&gt;N131),"超过收汇期限仍未销售","尚未销售"),IF(ROUND(M131,2)&gt;=ROUND(L131,2),"已售部分已收汇",IF(AND(ISNUMBER(N131),TODAY()&gt;N131),"超期未收汇","有回款待收汇"))))</f>
        <v/>
      </c>
      <c r="P131" s="34" t="str">
        <f aca="false">IF($A131="","",SUMIFS(④退税核算!$H$4:$H$303,④退税核算!$A$4:$A$303,$A131))</f>
        <v/>
      </c>
      <c r="Q131" s="34" t="str">
        <f aca="false">IF($A131="","",SUMIFS(④退税核算!$H$4:$H$303,④退税核算!$A$4:$A$303,$A131,④退税核算!$D$4:$D$303,"未售-海外仓预退（HWC-YT）"))</f>
        <v/>
      </c>
      <c r="R131" s="30" t="str">
        <f aca="false">IF($A131="","",IF(COUNTIFS(④退税核算!$A$4:$A$303,$A131,④退税核算!$D$4:$D$303,"未售-海外仓预退（HWC-YT）",④退税核算!$I$4:$I$303,"&gt;0")=0,"",_xlfn.MINIFS(④退税核算!$J$4:$J$303,④退税核算!$A$4:$A$303,$A131,④退税核算!$D$4:$D$303,"未售-海外仓预退（HWC-YT）")))</f>
        <v/>
      </c>
      <c r="S131" s="35" t="str">
        <f aca="false">IF($A131="","",IF(COUNTIFS(④退税核算!$A$4:$A$303,$A131,④退税核算!$D$4:$D$303,"未售-海外仓预退（HWC-YT）")=0,"不涉及",IF(COUNTIFS(④退税核算!$A$4:$A$303,$A131,④退税核算!$S$4:$S$303,"已逾期*")&gt;0,"已逾期",IF(COUNTIFS(④退税核算!$A$4:$A$303,$A131,④退税核算!$S$4:$S$303,"临近*")&gt;0,"临近截止",IF(COUNTIFS(④退税核算!$A$4:$A$303,$A131,④退税核算!$S$4:$S$303,"待*")&gt;0,"待核算","已核算")))))</f>
        <v/>
      </c>
      <c r="T131" s="35" t="str">
        <f aca="false">IF($A131="","",IFERROR(INDEX(⑥单证留存!$P$4:$P$203,MATCH(①出口报关!B128,⑥单证留存!$A$4:$A$203,0)),"未登记"))</f>
        <v/>
      </c>
      <c r="U131" s="36" t="str">
        <f aca="false">IF($A131="","",IF(IF(OR(O131="超期未收汇",O131="超过收汇期限仍未销售")," 收汇超期","")&amp;IF(S131="已逾期"," 核算逾期","")&amp;IF(S131="临近截止"," 核算临近截止","")&amp;IF(LEFT(T131,1)="缺"," 单证"&amp;T131,"")&amp;IF(T131="未登记"," 单证未登记","")&amp;IF(AND(ISNUMBER(G131),N(G131)&lt;&gt;0)," 入仓差异"&amp;G131,"")="","正常",SUBSTITUTE(TRIM(IF(OR(O131="超期未收汇",O131="超过收汇期限仍未销售")," 收汇超期","")&amp;IF(S131="已逾期"," 核算逾期","")&amp;IF(S131="临近截止"," 核算临近截止","")&amp;IF(LEFT(T131,1)="缺"," 单证"&amp;T131,"")&amp;IF(T131="未登记"," 单证未登记","")&amp;IF(AND(ISNUMBER(G131),N(G131)&lt;&gt;0)," 入仓差异"&amp;G131,""))," ","、")))</f>
        <v/>
      </c>
    </row>
    <row r="132" customFormat="false" ht="21.75" hidden="false" customHeight="true" outlineLevel="0" collapsed="false">
      <c r="A132" s="29" t="str">
        <f aca="false">IF(①出口报关!A129="","",①出口报关!A129)</f>
        <v/>
      </c>
      <c r="B132" s="29" t="str">
        <f aca="false">IF($A132="","",①出口报关!I129)</f>
        <v/>
      </c>
      <c r="C132" s="29" t="str">
        <f aca="false">IF($A132="","",①出口报关!J129)</f>
        <v/>
      </c>
      <c r="D132" s="30" t="str">
        <f aca="false">IF($A132="","",IF(①出口报关!D129="","",①出口报关!D129))</f>
        <v/>
      </c>
      <c r="E132" s="31" t="str">
        <f aca="false">IF($A132="","",N(①出口报关!L129))</f>
        <v/>
      </c>
      <c r="F132" s="31" t="str">
        <f aca="false">IF($A132="","",IF(①出口报关!Y129="","未签收",①出口报关!Y129))</f>
        <v/>
      </c>
      <c r="G132" s="32" t="str">
        <f aca="false">IF(OR($A132="",NOT(ISNUMBER(F132))),"",F132-E132)</f>
        <v/>
      </c>
      <c r="H132" s="31" t="str">
        <f aca="false">IF($A132="","",SUMIFS(②销售核销!$I$4:$I$603,②销售核销!$E$4:$E$603,$A132))</f>
        <v/>
      </c>
      <c r="I132" s="31" t="str">
        <f aca="false">IF($A132="","",SUMIFS(⑤库存异常!$E$4:$E$203,⑤库存异常!$B$4:$B$203,$A132))</f>
        <v/>
      </c>
      <c r="J132" s="31" t="str">
        <f aca="false">IF($A132="","",IF(ISNUMBER(F132),F132,E132)-H132-I132)</f>
        <v/>
      </c>
      <c r="K132" s="33" t="str">
        <f aca="false">IF(OR($A132="",N(E132)=0),"",H132/E132)</f>
        <v/>
      </c>
      <c r="L132" s="34" t="str">
        <f aca="false">IF($A132="","",SUMIFS(②销售核销!$L$4:$L$603,②销售核销!$E$4:$E$603,$A132))</f>
        <v/>
      </c>
      <c r="M132" s="34" t="str">
        <f aca="false">IF($A132="","",SUMIFS(②销售核销!$L$4:$L$603,②销售核销!$E$4:$E$603,$A132,②销售核销!$M$4:$M$603,"已收汇"))</f>
        <v/>
      </c>
      <c r="N132" s="30" t="str">
        <f aca="false">IF(ISNUMBER(D132),DATE(YEAR(D132)+1,4,30),"")</f>
        <v/>
      </c>
      <c r="O132" s="35" t="str">
        <f aca="true">IF($A132="","",IF(N(H132)=0,IF(AND(ISNUMBER(N132),TODAY()&gt;N132),"超过收汇期限仍未销售","尚未销售"),IF(ROUND(M132,2)&gt;=ROUND(L132,2),"已售部分已收汇",IF(AND(ISNUMBER(N132),TODAY()&gt;N132),"超期未收汇","有回款待收汇"))))</f>
        <v/>
      </c>
      <c r="P132" s="34" t="str">
        <f aca="false">IF($A132="","",SUMIFS(④退税核算!$H$4:$H$303,④退税核算!$A$4:$A$303,$A132))</f>
        <v/>
      </c>
      <c r="Q132" s="34" t="str">
        <f aca="false">IF($A132="","",SUMIFS(④退税核算!$H$4:$H$303,④退税核算!$A$4:$A$303,$A132,④退税核算!$D$4:$D$303,"未售-海外仓预退（HWC-YT）"))</f>
        <v/>
      </c>
      <c r="R132" s="30" t="str">
        <f aca="false">IF($A132="","",IF(COUNTIFS(④退税核算!$A$4:$A$303,$A132,④退税核算!$D$4:$D$303,"未售-海外仓预退（HWC-YT）",④退税核算!$I$4:$I$303,"&gt;0")=0,"",_xlfn.MINIFS(④退税核算!$J$4:$J$303,④退税核算!$A$4:$A$303,$A132,④退税核算!$D$4:$D$303,"未售-海外仓预退（HWC-YT）")))</f>
        <v/>
      </c>
      <c r="S132" s="35" t="str">
        <f aca="false">IF($A132="","",IF(COUNTIFS(④退税核算!$A$4:$A$303,$A132,④退税核算!$D$4:$D$303,"未售-海外仓预退（HWC-YT）")=0,"不涉及",IF(COUNTIFS(④退税核算!$A$4:$A$303,$A132,④退税核算!$S$4:$S$303,"已逾期*")&gt;0,"已逾期",IF(COUNTIFS(④退税核算!$A$4:$A$303,$A132,④退税核算!$S$4:$S$303,"临近*")&gt;0,"临近截止",IF(COUNTIFS(④退税核算!$A$4:$A$303,$A132,④退税核算!$S$4:$S$303,"待*")&gt;0,"待核算","已核算")))))</f>
        <v/>
      </c>
      <c r="T132" s="35" t="str">
        <f aca="false">IF($A132="","",IFERROR(INDEX(⑥单证留存!$P$4:$P$203,MATCH(①出口报关!B129,⑥单证留存!$A$4:$A$203,0)),"未登记"))</f>
        <v/>
      </c>
      <c r="U132" s="36" t="str">
        <f aca="false">IF($A132="","",IF(IF(OR(O132="超期未收汇",O132="超过收汇期限仍未销售")," 收汇超期","")&amp;IF(S132="已逾期"," 核算逾期","")&amp;IF(S132="临近截止"," 核算临近截止","")&amp;IF(LEFT(T132,1)="缺"," 单证"&amp;T132,"")&amp;IF(T132="未登记"," 单证未登记","")&amp;IF(AND(ISNUMBER(G132),N(G132)&lt;&gt;0)," 入仓差异"&amp;G132,"")="","正常",SUBSTITUTE(TRIM(IF(OR(O132="超期未收汇",O132="超过收汇期限仍未销售")," 收汇超期","")&amp;IF(S132="已逾期"," 核算逾期","")&amp;IF(S132="临近截止"," 核算临近截止","")&amp;IF(LEFT(T132,1)="缺"," 单证"&amp;T132,"")&amp;IF(T132="未登记"," 单证未登记","")&amp;IF(AND(ISNUMBER(G132),N(G132)&lt;&gt;0)," 入仓差异"&amp;G132,""))," ","、")))</f>
        <v/>
      </c>
    </row>
    <row r="133" customFormat="false" ht="21.75" hidden="false" customHeight="true" outlineLevel="0" collapsed="false">
      <c r="A133" s="29" t="str">
        <f aca="false">IF(①出口报关!A130="","",①出口报关!A130)</f>
        <v/>
      </c>
      <c r="B133" s="29" t="str">
        <f aca="false">IF($A133="","",①出口报关!I130)</f>
        <v/>
      </c>
      <c r="C133" s="29" t="str">
        <f aca="false">IF($A133="","",①出口报关!J130)</f>
        <v/>
      </c>
      <c r="D133" s="30" t="str">
        <f aca="false">IF($A133="","",IF(①出口报关!D130="","",①出口报关!D130))</f>
        <v/>
      </c>
      <c r="E133" s="31" t="str">
        <f aca="false">IF($A133="","",N(①出口报关!L130))</f>
        <v/>
      </c>
      <c r="F133" s="31" t="str">
        <f aca="false">IF($A133="","",IF(①出口报关!Y130="","未签收",①出口报关!Y130))</f>
        <v/>
      </c>
      <c r="G133" s="32" t="str">
        <f aca="false">IF(OR($A133="",NOT(ISNUMBER(F133))),"",F133-E133)</f>
        <v/>
      </c>
      <c r="H133" s="31" t="str">
        <f aca="false">IF($A133="","",SUMIFS(②销售核销!$I$4:$I$603,②销售核销!$E$4:$E$603,$A133))</f>
        <v/>
      </c>
      <c r="I133" s="31" t="str">
        <f aca="false">IF($A133="","",SUMIFS(⑤库存异常!$E$4:$E$203,⑤库存异常!$B$4:$B$203,$A133))</f>
        <v/>
      </c>
      <c r="J133" s="31" t="str">
        <f aca="false">IF($A133="","",IF(ISNUMBER(F133),F133,E133)-H133-I133)</f>
        <v/>
      </c>
      <c r="K133" s="33" t="str">
        <f aca="false">IF(OR($A133="",N(E133)=0),"",H133/E133)</f>
        <v/>
      </c>
      <c r="L133" s="34" t="str">
        <f aca="false">IF($A133="","",SUMIFS(②销售核销!$L$4:$L$603,②销售核销!$E$4:$E$603,$A133))</f>
        <v/>
      </c>
      <c r="M133" s="34" t="str">
        <f aca="false">IF($A133="","",SUMIFS(②销售核销!$L$4:$L$603,②销售核销!$E$4:$E$603,$A133,②销售核销!$M$4:$M$603,"已收汇"))</f>
        <v/>
      </c>
      <c r="N133" s="30" t="str">
        <f aca="false">IF(ISNUMBER(D133),DATE(YEAR(D133)+1,4,30),"")</f>
        <v/>
      </c>
      <c r="O133" s="35" t="str">
        <f aca="true">IF($A133="","",IF(N(H133)=0,IF(AND(ISNUMBER(N133),TODAY()&gt;N133),"超过收汇期限仍未销售","尚未销售"),IF(ROUND(M133,2)&gt;=ROUND(L133,2),"已售部分已收汇",IF(AND(ISNUMBER(N133),TODAY()&gt;N133),"超期未收汇","有回款待收汇"))))</f>
        <v/>
      </c>
      <c r="P133" s="34" t="str">
        <f aca="false">IF($A133="","",SUMIFS(④退税核算!$H$4:$H$303,④退税核算!$A$4:$A$303,$A133))</f>
        <v/>
      </c>
      <c r="Q133" s="34" t="str">
        <f aca="false">IF($A133="","",SUMIFS(④退税核算!$H$4:$H$303,④退税核算!$A$4:$A$303,$A133,④退税核算!$D$4:$D$303,"未售-海外仓预退（HWC-YT）"))</f>
        <v/>
      </c>
      <c r="R133" s="30" t="str">
        <f aca="false">IF($A133="","",IF(COUNTIFS(④退税核算!$A$4:$A$303,$A133,④退税核算!$D$4:$D$303,"未售-海外仓预退（HWC-YT）",④退税核算!$I$4:$I$303,"&gt;0")=0,"",_xlfn.MINIFS(④退税核算!$J$4:$J$303,④退税核算!$A$4:$A$303,$A133,④退税核算!$D$4:$D$303,"未售-海外仓预退（HWC-YT）")))</f>
        <v/>
      </c>
      <c r="S133" s="35" t="str">
        <f aca="false">IF($A133="","",IF(COUNTIFS(④退税核算!$A$4:$A$303,$A133,④退税核算!$D$4:$D$303,"未售-海外仓预退（HWC-YT）")=0,"不涉及",IF(COUNTIFS(④退税核算!$A$4:$A$303,$A133,④退税核算!$S$4:$S$303,"已逾期*")&gt;0,"已逾期",IF(COUNTIFS(④退税核算!$A$4:$A$303,$A133,④退税核算!$S$4:$S$303,"临近*")&gt;0,"临近截止",IF(COUNTIFS(④退税核算!$A$4:$A$303,$A133,④退税核算!$S$4:$S$303,"待*")&gt;0,"待核算","已核算")))))</f>
        <v/>
      </c>
      <c r="T133" s="35" t="str">
        <f aca="false">IF($A133="","",IFERROR(INDEX(⑥单证留存!$P$4:$P$203,MATCH(①出口报关!B130,⑥单证留存!$A$4:$A$203,0)),"未登记"))</f>
        <v/>
      </c>
      <c r="U133" s="36" t="str">
        <f aca="false">IF($A133="","",IF(IF(OR(O133="超期未收汇",O133="超过收汇期限仍未销售")," 收汇超期","")&amp;IF(S133="已逾期"," 核算逾期","")&amp;IF(S133="临近截止"," 核算临近截止","")&amp;IF(LEFT(T133,1)="缺"," 单证"&amp;T133,"")&amp;IF(T133="未登记"," 单证未登记","")&amp;IF(AND(ISNUMBER(G133),N(G133)&lt;&gt;0)," 入仓差异"&amp;G133,"")="","正常",SUBSTITUTE(TRIM(IF(OR(O133="超期未收汇",O133="超过收汇期限仍未销售")," 收汇超期","")&amp;IF(S133="已逾期"," 核算逾期","")&amp;IF(S133="临近截止"," 核算临近截止","")&amp;IF(LEFT(T133,1)="缺"," 单证"&amp;T133,"")&amp;IF(T133="未登记"," 单证未登记","")&amp;IF(AND(ISNUMBER(G133),N(G133)&lt;&gt;0)," 入仓差异"&amp;G133,""))," ","、")))</f>
        <v/>
      </c>
    </row>
    <row r="134" customFormat="false" ht="21.75" hidden="false" customHeight="true" outlineLevel="0" collapsed="false">
      <c r="A134" s="29" t="str">
        <f aca="false">IF(①出口报关!A131="","",①出口报关!A131)</f>
        <v/>
      </c>
      <c r="B134" s="29" t="str">
        <f aca="false">IF($A134="","",①出口报关!I131)</f>
        <v/>
      </c>
      <c r="C134" s="29" t="str">
        <f aca="false">IF($A134="","",①出口报关!J131)</f>
        <v/>
      </c>
      <c r="D134" s="30" t="str">
        <f aca="false">IF($A134="","",IF(①出口报关!D131="","",①出口报关!D131))</f>
        <v/>
      </c>
      <c r="E134" s="31" t="str">
        <f aca="false">IF($A134="","",N(①出口报关!L131))</f>
        <v/>
      </c>
      <c r="F134" s="31" t="str">
        <f aca="false">IF($A134="","",IF(①出口报关!Y131="","未签收",①出口报关!Y131))</f>
        <v/>
      </c>
      <c r="G134" s="32" t="str">
        <f aca="false">IF(OR($A134="",NOT(ISNUMBER(F134))),"",F134-E134)</f>
        <v/>
      </c>
      <c r="H134" s="31" t="str">
        <f aca="false">IF($A134="","",SUMIFS(②销售核销!$I$4:$I$603,②销售核销!$E$4:$E$603,$A134))</f>
        <v/>
      </c>
      <c r="I134" s="31" t="str">
        <f aca="false">IF($A134="","",SUMIFS(⑤库存异常!$E$4:$E$203,⑤库存异常!$B$4:$B$203,$A134))</f>
        <v/>
      </c>
      <c r="J134" s="31" t="str">
        <f aca="false">IF($A134="","",IF(ISNUMBER(F134),F134,E134)-H134-I134)</f>
        <v/>
      </c>
      <c r="K134" s="33" t="str">
        <f aca="false">IF(OR($A134="",N(E134)=0),"",H134/E134)</f>
        <v/>
      </c>
      <c r="L134" s="34" t="str">
        <f aca="false">IF($A134="","",SUMIFS(②销售核销!$L$4:$L$603,②销售核销!$E$4:$E$603,$A134))</f>
        <v/>
      </c>
      <c r="M134" s="34" t="str">
        <f aca="false">IF($A134="","",SUMIFS(②销售核销!$L$4:$L$603,②销售核销!$E$4:$E$603,$A134,②销售核销!$M$4:$M$603,"已收汇"))</f>
        <v/>
      </c>
      <c r="N134" s="30" t="str">
        <f aca="false">IF(ISNUMBER(D134),DATE(YEAR(D134)+1,4,30),"")</f>
        <v/>
      </c>
      <c r="O134" s="35" t="str">
        <f aca="true">IF($A134="","",IF(N(H134)=0,IF(AND(ISNUMBER(N134),TODAY()&gt;N134),"超过收汇期限仍未销售","尚未销售"),IF(ROUND(M134,2)&gt;=ROUND(L134,2),"已售部分已收汇",IF(AND(ISNUMBER(N134),TODAY()&gt;N134),"超期未收汇","有回款待收汇"))))</f>
        <v/>
      </c>
      <c r="P134" s="34" t="str">
        <f aca="false">IF($A134="","",SUMIFS(④退税核算!$H$4:$H$303,④退税核算!$A$4:$A$303,$A134))</f>
        <v/>
      </c>
      <c r="Q134" s="34" t="str">
        <f aca="false">IF($A134="","",SUMIFS(④退税核算!$H$4:$H$303,④退税核算!$A$4:$A$303,$A134,④退税核算!$D$4:$D$303,"未售-海外仓预退（HWC-YT）"))</f>
        <v/>
      </c>
      <c r="R134" s="30" t="str">
        <f aca="false">IF($A134="","",IF(COUNTIFS(④退税核算!$A$4:$A$303,$A134,④退税核算!$D$4:$D$303,"未售-海外仓预退（HWC-YT）",④退税核算!$I$4:$I$303,"&gt;0")=0,"",_xlfn.MINIFS(④退税核算!$J$4:$J$303,④退税核算!$A$4:$A$303,$A134,④退税核算!$D$4:$D$303,"未售-海外仓预退（HWC-YT）")))</f>
        <v/>
      </c>
      <c r="S134" s="35" t="str">
        <f aca="false">IF($A134="","",IF(COUNTIFS(④退税核算!$A$4:$A$303,$A134,④退税核算!$D$4:$D$303,"未售-海外仓预退（HWC-YT）")=0,"不涉及",IF(COUNTIFS(④退税核算!$A$4:$A$303,$A134,④退税核算!$S$4:$S$303,"已逾期*")&gt;0,"已逾期",IF(COUNTIFS(④退税核算!$A$4:$A$303,$A134,④退税核算!$S$4:$S$303,"临近*")&gt;0,"临近截止",IF(COUNTIFS(④退税核算!$A$4:$A$303,$A134,④退税核算!$S$4:$S$303,"待*")&gt;0,"待核算","已核算")))))</f>
        <v/>
      </c>
      <c r="T134" s="35" t="str">
        <f aca="false">IF($A134="","",IFERROR(INDEX(⑥单证留存!$P$4:$P$203,MATCH(①出口报关!B131,⑥单证留存!$A$4:$A$203,0)),"未登记"))</f>
        <v/>
      </c>
      <c r="U134" s="36" t="str">
        <f aca="false">IF($A134="","",IF(IF(OR(O134="超期未收汇",O134="超过收汇期限仍未销售")," 收汇超期","")&amp;IF(S134="已逾期"," 核算逾期","")&amp;IF(S134="临近截止"," 核算临近截止","")&amp;IF(LEFT(T134,1)="缺"," 单证"&amp;T134,"")&amp;IF(T134="未登记"," 单证未登记","")&amp;IF(AND(ISNUMBER(G134),N(G134)&lt;&gt;0)," 入仓差异"&amp;G134,"")="","正常",SUBSTITUTE(TRIM(IF(OR(O134="超期未收汇",O134="超过收汇期限仍未销售")," 收汇超期","")&amp;IF(S134="已逾期"," 核算逾期","")&amp;IF(S134="临近截止"," 核算临近截止","")&amp;IF(LEFT(T134,1)="缺"," 单证"&amp;T134,"")&amp;IF(T134="未登记"," 单证未登记","")&amp;IF(AND(ISNUMBER(G134),N(G134)&lt;&gt;0)," 入仓差异"&amp;G134,""))," ","、")))</f>
        <v/>
      </c>
    </row>
    <row r="135" customFormat="false" ht="21.75" hidden="false" customHeight="true" outlineLevel="0" collapsed="false">
      <c r="A135" s="29" t="str">
        <f aca="false">IF(①出口报关!A132="","",①出口报关!A132)</f>
        <v/>
      </c>
      <c r="B135" s="29" t="str">
        <f aca="false">IF($A135="","",①出口报关!I132)</f>
        <v/>
      </c>
      <c r="C135" s="29" t="str">
        <f aca="false">IF($A135="","",①出口报关!J132)</f>
        <v/>
      </c>
      <c r="D135" s="30" t="str">
        <f aca="false">IF($A135="","",IF(①出口报关!D132="","",①出口报关!D132))</f>
        <v/>
      </c>
      <c r="E135" s="31" t="str">
        <f aca="false">IF($A135="","",N(①出口报关!L132))</f>
        <v/>
      </c>
      <c r="F135" s="31" t="str">
        <f aca="false">IF($A135="","",IF(①出口报关!Y132="","未签收",①出口报关!Y132))</f>
        <v/>
      </c>
      <c r="G135" s="32" t="str">
        <f aca="false">IF(OR($A135="",NOT(ISNUMBER(F135))),"",F135-E135)</f>
        <v/>
      </c>
      <c r="H135" s="31" t="str">
        <f aca="false">IF($A135="","",SUMIFS(②销售核销!$I$4:$I$603,②销售核销!$E$4:$E$603,$A135))</f>
        <v/>
      </c>
      <c r="I135" s="31" t="str">
        <f aca="false">IF($A135="","",SUMIFS(⑤库存异常!$E$4:$E$203,⑤库存异常!$B$4:$B$203,$A135))</f>
        <v/>
      </c>
      <c r="J135" s="31" t="str">
        <f aca="false">IF($A135="","",IF(ISNUMBER(F135),F135,E135)-H135-I135)</f>
        <v/>
      </c>
      <c r="K135" s="33" t="str">
        <f aca="false">IF(OR($A135="",N(E135)=0),"",H135/E135)</f>
        <v/>
      </c>
      <c r="L135" s="34" t="str">
        <f aca="false">IF($A135="","",SUMIFS(②销售核销!$L$4:$L$603,②销售核销!$E$4:$E$603,$A135))</f>
        <v/>
      </c>
      <c r="M135" s="34" t="str">
        <f aca="false">IF($A135="","",SUMIFS(②销售核销!$L$4:$L$603,②销售核销!$E$4:$E$603,$A135,②销售核销!$M$4:$M$603,"已收汇"))</f>
        <v/>
      </c>
      <c r="N135" s="30" t="str">
        <f aca="false">IF(ISNUMBER(D135),DATE(YEAR(D135)+1,4,30),"")</f>
        <v/>
      </c>
      <c r="O135" s="35" t="str">
        <f aca="true">IF($A135="","",IF(N(H135)=0,IF(AND(ISNUMBER(N135),TODAY()&gt;N135),"超过收汇期限仍未销售","尚未销售"),IF(ROUND(M135,2)&gt;=ROUND(L135,2),"已售部分已收汇",IF(AND(ISNUMBER(N135),TODAY()&gt;N135),"超期未收汇","有回款待收汇"))))</f>
        <v/>
      </c>
      <c r="P135" s="34" t="str">
        <f aca="false">IF($A135="","",SUMIFS(④退税核算!$H$4:$H$303,④退税核算!$A$4:$A$303,$A135))</f>
        <v/>
      </c>
      <c r="Q135" s="34" t="str">
        <f aca="false">IF($A135="","",SUMIFS(④退税核算!$H$4:$H$303,④退税核算!$A$4:$A$303,$A135,④退税核算!$D$4:$D$303,"未售-海外仓预退（HWC-YT）"))</f>
        <v/>
      </c>
      <c r="R135" s="30" t="str">
        <f aca="false">IF($A135="","",IF(COUNTIFS(④退税核算!$A$4:$A$303,$A135,④退税核算!$D$4:$D$303,"未售-海外仓预退（HWC-YT）",④退税核算!$I$4:$I$303,"&gt;0")=0,"",_xlfn.MINIFS(④退税核算!$J$4:$J$303,④退税核算!$A$4:$A$303,$A135,④退税核算!$D$4:$D$303,"未售-海外仓预退（HWC-YT）")))</f>
        <v/>
      </c>
      <c r="S135" s="35" t="str">
        <f aca="false">IF($A135="","",IF(COUNTIFS(④退税核算!$A$4:$A$303,$A135,④退税核算!$D$4:$D$303,"未售-海外仓预退（HWC-YT）")=0,"不涉及",IF(COUNTIFS(④退税核算!$A$4:$A$303,$A135,④退税核算!$S$4:$S$303,"已逾期*")&gt;0,"已逾期",IF(COUNTIFS(④退税核算!$A$4:$A$303,$A135,④退税核算!$S$4:$S$303,"临近*")&gt;0,"临近截止",IF(COUNTIFS(④退税核算!$A$4:$A$303,$A135,④退税核算!$S$4:$S$303,"待*")&gt;0,"待核算","已核算")))))</f>
        <v/>
      </c>
      <c r="T135" s="35" t="str">
        <f aca="false">IF($A135="","",IFERROR(INDEX(⑥单证留存!$P$4:$P$203,MATCH(①出口报关!B132,⑥单证留存!$A$4:$A$203,0)),"未登记"))</f>
        <v/>
      </c>
      <c r="U135" s="36" t="str">
        <f aca="false">IF($A135="","",IF(IF(OR(O135="超期未收汇",O135="超过收汇期限仍未销售")," 收汇超期","")&amp;IF(S135="已逾期"," 核算逾期","")&amp;IF(S135="临近截止"," 核算临近截止","")&amp;IF(LEFT(T135,1)="缺"," 单证"&amp;T135,"")&amp;IF(T135="未登记"," 单证未登记","")&amp;IF(AND(ISNUMBER(G135),N(G135)&lt;&gt;0)," 入仓差异"&amp;G135,"")="","正常",SUBSTITUTE(TRIM(IF(OR(O135="超期未收汇",O135="超过收汇期限仍未销售")," 收汇超期","")&amp;IF(S135="已逾期"," 核算逾期","")&amp;IF(S135="临近截止"," 核算临近截止","")&amp;IF(LEFT(T135,1)="缺"," 单证"&amp;T135,"")&amp;IF(T135="未登记"," 单证未登记","")&amp;IF(AND(ISNUMBER(G135),N(G135)&lt;&gt;0)," 入仓差异"&amp;G135,""))," ","、")))</f>
        <v/>
      </c>
    </row>
    <row r="136" customFormat="false" ht="21.75" hidden="false" customHeight="true" outlineLevel="0" collapsed="false">
      <c r="A136" s="29" t="str">
        <f aca="false">IF(①出口报关!A133="","",①出口报关!A133)</f>
        <v/>
      </c>
      <c r="B136" s="29" t="str">
        <f aca="false">IF($A136="","",①出口报关!I133)</f>
        <v/>
      </c>
      <c r="C136" s="29" t="str">
        <f aca="false">IF($A136="","",①出口报关!J133)</f>
        <v/>
      </c>
      <c r="D136" s="30" t="str">
        <f aca="false">IF($A136="","",IF(①出口报关!D133="","",①出口报关!D133))</f>
        <v/>
      </c>
      <c r="E136" s="31" t="str">
        <f aca="false">IF($A136="","",N(①出口报关!L133))</f>
        <v/>
      </c>
      <c r="F136" s="31" t="str">
        <f aca="false">IF($A136="","",IF(①出口报关!Y133="","未签收",①出口报关!Y133))</f>
        <v/>
      </c>
      <c r="G136" s="32" t="str">
        <f aca="false">IF(OR($A136="",NOT(ISNUMBER(F136))),"",F136-E136)</f>
        <v/>
      </c>
      <c r="H136" s="31" t="str">
        <f aca="false">IF($A136="","",SUMIFS(②销售核销!$I$4:$I$603,②销售核销!$E$4:$E$603,$A136))</f>
        <v/>
      </c>
      <c r="I136" s="31" t="str">
        <f aca="false">IF($A136="","",SUMIFS(⑤库存异常!$E$4:$E$203,⑤库存异常!$B$4:$B$203,$A136))</f>
        <v/>
      </c>
      <c r="J136" s="31" t="str">
        <f aca="false">IF($A136="","",IF(ISNUMBER(F136),F136,E136)-H136-I136)</f>
        <v/>
      </c>
      <c r="K136" s="33" t="str">
        <f aca="false">IF(OR($A136="",N(E136)=0),"",H136/E136)</f>
        <v/>
      </c>
      <c r="L136" s="34" t="str">
        <f aca="false">IF($A136="","",SUMIFS(②销售核销!$L$4:$L$603,②销售核销!$E$4:$E$603,$A136))</f>
        <v/>
      </c>
      <c r="M136" s="34" t="str">
        <f aca="false">IF($A136="","",SUMIFS(②销售核销!$L$4:$L$603,②销售核销!$E$4:$E$603,$A136,②销售核销!$M$4:$M$603,"已收汇"))</f>
        <v/>
      </c>
      <c r="N136" s="30" t="str">
        <f aca="false">IF(ISNUMBER(D136),DATE(YEAR(D136)+1,4,30),"")</f>
        <v/>
      </c>
      <c r="O136" s="35" t="str">
        <f aca="true">IF($A136="","",IF(N(H136)=0,IF(AND(ISNUMBER(N136),TODAY()&gt;N136),"超过收汇期限仍未销售","尚未销售"),IF(ROUND(M136,2)&gt;=ROUND(L136,2),"已售部分已收汇",IF(AND(ISNUMBER(N136),TODAY()&gt;N136),"超期未收汇","有回款待收汇"))))</f>
        <v/>
      </c>
      <c r="P136" s="34" t="str">
        <f aca="false">IF($A136="","",SUMIFS(④退税核算!$H$4:$H$303,④退税核算!$A$4:$A$303,$A136))</f>
        <v/>
      </c>
      <c r="Q136" s="34" t="str">
        <f aca="false">IF($A136="","",SUMIFS(④退税核算!$H$4:$H$303,④退税核算!$A$4:$A$303,$A136,④退税核算!$D$4:$D$303,"未售-海外仓预退（HWC-YT）"))</f>
        <v/>
      </c>
      <c r="R136" s="30" t="str">
        <f aca="false">IF($A136="","",IF(COUNTIFS(④退税核算!$A$4:$A$303,$A136,④退税核算!$D$4:$D$303,"未售-海外仓预退（HWC-YT）",④退税核算!$I$4:$I$303,"&gt;0")=0,"",_xlfn.MINIFS(④退税核算!$J$4:$J$303,④退税核算!$A$4:$A$303,$A136,④退税核算!$D$4:$D$303,"未售-海外仓预退（HWC-YT）")))</f>
        <v/>
      </c>
      <c r="S136" s="35" t="str">
        <f aca="false">IF($A136="","",IF(COUNTIFS(④退税核算!$A$4:$A$303,$A136,④退税核算!$D$4:$D$303,"未售-海外仓预退（HWC-YT）")=0,"不涉及",IF(COUNTIFS(④退税核算!$A$4:$A$303,$A136,④退税核算!$S$4:$S$303,"已逾期*")&gt;0,"已逾期",IF(COUNTIFS(④退税核算!$A$4:$A$303,$A136,④退税核算!$S$4:$S$303,"临近*")&gt;0,"临近截止",IF(COUNTIFS(④退税核算!$A$4:$A$303,$A136,④退税核算!$S$4:$S$303,"待*")&gt;0,"待核算","已核算")))))</f>
        <v/>
      </c>
      <c r="T136" s="35" t="str">
        <f aca="false">IF($A136="","",IFERROR(INDEX(⑥单证留存!$P$4:$P$203,MATCH(①出口报关!B133,⑥单证留存!$A$4:$A$203,0)),"未登记"))</f>
        <v/>
      </c>
      <c r="U136" s="36" t="str">
        <f aca="false">IF($A136="","",IF(IF(OR(O136="超期未收汇",O136="超过收汇期限仍未销售")," 收汇超期","")&amp;IF(S136="已逾期"," 核算逾期","")&amp;IF(S136="临近截止"," 核算临近截止","")&amp;IF(LEFT(T136,1)="缺"," 单证"&amp;T136,"")&amp;IF(T136="未登记"," 单证未登记","")&amp;IF(AND(ISNUMBER(G136),N(G136)&lt;&gt;0)," 入仓差异"&amp;G136,"")="","正常",SUBSTITUTE(TRIM(IF(OR(O136="超期未收汇",O136="超过收汇期限仍未销售")," 收汇超期","")&amp;IF(S136="已逾期"," 核算逾期","")&amp;IF(S136="临近截止"," 核算临近截止","")&amp;IF(LEFT(T136,1)="缺"," 单证"&amp;T136,"")&amp;IF(T136="未登记"," 单证未登记","")&amp;IF(AND(ISNUMBER(G136),N(G136)&lt;&gt;0)," 入仓差异"&amp;G136,""))," ","、")))</f>
        <v/>
      </c>
    </row>
    <row r="137" customFormat="false" ht="21.75" hidden="false" customHeight="true" outlineLevel="0" collapsed="false">
      <c r="A137" s="29" t="str">
        <f aca="false">IF(①出口报关!A134="","",①出口报关!A134)</f>
        <v/>
      </c>
      <c r="B137" s="29" t="str">
        <f aca="false">IF($A137="","",①出口报关!I134)</f>
        <v/>
      </c>
      <c r="C137" s="29" t="str">
        <f aca="false">IF($A137="","",①出口报关!J134)</f>
        <v/>
      </c>
      <c r="D137" s="30" t="str">
        <f aca="false">IF($A137="","",IF(①出口报关!D134="","",①出口报关!D134))</f>
        <v/>
      </c>
      <c r="E137" s="31" t="str">
        <f aca="false">IF($A137="","",N(①出口报关!L134))</f>
        <v/>
      </c>
      <c r="F137" s="31" t="str">
        <f aca="false">IF($A137="","",IF(①出口报关!Y134="","未签收",①出口报关!Y134))</f>
        <v/>
      </c>
      <c r="G137" s="32" t="str">
        <f aca="false">IF(OR($A137="",NOT(ISNUMBER(F137))),"",F137-E137)</f>
        <v/>
      </c>
      <c r="H137" s="31" t="str">
        <f aca="false">IF($A137="","",SUMIFS(②销售核销!$I$4:$I$603,②销售核销!$E$4:$E$603,$A137))</f>
        <v/>
      </c>
      <c r="I137" s="31" t="str">
        <f aca="false">IF($A137="","",SUMIFS(⑤库存异常!$E$4:$E$203,⑤库存异常!$B$4:$B$203,$A137))</f>
        <v/>
      </c>
      <c r="J137" s="31" t="str">
        <f aca="false">IF($A137="","",IF(ISNUMBER(F137),F137,E137)-H137-I137)</f>
        <v/>
      </c>
      <c r="K137" s="33" t="str">
        <f aca="false">IF(OR($A137="",N(E137)=0),"",H137/E137)</f>
        <v/>
      </c>
      <c r="L137" s="34" t="str">
        <f aca="false">IF($A137="","",SUMIFS(②销售核销!$L$4:$L$603,②销售核销!$E$4:$E$603,$A137))</f>
        <v/>
      </c>
      <c r="M137" s="34" t="str">
        <f aca="false">IF($A137="","",SUMIFS(②销售核销!$L$4:$L$603,②销售核销!$E$4:$E$603,$A137,②销售核销!$M$4:$M$603,"已收汇"))</f>
        <v/>
      </c>
      <c r="N137" s="30" t="str">
        <f aca="false">IF(ISNUMBER(D137),DATE(YEAR(D137)+1,4,30),"")</f>
        <v/>
      </c>
      <c r="O137" s="35" t="str">
        <f aca="true">IF($A137="","",IF(N(H137)=0,IF(AND(ISNUMBER(N137),TODAY()&gt;N137),"超过收汇期限仍未销售","尚未销售"),IF(ROUND(M137,2)&gt;=ROUND(L137,2),"已售部分已收汇",IF(AND(ISNUMBER(N137),TODAY()&gt;N137),"超期未收汇","有回款待收汇"))))</f>
        <v/>
      </c>
      <c r="P137" s="34" t="str">
        <f aca="false">IF($A137="","",SUMIFS(④退税核算!$H$4:$H$303,④退税核算!$A$4:$A$303,$A137))</f>
        <v/>
      </c>
      <c r="Q137" s="34" t="str">
        <f aca="false">IF($A137="","",SUMIFS(④退税核算!$H$4:$H$303,④退税核算!$A$4:$A$303,$A137,④退税核算!$D$4:$D$303,"未售-海外仓预退（HWC-YT）"))</f>
        <v/>
      </c>
      <c r="R137" s="30" t="str">
        <f aca="false">IF($A137="","",IF(COUNTIFS(④退税核算!$A$4:$A$303,$A137,④退税核算!$D$4:$D$303,"未售-海外仓预退（HWC-YT）",④退税核算!$I$4:$I$303,"&gt;0")=0,"",_xlfn.MINIFS(④退税核算!$J$4:$J$303,④退税核算!$A$4:$A$303,$A137,④退税核算!$D$4:$D$303,"未售-海外仓预退（HWC-YT）")))</f>
        <v/>
      </c>
      <c r="S137" s="35" t="str">
        <f aca="false">IF($A137="","",IF(COUNTIFS(④退税核算!$A$4:$A$303,$A137,④退税核算!$D$4:$D$303,"未售-海外仓预退（HWC-YT）")=0,"不涉及",IF(COUNTIFS(④退税核算!$A$4:$A$303,$A137,④退税核算!$S$4:$S$303,"已逾期*")&gt;0,"已逾期",IF(COUNTIFS(④退税核算!$A$4:$A$303,$A137,④退税核算!$S$4:$S$303,"临近*")&gt;0,"临近截止",IF(COUNTIFS(④退税核算!$A$4:$A$303,$A137,④退税核算!$S$4:$S$303,"待*")&gt;0,"待核算","已核算")))))</f>
        <v/>
      </c>
      <c r="T137" s="35" t="str">
        <f aca="false">IF($A137="","",IFERROR(INDEX(⑥单证留存!$P$4:$P$203,MATCH(①出口报关!B134,⑥单证留存!$A$4:$A$203,0)),"未登记"))</f>
        <v/>
      </c>
      <c r="U137" s="36" t="str">
        <f aca="false">IF($A137="","",IF(IF(OR(O137="超期未收汇",O137="超过收汇期限仍未销售")," 收汇超期","")&amp;IF(S137="已逾期"," 核算逾期","")&amp;IF(S137="临近截止"," 核算临近截止","")&amp;IF(LEFT(T137,1)="缺"," 单证"&amp;T137,"")&amp;IF(T137="未登记"," 单证未登记","")&amp;IF(AND(ISNUMBER(G137),N(G137)&lt;&gt;0)," 入仓差异"&amp;G137,"")="","正常",SUBSTITUTE(TRIM(IF(OR(O137="超期未收汇",O137="超过收汇期限仍未销售")," 收汇超期","")&amp;IF(S137="已逾期"," 核算逾期","")&amp;IF(S137="临近截止"," 核算临近截止","")&amp;IF(LEFT(T137,1)="缺"," 单证"&amp;T137,"")&amp;IF(T137="未登记"," 单证未登记","")&amp;IF(AND(ISNUMBER(G137),N(G137)&lt;&gt;0)," 入仓差异"&amp;G137,""))," ","、")))</f>
        <v/>
      </c>
    </row>
    <row r="138" customFormat="false" ht="21.75" hidden="false" customHeight="true" outlineLevel="0" collapsed="false">
      <c r="A138" s="29" t="str">
        <f aca="false">IF(①出口报关!A135="","",①出口报关!A135)</f>
        <v/>
      </c>
      <c r="B138" s="29" t="str">
        <f aca="false">IF($A138="","",①出口报关!I135)</f>
        <v/>
      </c>
      <c r="C138" s="29" t="str">
        <f aca="false">IF($A138="","",①出口报关!J135)</f>
        <v/>
      </c>
      <c r="D138" s="30" t="str">
        <f aca="false">IF($A138="","",IF(①出口报关!D135="","",①出口报关!D135))</f>
        <v/>
      </c>
      <c r="E138" s="31" t="str">
        <f aca="false">IF($A138="","",N(①出口报关!L135))</f>
        <v/>
      </c>
      <c r="F138" s="31" t="str">
        <f aca="false">IF($A138="","",IF(①出口报关!Y135="","未签收",①出口报关!Y135))</f>
        <v/>
      </c>
      <c r="G138" s="32" t="str">
        <f aca="false">IF(OR($A138="",NOT(ISNUMBER(F138))),"",F138-E138)</f>
        <v/>
      </c>
      <c r="H138" s="31" t="str">
        <f aca="false">IF($A138="","",SUMIFS(②销售核销!$I$4:$I$603,②销售核销!$E$4:$E$603,$A138))</f>
        <v/>
      </c>
      <c r="I138" s="31" t="str">
        <f aca="false">IF($A138="","",SUMIFS(⑤库存异常!$E$4:$E$203,⑤库存异常!$B$4:$B$203,$A138))</f>
        <v/>
      </c>
      <c r="J138" s="31" t="str">
        <f aca="false">IF($A138="","",IF(ISNUMBER(F138),F138,E138)-H138-I138)</f>
        <v/>
      </c>
      <c r="K138" s="33" t="str">
        <f aca="false">IF(OR($A138="",N(E138)=0),"",H138/E138)</f>
        <v/>
      </c>
      <c r="L138" s="34" t="str">
        <f aca="false">IF($A138="","",SUMIFS(②销售核销!$L$4:$L$603,②销售核销!$E$4:$E$603,$A138))</f>
        <v/>
      </c>
      <c r="M138" s="34" t="str">
        <f aca="false">IF($A138="","",SUMIFS(②销售核销!$L$4:$L$603,②销售核销!$E$4:$E$603,$A138,②销售核销!$M$4:$M$603,"已收汇"))</f>
        <v/>
      </c>
      <c r="N138" s="30" t="str">
        <f aca="false">IF(ISNUMBER(D138),DATE(YEAR(D138)+1,4,30),"")</f>
        <v/>
      </c>
      <c r="O138" s="35" t="str">
        <f aca="true">IF($A138="","",IF(N(H138)=0,IF(AND(ISNUMBER(N138),TODAY()&gt;N138),"超过收汇期限仍未销售","尚未销售"),IF(ROUND(M138,2)&gt;=ROUND(L138,2),"已售部分已收汇",IF(AND(ISNUMBER(N138),TODAY()&gt;N138),"超期未收汇","有回款待收汇"))))</f>
        <v/>
      </c>
      <c r="P138" s="34" t="str">
        <f aca="false">IF($A138="","",SUMIFS(④退税核算!$H$4:$H$303,④退税核算!$A$4:$A$303,$A138))</f>
        <v/>
      </c>
      <c r="Q138" s="34" t="str">
        <f aca="false">IF($A138="","",SUMIFS(④退税核算!$H$4:$H$303,④退税核算!$A$4:$A$303,$A138,④退税核算!$D$4:$D$303,"未售-海外仓预退（HWC-YT）"))</f>
        <v/>
      </c>
      <c r="R138" s="30" t="str">
        <f aca="false">IF($A138="","",IF(COUNTIFS(④退税核算!$A$4:$A$303,$A138,④退税核算!$D$4:$D$303,"未售-海外仓预退（HWC-YT）",④退税核算!$I$4:$I$303,"&gt;0")=0,"",_xlfn.MINIFS(④退税核算!$J$4:$J$303,④退税核算!$A$4:$A$303,$A138,④退税核算!$D$4:$D$303,"未售-海外仓预退（HWC-YT）")))</f>
        <v/>
      </c>
      <c r="S138" s="35" t="str">
        <f aca="false">IF($A138="","",IF(COUNTIFS(④退税核算!$A$4:$A$303,$A138,④退税核算!$D$4:$D$303,"未售-海外仓预退（HWC-YT）")=0,"不涉及",IF(COUNTIFS(④退税核算!$A$4:$A$303,$A138,④退税核算!$S$4:$S$303,"已逾期*")&gt;0,"已逾期",IF(COUNTIFS(④退税核算!$A$4:$A$303,$A138,④退税核算!$S$4:$S$303,"临近*")&gt;0,"临近截止",IF(COUNTIFS(④退税核算!$A$4:$A$303,$A138,④退税核算!$S$4:$S$303,"待*")&gt;0,"待核算","已核算")))))</f>
        <v/>
      </c>
      <c r="T138" s="35" t="str">
        <f aca="false">IF($A138="","",IFERROR(INDEX(⑥单证留存!$P$4:$P$203,MATCH(①出口报关!B135,⑥单证留存!$A$4:$A$203,0)),"未登记"))</f>
        <v/>
      </c>
      <c r="U138" s="36" t="str">
        <f aca="false">IF($A138="","",IF(IF(OR(O138="超期未收汇",O138="超过收汇期限仍未销售")," 收汇超期","")&amp;IF(S138="已逾期"," 核算逾期","")&amp;IF(S138="临近截止"," 核算临近截止","")&amp;IF(LEFT(T138,1)="缺"," 单证"&amp;T138,"")&amp;IF(T138="未登记"," 单证未登记","")&amp;IF(AND(ISNUMBER(G138),N(G138)&lt;&gt;0)," 入仓差异"&amp;G138,"")="","正常",SUBSTITUTE(TRIM(IF(OR(O138="超期未收汇",O138="超过收汇期限仍未销售")," 收汇超期","")&amp;IF(S138="已逾期"," 核算逾期","")&amp;IF(S138="临近截止"," 核算临近截止","")&amp;IF(LEFT(T138,1)="缺"," 单证"&amp;T138,"")&amp;IF(T138="未登记"," 单证未登记","")&amp;IF(AND(ISNUMBER(G138),N(G138)&lt;&gt;0)," 入仓差异"&amp;G138,""))," ","、")))</f>
        <v/>
      </c>
    </row>
    <row r="139" customFormat="false" ht="21.75" hidden="false" customHeight="true" outlineLevel="0" collapsed="false">
      <c r="A139" s="29" t="str">
        <f aca="false">IF(①出口报关!A136="","",①出口报关!A136)</f>
        <v/>
      </c>
      <c r="B139" s="29" t="str">
        <f aca="false">IF($A139="","",①出口报关!I136)</f>
        <v/>
      </c>
      <c r="C139" s="29" t="str">
        <f aca="false">IF($A139="","",①出口报关!J136)</f>
        <v/>
      </c>
      <c r="D139" s="30" t="str">
        <f aca="false">IF($A139="","",IF(①出口报关!D136="","",①出口报关!D136))</f>
        <v/>
      </c>
      <c r="E139" s="31" t="str">
        <f aca="false">IF($A139="","",N(①出口报关!L136))</f>
        <v/>
      </c>
      <c r="F139" s="31" t="str">
        <f aca="false">IF($A139="","",IF(①出口报关!Y136="","未签收",①出口报关!Y136))</f>
        <v/>
      </c>
      <c r="G139" s="32" t="str">
        <f aca="false">IF(OR($A139="",NOT(ISNUMBER(F139))),"",F139-E139)</f>
        <v/>
      </c>
      <c r="H139" s="31" t="str">
        <f aca="false">IF($A139="","",SUMIFS(②销售核销!$I$4:$I$603,②销售核销!$E$4:$E$603,$A139))</f>
        <v/>
      </c>
      <c r="I139" s="31" t="str">
        <f aca="false">IF($A139="","",SUMIFS(⑤库存异常!$E$4:$E$203,⑤库存异常!$B$4:$B$203,$A139))</f>
        <v/>
      </c>
      <c r="J139" s="31" t="str">
        <f aca="false">IF($A139="","",IF(ISNUMBER(F139),F139,E139)-H139-I139)</f>
        <v/>
      </c>
      <c r="K139" s="33" t="str">
        <f aca="false">IF(OR($A139="",N(E139)=0),"",H139/E139)</f>
        <v/>
      </c>
      <c r="L139" s="34" t="str">
        <f aca="false">IF($A139="","",SUMIFS(②销售核销!$L$4:$L$603,②销售核销!$E$4:$E$603,$A139))</f>
        <v/>
      </c>
      <c r="M139" s="34" t="str">
        <f aca="false">IF($A139="","",SUMIFS(②销售核销!$L$4:$L$603,②销售核销!$E$4:$E$603,$A139,②销售核销!$M$4:$M$603,"已收汇"))</f>
        <v/>
      </c>
      <c r="N139" s="30" t="str">
        <f aca="false">IF(ISNUMBER(D139),DATE(YEAR(D139)+1,4,30),"")</f>
        <v/>
      </c>
      <c r="O139" s="35" t="str">
        <f aca="true">IF($A139="","",IF(N(H139)=0,IF(AND(ISNUMBER(N139),TODAY()&gt;N139),"超过收汇期限仍未销售","尚未销售"),IF(ROUND(M139,2)&gt;=ROUND(L139,2),"已售部分已收汇",IF(AND(ISNUMBER(N139),TODAY()&gt;N139),"超期未收汇","有回款待收汇"))))</f>
        <v/>
      </c>
      <c r="P139" s="34" t="str">
        <f aca="false">IF($A139="","",SUMIFS(④退税核算!$H$4:$H$303,④退税核算!$A$4:$A$303,$A139))</f>
        <v/>
      </c>
      <c r="Q139" s="34" t="str">
        <f aca="false">IF($A139="","",SUMIFS(④退税核算!$H$4:$H$303,④退税核算!$A$4:$A$303,$A139,④退税核算!$D$4:$D$303,"未售-海外仓预退（HWC-YT）"))</f>
        <v/>
      </c>
      <c r="R139" s="30" t="str">
        <f aca="false">IF($A139="","",IF(COUNTIFS(④退税核算!$A$4:$A$303,$A139,④退税核算!$D$4:$D$303,"未售-海外仓预退（HWC-YT）",④退税核算!$I$4:$I$303,"&gt;0")=0,"",_xlfn.MINIFS(④退税核算!$J$4:$J$303,④退税核算!$A$4:$A$303,$A139,④退税核算!$D$4:$D$303,"未售-海外仓预退（HWC-YT）")))</f>
        <v/>
      </c>
      <c r="S139" s="35" t="str">
        <f aca="false">IF($A139="","",IF(COUNTIFS(④退税核算!$A$4:$A$303,$A139,④退税核算!$D$4:$D$303,"未售-海外仓预退（HWC-YT）")=0,"不涉及",IF(COUNTIFS(④退税核算!$A$4:$A$303,$A139,④退税核算!$S$4:$S$303,"已逾期*")&gt;0,"已逾期",IF(COUNTIFS(④退税核算!$A$4:$A$303,$A139,④退税核算!$S$4:$S$303,"临近*")&gt;0,"临近截止",IF(COUNTIFS(④退税核算!$A$4:$A$303,$A139,④退税核算!$S$4:$S$303,"待*")&gt;0,"待核算","已核算")))))</f>
        <v/>
      </c>
      <c r="T139" s="35" t="str">
        <f aca="false">IF($A139="","",IFERROR(INDEX(⑥单证留存!$P$4:$P$203,MATCH(①出口报关!B136,⑥单证留存!$A$4:$A$203,0)),"未登记"))</f>
        <v/>
      </c>
      <c r="U139" s="36" t="str">
        <f aca="false">IF($A139="","",IF(IF(OR(O139="超期未收汇",O139="超过收汇期限仍未销售")," 收汇超期","")&amp;IF(S139="已逾期"," 核算逾期","")&amp;IF(S139="临近截止"," 核算临近截止","")&amp;IF(LEFT(T139,1)="缺"," 单证"&amp;T139,"")&amp;IF(T139="未登记"," 单证未登记","")&amp;IF(AND(ISNUMBER(G139),N(G139)&lt;&gt;0)," 入仓差异"&amp;G139,"")="","正常",SUBSTITUTE(TRIM(IF(OR(O139="超期未收汇",O139="超过收汇期限仍未销售")," 收汇超期","")&amp;IF(S139="已逾期"," 核算逾期","")&amp;IF(S139="临近截止"," 核算临近截止","")&amp;IF(LEFT(T139,1)="缺"," 单证"&amp;T139,"")&amp;IF(T139="未登记"," 单证未登记","")&amp;IF(AND(ISNUMBER(G139),N(G139)&lt;&gt;0)," 入仓差异"&amp;G139,""))," ","、")))</f>
        <v/>
      </c>
    </row>
    <row r="140" customFormat="false" ht="21.75" hidden="false" customHeight="true" outlineLevel="0" collapsed="false">
      <c r="A140" s="29" t="str">
        <f aca="false">IF(①出口报关!A137="","",①出口报关!A137)</f>
        <v/>
      </c>
      <c r="B140" s="29" t="str">
        <f aca="false">IF($A140="","",①出口报关!I137)</f>
        <v/>
      </c>
      <c r="C140" s="29" t="str">
        <f aca="false">IF($A140="","",①出口报关!J137)</f>
        <v/>
      </c>
      <c r="D140" s="30" t="str">
        <f aca="false">IF($A140="","",IF(①出口报关!D137="","",①出口报关!D137))</f>
        <v/>
      </c>
      <c r="E140" s="31" t="str">
        <f aca="false">IF($A140="","",N(①出口报关!L137))</f>
        <v/>
      </c>
      <c r="F140" s="31" t="str">
        <f aca="false">IF($A140="","",IF(①出口报关!Y137="","未签收",①出口报关!Y137))</f>
        <v/>
      </c>
      <c r="G140" s="32" t="str">
        <f aca="false">IF(OR($A140="",NOT(ISNUMBER(F140))),"",F140-E140)</f>
        <v/>
      </c>
      <c r="H140" s="31" t="str">
        <f aca="false">IF($A140="","",SUMIFS(②销售核销!$I$4:$I$603,②销售核销!$E$4:$E$603,$A140))</f>
        <v/>
      </c>
      <c r="I140" s="31" t="str">
        <f aca="false">IF($A140="","",SUMIFS(⑤库存异常!$E$4:$E$203,⑤库存异常!$B$4:$B$203,$A140))</f>
        <v/>
      </c>
      <c r="J140" s="31" t="str">
        <f aca="false">IF($A140="","",IF(ISNUMBER(F140),F140,E140)-H140-I140)</f>
        <v/>
      </c>
      <c r="K140" s="33" t="str">
        <f aca="false">IF(OR($A140="",N(E140)=0),"",H140/E140)</f>
        <v/>
      </c>
      <c r="L140" s="34" t="str">
        <f aca="false">IF($A140="","",SUMIFS(②销售核销!$L$4:$L$603,②销售核销!$E$4:$E$603,$A140))</f>
        <v/>
      </c>
      <c r="M140" s="34" t="str">
        <f aca="false">IF($A140="","",SUMIFS(②销售核销!$L$4:$L$603,②销售核销!$E$4:$E$603,$A140,②销售核销!$M$4:$M$603,"已收汇"))</f>
        <v/>
      </c>
      <c r="N140" s="30" t="str">
        <f aca="false">IF(ISNUMBER(D140),DATE(YEAR(D140)+1,4,30),"")</f>
        <v/>
      </c>
      <c r="O140" s="35" t="str">
        <f aca="true">IF($A140="","",IF(N(H140)=0,IF(AND(ISNUMBER(N140),TODAY()&gt;N140),"超过收汇期限仍未销售","尚未销售"),IF(ROUND(M140,2)&gt;=ROUND(L140,2),"已售部分已收汇",IF(AND(ISNUMBER(N140),TODAY()&gt;N140),"超期未收汇","有回款待收汇"))))</f>
        <v/>
      </c>
      <c r="P140" s="34" t="str">
        <f aca="false">IF($A140="","",SUMIFS(④退税核算!$H$4:$H$303,④退税核算!$A$4:$A$303,$A140))</f>
        <v/>
      </c>
      <c r="Q140" s="34" t="str">
        <f aca="false">IF($A140="","",SUMIFS(④退税核算!$H$4:$H$303,④退税核算!$A$4:$A$303,$A140,④退税核算!$D$4:$D$303,"未售-海外仓预退（HWC-YT）"))</f>
        <v/>
      </c>
      <c r="R140" s="30" t="str">
        <f aca="false">IF($A140="","",IF(COUNTIFS(④退税核算!$A$4:$A$303,$A140,④退税核算!$D$4:$D$303,"未售-海外仓预退（HWC-YT）",④退税核算!$I$4:$I$303,"&gt;0")=0,"",_xlfn.MINIFS(④退税核算!$J$4:$J$303,④退税核算!$A$4:$A$303,$A140,④退税核算!$D$4:$D$303,"未售-海外仓预退（HWC-YT）")))</f>
        <v/>
      </c>
      <c r="S140" s="35" t="str">
        <f aca="false">IF($A140="","",IF(COUNTIFS(④退税核算!$A$4:$A$303,$A140,④退税核算!$D$4:$D$303,"未售-海外仓预退（HWC-YT）")=0,"不涉及",IF(COUNTIFS(④退税核算!$A$4:$A$303,$A140,④退税核算!$S$4:$S$303,"已逾期*")&gt;0,"已逾期",IF(COUNTIFS(④退税核算!$A$4:$A$303,$A140,④退税核算!$S$4:$S$303,"临近*")&gt;0,"临近截止",IF(COUNTIFS(④退税核算!$A$4:$A$303,$A140,④退税核算!$S$4:$S$303,"待*")&gt;0,"待核算","已核算")))))</f>
        <v/>
      </c>
      <c r="T140" s="35" t="str">
        <f aca="false">IF($A140="","",IFERROR(INDEX(⑥单证留存!$P$4:$P$203,MATCH(①出口报关!B137,⑥单证留存!$A$4:$A$203,0)),"未登记"))</f>
        <v/>
      </c>
      <c r="U140" s="36" t="str">
        <f aca="false">IF($A140="","",IF(IF(OR(O140="超期未收汇",O140="超过收汇期限仍未销售")," 收汇超期","")&amp;IF(S140="已逾期"," 核算逾期","")&amp;IF(S140="临近截止"," 核算临近截止","")&amp;IF(LEFT(T140,1)="缺"," 单证"&amp;T140,"")&amp;IF(T140="未登记"," 单证未登记","")&amp;IF(AND(ISNUMBER(G140),N(G140)&lt;&gt;0)," 入仓差异"&amp;G140,"")="","正常",SUBSTITUTE(TRIM(IF(OR(O140="超期未收汇",O140="超过收汇期限仍未销售")," 收汇超期","")&amp;IF(S140="已逾期"," 核算逾期","")&amp;IF(S140="临近截止"," 核算临近截止","")&amp;IF(LEFT(T140,1)="缺"," 单证"&amp;T140,"")&amp;IF(T140="未登记"," 单证未登记","")&amp;IF(AND(ISNUMBER(G140),N(G140)&lt;&gt;0)," 入仓差异"&amp;G140,""))," ","、")))</f>
        <v/>
      </c>
    </row>
    <row r="141" customFormat="false" ht="21.75" hidden="false" customHeight="true" outlineLevel="0" collapsed="false">
      <c r="A141" s="29" t="str">
        <f aca="false">IF(①出口报关!A138="","",①出口报关!A138)</f>
        <v/>
      </c>
      <c r="B141" s="29" t="str">
        <f aca="false">IF($A141="","",①出口报关!I138)</f>
        <v/>
      </c>
      <c r="C141" s="29" t="str">
        <f aca="false">IF($A141="","",①出口报关!J138)</f>
        <v/>
      </c>
      <c r="D141" s="30" t="str">
        <f aca="false">IF($A141="","",IF(①出口报关!D138="","",①出口报关!D138))</f>
        <v/>
      </c>
      <c r="E141" s="31" t="str">
        <f aca="false">IF($A141="","",N(①出口报关!L138))</f>
        <v/>
      </c>
      <c r="F141" s="31" t="str">
        <f aca="false">IF($A141="","",IF(①出口报关!Y138="","未签收",①出口报关!Y138))</f>
        <v/>
      </c>
      <c r="G141" s="32" t="str">
        <f aca="false">IF(OR($A141="",NOT(ISNUMBER(F141))),"",F141-E141)</f>
        <v/>
      </c>
      <c r="H141" s="31" t="str">
        <f aca="false">IF($A141="","",SUMIFS(②销售核销!$I$4:$I$603,②销售核销!$E$4:$E$603,$A141))</f>
        <v/>
      </c>
      <c r="I141" s="31" t="str">
        <f aca="false">IF($A141="","",SUMIFS(⑤库存异常!$E$4:$E$203,⑤库存异常!$B$4:$B$203,$A141))</f>
        <v/>
      </c>
      <c r="J141" s="31" t="str">
        <f aca="false">IF($A141="","",IF(ISNUMBER(F141),F141,E141)-H141-I141)</f>
        <v/>
      </c>
      <c r="K141" s="33" t="str">
        <f aca="false">IF(OR($A141="",N(E141)=0),"",H141/E141)</f>
        <v/>
      </c>
      <c r="L141" s="34" t="str">
        <f aca="false">IF($A141="","",SUMIFS(②销售核销!$L$4:$L$603,②销售核销!$E$4:$E$603,$A141))</f>
        <v/>
      </c>
      <c r="M141" s="34" t="str">
        <f aca="false">IF($A141="","",SUMIFS(②销售核销!$L$4:$L$603,②销售核销!$E$4:$E$603,$A141,②销售核销!$M$4:$M$603,"已收汇"))</f>
        <v/>
      </c>
      <c r="N141" s="30" t="str">
        <f aca="false">IF(ISNUMBER(D141),DATE(YEAR(D141)+1,4,30),"")</f>
        <v/>
      </c>
      <c r="O141" s="35" t="str">
        <f aca="true">IF($A141="","",IF(N(H141)=0,IF(AND(ISNUMBER(N141),TODAY()&gt;N141),"超过收汇期限仍未销售","尚未销售"),IF(ROUND(M141,2)&gt;=ROUND(L141,2),"已售部分已收汇",IF(AND(ISNUMBER(N141),TODAY()&gt;N141),"超期未收汇","有回款待收汇"))))</f>
        <v/>
      </c>
      <c r="P141" s="34" t="str">
        <f aca="false">IF($A141="","",SUMIFS(④退税核算!$H$4:$H$303,④退税核算!$A$4:$A$303,$A141))</f>
        <v/>
      </c>
      <c r="Q141" s="34" t="str">
        <f aca="false">IF($A141="","",SUMIFS(④退税核算!$H$4:$H$303,④退税核算!$A$4:$A$303,$A141,④退税核算!$D$4:$D$303,"未售-海外仓预退（HWC-YT）"))</f>
        <v/>
      </c>
      <c r="R141" s="30" t="str">
        <f aca="false">IF($A141="","",IF(COUNTIFS(④退税核算!$A$4:$A$303,$A141,④退税核算!$D$4:$D$303,"未售-海外仓预退（HWC-YT）",④退税核算!$I$4:$I$303,"&gt;0")=0,"",_xlfn.MINIFS(④退税核算!$J$4:$J$303,④退税核算!$A$4:$A$303,$A141,④退税核算!$D$4:$D$303,"未售-海外仓预退（HWC-YT）")))</f>
        <v/>
      </c>
      <c r="S141" s="35" t="str">
        <f aca="false">IF($A141="","",IF(COUNTIFS(④退税核算!$A$4:$A$303,$A141,④退税核算!$D$4:$D$303,"未售-海外仓预退（HWC-YT）")=0,"不涉及",IF(COUNTIFS(④退税核算!$A$4:$A$303,$A141,④退税核算!$S$4:$S$303,"已逾期*")&gt;0,"已逾期",IF(COUNTIFS(④退税核算!$A$4:$A$303,$A141,④退税核算!$S$4:$S$303,"临近*")&gt;0,"临近截止",IF(COUNTIFS(④退税核算!$A$4:$A$303,$A141,④退税核算!$S$4:$S$303,"待*")&gt;0,"待核算","已核算")))))</f>
        <v/>
      </c>
      <c r="T141" s="35" t="str">
        <f aca="false">IF($A141="","",IFERROR(INDEX(⑥单证留存!$P$4:$P$203,MATCH(①出口报关!B138,⑥单证留存!$A$4:$A$203,0)),"未登记"))</f>
        <v/>
      </c>
      <c r="U141" s="36" t="str">
        <f aca="false">IF($A141="","",IF(IF(OR(O141="超期未收汇",O141="超过收汇期限仍未销售")," 收汇超期","")&amp;IF(S141="已逾期"," 核算逾期","")&amp;IF(S141="临近截止"," 核算临近截止","")&amp;IF(LEFT(T141,1)="缺"," 单证"&amp;T141,"")&amp;IF(T141="未登记"," 单证未登记","")&amp;IF(AND(ISNUMBER(G141),N(G141)&lt;&gt;0)," 入仓差异"&amp;G141,"")="","正常",SUBSTITUTE(TRIM(IF(OR(O141="超期未收汇",O141="超过收汇期限仍未销售")," 收汇超期","")&amp;IF(S141="已逾期"," 核算逾期","")&amp;IF(S141="临近截止"," 核算临近截止","")&amp;IF(LEFT(T141,1)="缺"," 单证"&amp;T141,"")&amp;IF(T141="未登记"," 单证未登记","")&amp;IF(AND(ISNUMBER(G141),N(G141)&lt;&gt;0)," 入仓差异"&amp;G141,""))," ","、")))</f>
        <v/>
      </c>
    </row>
    <row r="142" customFormat="false" ht="21.75" hidden="false" customHeight="true" outlineLevel="0" collapsed="false">
      <c r="A142" s="29" t="str">
        <f aca="false">IF(①出口报关!A139="","",①出口报关!A139)</f>
        <v/>
      </c>
      <c r="B142" s="29" t="str">
        <f aca="false">IF($A142="","",①出口报关!I139)</f>
        <v/>
      </c>
      <c r="C142" s="29" t="str">
        <f aca="false">IF($A142="","",①出口报关!J139)</f>
        <v/>
      </c>
      <c r="D142" s="30" t="str">
        <f aca="false">IF($A142="","",IF(①出口报关!D139="","",①出口报关!D139))</f>
        <v/>
      </c>
      <c r="E142" s="31" t="str">
        <f aca="false">IF($A142="","",N(①出口报关!L139))</f>
        <v/>
      </c>
      <c r="F142" s="31" t="str">
        <f aca="false">IF($A142="","",IF(①出口报关!Y139="","未签收",①出口报关!Y139))</f>
        <v/>
      </c>
      <c r="G142" s="32" t="str">
        <f aca="false">IF(OR($A142="",NOT(ISNUMBER(F142))),"",F142-E142)</f>
        <v/>
      </c>
      <c r="H142" s="31" t="str">
        <f aca="false">IF($A142="","",SUMIFS(②销售核销!$I$4:$I$603,②销售核销!$E$4:$E$603,$A142))</f>
        <v/>
      </c>
      <c r="I142" s="31" t="str">
        <f aca="false">IF($A142="","",SUMIFS(⑤库存异常!$E$4:$E$203,⑤库存异常!$B$4:$B$203,$A142))</f>
        <v/>
      </c>
      <c r="J142" s="31" t="str">
        <f aca="false">IF($A142="","",IF(ISNUMBER(F142),F142,E142)-H142-I142)</f>
        <v/>
      </c>
      <c r="K142" s="33" t="str">
        <f aca="false">IF(OR($A142="",N(E142)=0),"",H142/E142)</f>
        <v/>
      </c>
      <c r="L142" s="34" t="str">
        <f aca="false">IF($A142="","",SUMIFS(②销售核销!$L$4:$L$603,②销售核销!$E$4:$E$603,$A142))</f>
        <v/>
      </c>
      <c r="M142" s="34" t="str">
        <f aca="false">IF($A142="","",SUMIFS(②销售核销!$L$4:$L$603,②销售核销!$E$4:$E$603,$A142,②销售核销!$M$4:$M$603,"已收汇"))</f>
        <v/>
      </c>
      <c r="N142" s="30" t="str">
        <f aca="false">IF(ISNUMBER(D142),DATE(YEAR(D142)+1,4,30),"")</f>
        <v/>
      </c>
      <c r="O142" s="35" t="str">
        <f aca="true">IF($A142="","",IF(N(H142)=0,IF(AND(ISNUMBER(N142),TODAY()&gt;N142),"超过收汇期限仍未销售","尚未销售"),IF(ROUND(M142,2)&gt;=ROUND(L142,2),"已售部分已收汇",IF(AND(ISNUMBER(N142),TODAY()&gt;N142),"超期未收汇","有回款待收汇"))))</f>
        <v/>
      </c>
      <c r="P142" s="34" t="str">
        <f aca="false">IF($A142="","",SUMIFS(④退税核算!$H$4:$H$303,④退税核算!$A$4:$A$303,$A142))</f>
        <v/>
      </c>
      <c r="Q142" s="34" t="str">
        <f aca="false">IF($A142="","",SUMIFS(④退税核算!$H$4:$H$303,④退税核算!$A$4:$A$303,$A142,④退税核算!$D$4:$D$303,"未售-海外仓预退（HWC-YT）"))</f>
        <v/>
      </c>
      <c r="R142" s="30" t="str">
        <f aca="false">IF($A142="","",IF(COUNTIFS(④退税核算!$A$4:$A$303,$A142,④退税核算!$D$4:$D$303,"未售-海外仓预退（HWC-YT）",④退税核算!$I$4:$I$303,"&gt;0")=0,"",_xlfn.MINIFS(④退税核算!$J$4:$J$303,④退税核算!$A$4:$A$303,$A142,④退税核算!$D$4:$D$303,"未售-海外仓预退（HWC-YT）")))</f>
        <v/>
      </c>
      <c r="S142" s="35" t="str">
        <f aca="false">IF($A142="","",IF(COUNTIFS(④退税核算!$A$4:$A$303,$A142,④退税核算!$D$4:$D$303,"未售-海外仓预退（HWC-YT）")=0,"不涉及",IF(COUNTIFS(④退税核算!$A$4:$A$303,$A142,④退税核算!$S$4:$S$303,"已逾期*")&gt;0,"已逾期",IF(COUNTIFS(④退税核算!$A$4:$A$303,$A142,④退税核算!$S$4:$S$303,"临近*")&gt;0,"临近截止",IF(COUNTIFS(④退税核算!$A$4:$A$303,$A142,④退税核算!$S$4:$S$303,"待*")&gt;0,"待核算","已核算")))))</f>
        <v/>
      </c>
      <c r="T142" s="35" t="str">
        <f aca="false">IF($A142="","",IFERROR(INDEX(⑥单证留存!$P$4:$P$203,MATCH(①出口报关!B139,⑥单证留存!$A$4:$A$203,0)),"未登记"))</f>
        <v/>
      </c>
      <c r="U142" s="36" t="str">
        <f aca="false">IF($A142="","",IF(IF(OR(O142="超期未收汇",O142="超过收汇期限仍未销售")," 收汇超期","")&amp;IF(S142="已逾期"," 核算逾期","")&amp;IF(S142="临近截止"," 核算临近截止","")&amp;IF(LEFT(T142,1)="缺"," 单证"&amp;T142,"")&amp;IF(T142="未登记"," 单证未登记","")&amp;IF(AND(ISNUMBER(G142),N(G142)&lt;&gt;0)," 入仓差异"&amp;G142,"")="","正常",SUBSTITUTE(TRIM(IF(OR(O142="超期未收汇",O142="超过收汇期限仍未销售")," 收汇超期","")&amp;IF(S142="已逾期"," 核算逾期","")&amp;IF(S142="临近截止"," 核算临近截止","")&amp;IF(LEFT(T142,1)="缺"," 单证"&amp;T142,"")&amp;IF(T142="未登记"," 单证未登记","")&amp;IF(AND(ISNUMBER(G142),N(G142)&lt;&gt;0)," 入仓差异"&amp;G142,""))," ","、")))</f>
        <v/>
      </c>
    </row>
    <row r="143" customFormat="false" ht="21.75" hidden="false" customHeight="true" outlineLevel="0" collapsed="false">
      <c r="A143" s="29" t="str">
        <f aca="false">IF(①出口报关!A140="","",①出口报关!A140)</f>
        <v/>
      </c>
      <c r="B143" s="29" t="str">
        <f aca="false">IF($A143="","",①出口报关!I140)</f>
        <v/>
      </c>
      <c r="C143" s="29" t="str">
        <f aca="false">IF($A143="","",①出口报关!J140)</f>
        <v/>
      </c>
      <c r="D143" s="30" t="str">
        <f aca="false">IF($A143="","",IF(①出口报关!D140="","",①出口报关!D140))</f>
        <v/>
      </c>
      <c r="E143" s="31" t="str">
        <f aca="false">IF($A143="","",N(①出口报关!L140))</f>
        <v/>
      </c>
      <c r="F143" s="31" t="str">
        <f aca="false">IF($A143="","",IF(①出口报关!Y140="","未签收",①出口报关!Y140))</f>
        <v/>
      </c>
      <c r="G143" s="32" t="str">
        <f aca="false">IF(OR($A143="",NOT(ISNUMBER(F143))),"",F143-E143)</f>
        <v/>
      </c>
      <c r="H143" s="31" t="str">
        <f aca="false">IF($A143="","",SUMIFS(②销售核销!$I$4:$I$603,②销售核销!$E$4:$E$603,$A143))</f>
        <v/>
      </c>
      <c r="I143" s="31" t="str">
        <f aca="false">IF($A143="","",SUMIFS(⑤库存异常!$E$4:$E$203,⑤库存异常!$B$4:$B$203,$A143))</f>
        <v/>
      </c>
      <c r="J143" s="31" t="str">
        <f aca="false">IF($A143="","",IF(ISNUMBER(F143),F143,E143)-H143-I143)</f>
        <v/>
      </c>
      <c r="K143" s="33" t="str">
        <f aca="false">IF(OR($A143="",N(E143)=0),"",H143/E143)</f>
        <v/>
      </c>
      <c r="L143" s="34" t="str">
        <f aca="false">IF($A143="","",SUMIFS(②销售核销!$L$4:$L$603,②销售核销!$E$4:$E$603,$A143))</f>
        <v/>
      </c>
      <c r="M143" s="34" t="str">
        <f aca="false">IF($A143="","",SUMIFS(②销售核销!$L$4:$L$603,②销售核销!$E$4:$E$603,$A143,②销售核销!$M$4:$M$603,"已收汇"))</f>
        <v/>
      </c>
      <c r="N143" s="30" t="str">
        <f aca="false">IF(ISNUMBER(D143),DATE(YEAR(D143)+1,4,30),"")</f>
        <v/>
      </c>
      <c r="O143" s="35" t="str">
        <f aca="true">IF($A143="","",IF(N(H143)=0,IF(AND(ISNUMBER(N143),TODAY()&gt;N143),"超过收汇期限仍未销售","尚未销售"),IF(ROUND(M143,2)&gt;=ROUND(L143,2),"已售部分已收汇",IF(AND(ISNUMBER(N143),TODAY()&gt;N143),"超期未收汇","有回款待收汇"))))</f>
        <v/>
      </c>
      <c r="P143" s="34" t="str">
        <f aca="false">IF($A143="","",SUMIFS(④退税核算!$H$4:$H$303,④退税核算!$A$4:$A$303,$A143))</f>
        <v/>
      </c>
      <c r="Q143" s="34" t="str">
        <f aca="false">IF($A143="","",SUMIFS(④退税核算!$H$4:$H$303,④退税核算!$A$4:$A$303,$A143,④退税核算!$D$4:$D$303,"未售-海外仓预退（HWC-YT）"))</f>
        <v/>
      </c>
      <c r="R143" s="30" t="str">
        <f aca="false">IF($A143="","",IF(COUNTIFS(④退税核算!$A$4:$A$303,$A143,④退税核算!$D$4:$D$303,"未售-海外仓预退（HWC-YT）",④退税核算!$I$4:$I$303,"&gt;0")=0,"",_xlfn.MINIFS(④退税核算!$J$4:$J$303,④退税核算!$A$4:$A$303,$A143,④退税核算!$D$4:$D$303,"未售-海外仓预退（HWC-YT）")))</f>
        <v/>
      </c>
      <c r="S143" s="35" t="str">
        <f aca="false">IF($A143="","",IF(COUNTIFS(④退税核算!$A$4:$A$303,$A143,④退税核算!$D$4:$D$303,"未售-海外仓预退（HWC-YT）")=0,"不涉及",IF(COUNTIFS(④退税核算!$A$4:$A$303,$A143,④退税核算!$S$4:$S$303,"已逾期*")&gt;0,"已逾期",IF(COUNTIFS(④退税核算!$A$4:$A$303,$A143,④退税核算!$S$4:$S$303,"临近*")&gt;0,"临近截止",IF(COUNTIFS(④退税核算!$A$4:$A$303,$A143,④退税核算!$S$4:$S$303,"待*")&gt;0,"待核算","已核算")))))</f>
        <v/>
      </c>
      <c r="T143" s="35" t="str">
        <f aca="false">IF($A143="","",IFERROR(INDEX(⑥单证留存!$P$4:$P$203,MATCH(①出口报关!B140,⑥单证留存!$A$4:$A$203,0)),"未登记"))</f>
        <v/>
      </c>
      <c r="U143" s="36" t="str">
        <f aca="false">IF($A143="","",IF(IF(OR(O143="超期未收汇",O143="超过收汇期限仍未销售")," 收汇超期","")&amp;IF(S143="已逾期"," 核算逾期","")&amp;IF(S143="临近截止"," 核算临近截止","")&amp;IF(LEFT(T143,1)="缺"," 单证"&amp;T143,"")&amp;IF(T143="未登记"," 单证未登记","")&amp;IF(AND(ISNUMBER(G143),N(G143)&lt;&gt;0)," 入仓差异"&amp;G143,"")="","正常",SUBSTITUTE(TRIM(IF(OR(O143="超期未收汇",O143="超过收汇期限仍未销售")," 收汇超期","")&amp;IF(S143="已逾期"," 核算逾期","")&amp;IF(S143="临近截止"," 核算临近截止","")&amp;IF(LEFT(T143,1)="缺"," 单证"&amp;T143,"")&amp;IF(T143="未登记"," 单证未登记","")&amp;IF(AND(ISNUMBER(G143),N(G143)&lt;&gt;0)," 入仓差异"&amp;G143,""))," ","、")))</f>
        <v/>
      </c>
    </row>
    <row r="144" customFormat="false" ht="21.75" hidden="false" customHeight="true" outlineLevel="0" collapsed="false">
      <c r="A144" s="29" t="str">
        <f aca="false">IF(①出口报关!A141="","",①出口报关!A141)</f>
        <v/>
      </c>
      <c r="B144" s="29" t="str">
        <f aca="false">IF($A144="","",①出口报关!I141)</f>
        <v/>
      </c>
      <c r="C144" s="29" t="str">
        <f aca="false">IF($A144="","",①出口报关!J141)</f>
        <v/>
      </c>
      <c r="D144" s="30" t="str">
        <f aca="false">IF($A144="","",IF(①出口报关!D141="","",①出口报关!D141))</f>
        <v/>
      </c>
      <c r="E144" s="31" t="str">
        <f aca="false">IF($A144="","",N(①出口报关!L141))</f>
        <v/>
      </c>
      <c r="F144" s="31" t="str">
        <f aca="false">IF($A144="","",IF(①出口报关!Y141="","未签收",①出口报关!Y141))</f>
        <v/>
      </c>
      <c r="G144" s="32" t="str">
        <f aca="false">IF(OR($A144="",NOT(ISNUMBER(F144))),"",F144-E144)</f>
        <v/>
      </c>
      <c r="H144" s="31" t="str">
        <f aca="false">IF($A144="","",SUMIFS(②销售核销!$I$4:$I$603,②销售核销!$E$4:$E$603,$A144))</f>
        <v/>
      </c>
      <c r="I144" s="31" t="str">
        <f aca="false">IF($A144="","",SUMIFS(⑤库存异常!$E$4:$E$203,⑤库存异常!$B$4:$B$203,$A144))</f>
        <v/>
      </c>
      <c r="J144" s="31" t="str">
        <f aca="false">IF($A144="","",IF(ISNUMBER(F144),F144,E144)-H144-I144)</f>
        <v/>
      </c>
      <c r="K144" s="33" t="str">
        <f aca="false">IF(OR($A144="",N(E144)=0),"",H144/E144)</f>
        <v/>
      </c>
      <c r="L144" s="34" t="str">
        <f aca="false">IF($A144="","",SUMIFS(②销售核销!$L$4:$L$603,②销售核销!$E$4:$E$603,$A144))</f>
        <v/>
      </c>
      <c r="M144" s="34" t="str">
        <f aca="false">IF($A144="","",SUMIFS(②销售核销!$L$4:$L$603,②销售核销!$E$4:$E$603,$A144,②销售核销!$M$4:$M$603,"已收汇"))</f>
        <v/>
      </c>
      <c r="N144" s="30" t="str">
        <f aca="false">IF(ISNUMBER(D144),DATE(YEAR(D144)+1,4,30),"")</f>
        <v/>
      </c>
      <c r="O144" s="35" t="str">
        <f aca="true">IF($A144="","",IF(N(H144)=0,IF(AND(ISNUMBER(N144),TODAY()&gt;N144),"超过收汇期限仍未销售","尚未销售"),IF(ROUND(M144,2)&gt;=ROUND(L144,2),"已售部分已收汇",IF(AND(ISNUMBER(N144),TODAY()&gt;N144),"超期未收汇","有回款待收汇"))))</f>
        <v/>
      </c>
      <c r="P144" s="34" t="str">
        <f aca="false">IF($A144="","",SUMIFS(④退税核算!$H$4:$H$303,④退税核算!$A$4:$A$303,$A144))</f>
        <v/>
      </c>
      <c r="Q144" s="34" t="str">
        <f aca="false">IF($A144="","",SUMIFS(④退税核算!$H$4:$H$303,④退税核算!$A$4:$A$303,$A144,④退税核算!$D$4:$D$303,"未售-海外仓预退（HWC-YT）"))</f>
        <v/>
      </c>
      <c r="R144" s="30" t="str">
        <f aca="false">IF($A144="","",IF(COUNTIFS(④退税核算!$A$4:$A$303,$A144,④退税核算!$D$4:$D$303,"未售-海外仓预退（HWC-YT）",④退税核算!$I$4:$I$303,"&gt;0")=0,"",_xlfn.MINIFS(④退税核算!$J$4:$J$303,④退税核算!$A$4:$A$303,$A144,④退税核算!$D$4:$D$303,"未售-海外仓预退（HWC-YT）")))</f>
        <v/>
      </c>
      <c r="S144" s="35" t="str">
        <f aca="false">IF($A144="","",IF(COUNTIFS(④退税核算!$A$4:$A$303,$A144,④退税核算!$D$4:$D$303,"未售-海外仓预退（HWC-YT）")=0,"不涉及",IF(COUNTIFS(④退税核算!$A$4:$A$303,$A144,④退税核算!$S$4:$S$303,"已逾期*")&gt;0,"已逾期",IF(COUNTIFS(④退税核算!$A$4:$A$303,$A144,④退税核算!$S$4:$S$303,"临近*")&gt;0,"临近截止",IF(COUNTIFS(④退税核算!$A$4:$A$303,$A144,④退税核算!$S$4:$S$303,"待*")&gt;0,"待核算","已核算")))))</f>
        <v/>
      </c>
      <c r="T144" s="35" t="str">
        <f aca="false">IF($A144="","",IFERROR(INDEX(⑥单证留存!$P$4:$P$203,MATCH(①出口报关!B141,⑥单证留存!$A$4:$A$203,0)),"未登记"))</f>
        <v/>
      </c>
      <c r="U144" s="36" t="str">
        <f aca="false">IF($A144="","",IF(IF(OR(O144="超期未收汇",O144="超过收汇期限仍未销售")," 收汇超期","")&amp;IF(S144="已逾期"," 核算逾期","")&amp;IF(S144="临近截止"," 核算临近截止","")&amp;IF(LEFT(T144,1)="缺"," 单证"&amp;T144,"")&amp;IF(T144="未登记"," 单证未登记","")&amp;IF(AND(ISNUMBER(G144),N(G144)&lt;&gt;0)," 入仓差异"&amp;G144,"")="","正常",SUBSTITUTE(TRIM(IF(OR(O144="超期未收汇",O144="超过收汇期限仍未销售")," 收汇超期","")&amp;IF(S144="已逾期"," 核算逾期","")&amp;IF(S144="临近截止"," 核算临近截止","")&amp;IF(LEFT(T144,1)="缺"," 单证"&amp;T144,"")&amp;IF(T144="未登记"," 单证未登记","")&amp;IF(AND(ISNUMBER(G144),N(G144)&lt;&gt;0)," 入仓差异"&amp;G144,""))," ","、")))</f>
        <v/>
      </c>
    </row>
    <row r="145" customFormat="false" ht="21.75" hidden="false" customHeight="true" outlineLevel="0" collapsed="false">
      <c r="A145" s="29" t="str">
        <f aca="false">IF(①出口报关!A142="","",①出口报关!A142)</f>
        <v/>
      </c>
      <c r="B145" s="29" t="str">
        <f aca="false">IF($A145="","",①出口报关!I142)</f>
        <v/>
      </c>
      <c r="C145" s="29" t="str">
        <f aca="false">IF($A145="","",①出口报关!J142)</f>
        <v/>
      </c>
      <c r="D145" s="30" t="str">
        <f aca="false">IF($A145="","",IF(①出口报关!D142="","",①出口报关!D142))</f>
        <v/>
      </c>
      <c r="E145" s="31" t="str">
        <f aca="false">IF($A145="","",N(①出口报关!L142))</f>
        <v/>
      </c>
      <c r="F145" s="31" t="str">
        <f aca="false">IF($A145="","",IF(①出口报关!Y142="","未签收",①出口报关!Y142))</f>
        <v/>
      </c>
      <c r="G145" s="32" t="str">
        <f aca="false">IF(OR($A145="",NOT(ISNUMBER(F145))),"",F145-E145)</f>
        <v/>
      </c>
      <c r="H145" s="31" t="str">
        <f aca="false">IF($A145="","",SUMIFS(②销售核销!$I$4:$I$603,②销售核销!$E$4:$E$603,$A145))</f>
        <v/>
      </c>
      <c r="I145" s="31" t="str">
        <f aca="false">IF($A145="","",SUMIFS(⑤库存异常!$E$4:$E$203,⑤库存异常!$B$4:$B$203,$A145))</f>
        <v/>
      </c>
      <c r="J145" s="31" t="str">
        <f aca="false">IF($A145="","",IF(ISNUMBER(F145),F145,E145)-H145-I145)</f>
        <v/>
      </c>
      <c r="K145" s="33" t="str">
        <f aca="false">IF(OR($A145="",N(E145)=0),"",H145/E145)</f>
        <v/>
      </c>
      <c r="L145" s="34" t="str">
        <f aca="false">IF($A145="","",SUMIFS(②销售核销!$L$4:$L$603,②销售核销!$E$4:$E$603,$A145))</f>
        <v/>
      </c>
      <c r="M145" s="34" t="str">
        <f aca="false">IF($A145="","",SUMIFS(②销售核销!$L$4:$L$603,②销售核销!$E$4:$E$603,$A145,②销售核销!$M$4:$M$603,"已收汇"))</f>
        <v/>
      </c>
      <c r="N145" s="30" t="str">
        <f aca="false">IF(ISNUMBER(D145),DATE(YEAR(D145)+1,4,30),"")</f>
        <v/>
      </c>
      <c r="O145" s="35" t="str">
        <f aca="true">IF($A145="","",IF(N(H145)=0,IF(AND(ISNUMBER(N145),TODAY()&gt;N145),"超过收汇期限仍未销售","尚未销售"),IF(ROUND(M145,2)&gt;=ROUND(L145,2),"已售部分已收汇",IF(AND(ISNUMBER(N145),TODAY()&gt;N145),"超期未收汇","有回款待收汇"))))</f>
        <v/>
      </c>
      <c r="P145" s="34" t="str">
        <f aca="false">IF($A145="","",SUMIFS(④退税核算!$H$4:$H$303,④退税核算!$A$4:$A$303,$A145))</f>
        <v/>
      </c>
      <c r="Q145" s="34" t="str">
        <f aca="false">IF($A145="","",SUMIFS(④退税核算!$H$4:$H$303,④退税核算!$A$4:$A$303,$A145,④退税核算!$D$4:$D$303,"未售-海外仓预退（HWC-YT）"))</f>
        <v/>
      </c>
      <c r="R145" s="30" t="str">
        <f aca="false">IF($A145="","",IF(COUNTIFS(④退税核算!$A$4:$A$303,$A145,④退税核算!$D$4:$D$303,"未售-海外仓预退（HWC-YT）",④退税核算!$I$4:$I$303,"&gt;0")=0,"",_xlfn.MINIFS(④退税核算!$J$4:$J$303,④退税核算!$A$4:$A$303,$A145,④退税核算!$D$4:$D$303,"未售-海外仓预退（HWC-YT）")))</f>
        <v/>
      </c>
      <c r="S145" s="35" t="str">
        <f aca="false">IF($A145="","",IF(COUNTIFS(④退税核算!$A$4:$A$303,$A145,④退税核算!$D$4:$D$303,"未售-海外仓预退（HWC-YT）")=0,"不涉及",IF(COUNTIFS(④退税核算!$A$4:$A$303,$A145,④退税核算!$S$4:$S$303,"已逾期*")&gt;0,"已逾期",IF(COUNTIFS(④退税核算!$A$4:$A$303,$A145,④退税核算!$S$4:$S$303,"临近*")&gt;0,"临近截止",IF(COUNTIFS(④退税核算!$A$4:$A$303,$A145,④退税核算!$S$4:$S$303,"待*")&gt;0,"待核算","已核算")))))</f>
        <v/>
      </c>
      <c r="T145" s="35" t="str">
        <f aca="false">IF($A145="","",IFERROR(INDEX(⑥单证留存!$P$4:$P$203,MATCH(①出口报关!B142,⑥单证留存!$A$4:$A$203,0)),"未登记"))</f>
        <v/>
      </c>
      <c r="U145" s="36" t="str">
        <f aca="false">IF($A145="","",IF(IF(OR(O145="超期未收汇",O145="超过收汇期限仍未销售")," 收汇超期","")&amp;IF(S145="已逾期"," 核算逾期","")&amp;IF(S145="临近截止"," 核算临近截止","")&amp;IF(LEFT(T145,1)="缺"," 单证"&amp;T145,"")&amp;IF(T145="未登记"," 单证未登记","")&amp;IF(AND(ISNUMBER(G145),N(G145)&lt;&gt;0)," 入仓差异"&amp;G145,"")="","正常",SUBSTITUTE(TRIM(IF(OR(O145="超期未收汇",O145="超过收汇期限仍未销售")," 收汇超期","")&amp;IF(S145="已逾期"," 核算逾期","")&amp;IF(S145="临近截止"," 核算临近截止","")&amp;IF(LEFT(T145,1)="缺"," 单证"&amp;T145,"")&amp;IF(T145="未登记"," 单证未登记","")&amp;IF(AND(ISNUMBER(G145),N(G145)&lt;&gt;0)," 入仓差异"&amp;G145,""))," ","、")))</f>
        <v/>
      </c>
    </row>
    <row r="146" customFormat="false" ht="21.75" hidden="false" customHeight="true" outlineLevel="0" collapsed="false">
      <c r="A146" s="29" t="str">
        <f aca="false">IF(①出口报关!A143="","",①出口报关!A143)</f>
        <v/>
      </c>
      <c r="B146" s="29" t="str">
        <f aca="false">IF($A146="","",①出口报关!I143)</f>
        <v/>
      </c>
      <c r="C146" s="29" t="str">
        <f aca="false">IF($A146="","",①出口报关!J143)</f>
        <v/>
      </c>
      <c r="D146" s="30" t="str">
        <f aca="false">IF($A146="","",IF(①出口报关!D143="","",①出口报关!D143))</f>
        <v/>
      </c>
      <c r="E146" s="31" t="str">
        <f aca="false">IF($A146="","",N(①出口报关!L143))</f>
        <v/>
      </c>
      <c r="F146" s="31" t="str">
        <f aca="false">IF($A146="","",IF(①出口报关!Y143="","未签收",①出口报关!Y143))</f>
        <v/>
      </c>
      <c r="G146" s="32" t="str">
        <f aca="false">IF(OR($A146="",NOT(ISNUMBER(F146))),"",F146-E146)</f>
        <v/>
      </c>
      <c r="H146" s="31" t="str">
        <f aca="false">IF($A146="","",SUMIFS(②销售核销!$I$4:$I$603,②销售核销!$E$4:$E$603,$A146))</f>
        <v/>
      </c>
      <c r="I146" s="31" t="str">
        <f aca="false">IF($A146="","",SUMIFS(⑤库存异常!$E$4:$E$203,⑤库存异常!$B$4:$B$203,$A146))</f>
        <v/>
      </c>
      <c r="J146" s="31" t="str">
        <f aca="false">IF($A146="","",IF(ISNUMBER(F146),F146,E146)-H146-I146)</f>
        <v/>
      </c>
      <c r="K146" s="33" t="str">
        <f aca="false">IF(OR($A146="",N(E146)=0),"",H146/E146)</f>
        <v/>
      </c>
      <c r="L146" s="34" t="str">
        <f aca="false">IF($A146="","",SUMIFS(②销售核销!$L$4:$L$603,②销售核销!$E$4:$E$603,$A146))</f>
        <v/>
      </c>
      <c r="M146" s="34" t="str">
        <f aca="false">IF($A146="","",SUMIFS(②销售核销!$L$4:$L$603,②销售核销!$E$4:$E$603,$A146,②销售核销!$M$4:$M$603,"已收汇"))</f>
        <v/>
      </c>
      <c r="N146" s="30" t="str">
        <f aca="false">IF(ISNUMBER(D146),DATE(YEAR(D146)+1,4,30),"")</f>
        <v/>
      </c>
      <c r="O146" s="35" t="str">
        <f aca="true">IF($A146="","",IF(N(H146)=0,IF(AND(ISNUMBER(N146),TODAY()&gt;N146),"超过收汇期限仍未销售","尚未销售"),IF(ROUND(M146,2)&gt;=ROUND(L146,2),"已售部分已收汇",IF(AND(ISNUMBER(N146),TODAY()&gt;N146),"超期未收汇","有回款待收汇"))))</f>
        <v/>
      </c>
      <c r="P146" s="34" t="str">
        <f aca="false">IF($A146="","",SUMIFS(④退税核算!$H$4:$H$303,④退税核算!$A$4:$A$303,$A146))</f>
        <v/>
      </c>
      <c r="Q146" s="34" t="str">
        <f aca="false">IF($A146="","",SUMIFS(④退税核算!$H$4:$H$303,④退税核算!$A$4:$A$303,$A146,④退税核算!$D$4:$D$303,"未售-海外仓预退（HWC-YT）"))</f>
        <v/>
      </c>
      <c r="R146" s="30" t="str">
        <f aca="false">IF($A146="","",IF(COUNTIFS(④退税核算!$A$4:$A$303,$A146,④退税核算!$D$4:$D$303,"未售-海外仓预退（HWC-YT）",④退税核算!$I$4:$I$303,"&gt;0")=0,"",_xlfn.MINIFS(④退税核算!$J$4:$J$303,④退税核算!$A$4:$A$303,$A146,④退税核算!$D$4:$D$303,"未售-海外仓预退（HWC-YT）")))</f>
        <v/>
      </c>
      <c r="S146" s="35" t="str">
        <f aca="false">IF($A146="","",IF(COUNTIFS(④退税核算!$A$4:$A$303,$A146,④退税核算!$D$4:$D$303,"未售-海外仓预退（HWC-YT）")=0,"不涉及",IF(COUNTIFS(④退税核算!$A$4:$A$303,$A146,④退税核算!$S$4:$S$303,"已逾期*")&gt;0,"已逾期",IF(COUNTIFS(④退税核算!$A$4:$A$303,$A146,④退税核算!$S$4:$S$303,"临近*")&gt;0,"临近截止",IF(COUNTIFS(④退税核算!$A$4:$A$303,$A146,④退税核算!$S$4:$S$303,"待*")&gt;0,"待核算","已核算")))))</f>
        <v/>
      </c>
      <c r="T146" s="35" t="str">
        <f aca="false">IF($A146="","",IFERROR(INDEX(⑥单证留存!$P$4:$P$203,MATCH(①出口报关!B143,⑥单证留存!$A$4:$A$203,0)),"未登记"))</f>
        <v/>
      </c>
      <c r="U146" s="36" t="str">
        <f aca="false">IF($A146="","",IF(IF(OR(O146="超期未收汇",O146="超过收汇期限仍未销售")," 收汇超期","")&amp;IF(S146="已逾期"," 核算逾期","")&amp;IF(S146="临近截止"," 核算临近截止","")&amp;IF(LEFT(T146,1)="缺"," 单证"&amp;T146,"")&amp;IF(T146="未登记"," 单证未登记","")&amp;IF(AND(ISNUMBER(G146),N(G146)&lt;&gt;0)," 入仓差异"&amp;G146,"")="","正常",SUBSTITUTE(TRIM(IF(OR(O146="超期未收汇",O146="超过收汇期限仍未销售")," 收汇超期","")&amp;IF(S146="已逾期"," 核算逾期","")&amp;IF(S146="临近截止"," 核算临近截止","")&amp;IF(LEFT(T146,1)="缺"," 单证"&amp;T146,"")&amp;IF(T146="未登记"," 单证未登记","")&amp;IF(AND(ISNUMBER(G146),N(G146)&lt;&gt;0)," 入仓差异"&amp;G146,""))," ","、")))</f>
        <v/>
      </c>
    </row>
    <row r="147" customFormat="false" ht="21.75" hidden="false" customHeight="true" outlineLevel="0" collapsed="false">
      <c r="A147" s="29" t="str">
        <f aca="false">IF(①出口报关!A144="","",①出口报关!A144)</f>
        <v/>
      </c>
      <c r="B147" s="29" t="str">
        <f aca="false">IF($A147="","",①出口报关!I144)</f>
        <v/>
      </c>
      <c r="C147" s="29" t="str">
        <f aca="false">IF($A147="","",①出口报关!J144)</f>
        <v/>
      </c>
      <c r="D147" s="30" t="str">
        <f aca="false">IF($A147="","",IF(①出口报关!D144="","",①出口报关!D144))</f>
        <v/>
      </c>
      <c r="E147" s="31" t="str">
        <f aca="false">IF($A147="","",N(①出口报关!L144))</f>
        <v/>
      </c>
      <c r="F147" s="31" t="str">
        <f aca="false">IF($A147="","",IF(①出口报关!Y144="","未签收",①出口报关!Y144))</f>
        <v/>
      </c>
      <c r="G147" s="32" t="str">
        <f aca="false">IF(OR($A147="",NOT(ISNUMBER(F147))),"",F147-E147)</f>
        <v/>
      </c>
      <c r="H147" s="31" t="str">
        <f aca="false">IF($A147="","",SUMIFS(②销售核销!$I$4:$I$603,②销售核销!$E$4:$E$603,$A147))</f>
        <v/>
      </c>
      <c r="I147" s="31" t="str">
        <f aca="false">IF($A147="","",SUMIFS(⑤库存异常!$E$4:$E$203,⑤库存异常!$B$4:$B$203,$A147))</f>
        <v/>
      </c>
      <c r="J147" s="31" t="str">
        <f aca="false">IF($A147="","",IF(ISNUMBER(F147),F147,E147)-H147-I147)</f>
        <v/>
      </c>
      <c r="K147" s="33" t="str">
        <f aca="false">IF(OR($A147="",N(E147)=0),"",H147/E147)</f>
        <v/>
      </c>
      <c r="L147" s="34" t="str">
        <f aca="false">IF($A147="","",SUMIFS(②销售核销!$L$4:$L$603,②销售核销!$E$4:$E$603,$A147))</f>
        <v/>
      </c>
      <c r="M147" s="34" t="str">
        <f aca="false">IF($A147="","",SUMIFS(②销售核销!$L$4:$L$603,②销售核销!$E$4:$E$603,$A147,②销售核销!$M$4:$M$603,"已收汇"))</f>
        <v/>
      </c>
      <c r="N147" s="30" t="str">
        <f aca="false">IF(ISNUMBER(D147),DATE(YEAR(D147)+1,4,30),"")</f>
        <v/>
      </c>
      <c r="O147" s="35" t="str">
        <f aca="true">IF($A147="","",IF(N(H147)=0,IF(AND(ISNUMBER(N147),TODAY()&gt;N147),"超过收汇期限仍未销售","尚未销售"),IF(ROUND(M147,2)&gt;=ROUND(L147,2),"已售部分已收汇",IF(AND(ISNUMBER(N147),TODAY()&gt;N147),"超期未收汇","有回款待收汇"))))</f>
        <v/>
      </c>
      <c r="P147" s="34" t="str">
        <f aca="false">IF($A147="","",SUMIFS(④退税核算!$H$4:$H$303,④退税核算!$A$4:$A$303,$A147))</f>
        <v/>
      </c>
      <c r="Q147" s="34" t="str">
        <f aca="false">IF($A147="","",SUMIFS(④退税核算!$H$4:$H$303,④退税核算!$A$4:$A$303,$A147,④退税核算!$D$4:$D$303,"未售-海外仓预退（HWC-YT）"))</f>
        <v/>
      </c>
      <c r="R147" s="30" t="str">
        <f aca="false">IF($A147="","",IF(COUNTIFS(④退税核算!$A$4:$A$303,$A147,④退税核算!$D$4:$D$303,"未售-海外仓预退（HWC-YT）",④退税核算!$I$4:$I$303,"&gt;0")=0,"",_xlfn.MINIFS(④退税核算!$J$4:$J$303,④退税核算!$A$4:$A$303,$A147,④退税核算!$D$4:$D$303,"未售-海外仓预退（HWC-YT）")))</f>
        <v/>
      </c>
      <c r="S147" s="35" t="str">
        <f aca="false">IF($A147="","",IF(COUNTIFS(④退税核算!$A$4:$A$303,$A147,④退税核算!$D$4:$D$303,"未售-海外仓预退（HWC-YT）")=0,"不涉及",IF(COUNTIFS(④退税核算!$A$4:$A$303,$A147,④退税核算!$S$4:$S$303,"已逾期*")&gt;0,"已逾期",IF(COUNTIFS(④退税核算!$A$4:$A$303,$A147,④退税核算!$S$4:$S$303,"临近*")&gt;0,"临近截止",IF(COUNTIFS(④退税核算!$A$4:$A$303,$A147,④退税核算!$S$4:$S$303,"待*")&gt;0,"待核算","已核算")))))</f>
        <v/>
      </c>
      <c r="T147" s="35" t="str">
        <f aca="false">IF($A147="","",IFERROR(INDEX(⑥单证留存!$P$4:$P$203,MATCH(①出口报关!B144,⑥单证留存!$A$4:$A$203,0)),"未登记"))</f>
        <v/>
      </c>
      <c r="U147" s="36" t="str">
        <f aca="false">IF($A147="","",IF(IF(OR(O147="超期未收汇",O147="超过收汇期限仍未销售")," 收汇超期","")&amp;IF(S147="已逾期"," 核算逾期","")&amp;IF(S147="临近截止"," 核算临近截止","")&amp;IF(LEFT(T147,1)="缺"," 单证"&amp;T147,"")&amp;IF(T147="未登记"," 单证未登记","")&amp;IF(AND(ISNUMBER(G147),N(G147)&lt;&gt;0)," 入仓差异"&amp;G147,"")="","正常",SUBSTITUTE(TRIM(IF(OR(O147="超期未收汇",O147="超过收汇期限仍未销售")," 收汇超期","")&amp;IF(S147="已逾期"," 核算逾期","")&amp;IF(S147="临近截止"," 核算临近截止","")&amp;IF(LEFT(T147,1)="缺"," 单证"&amp;T147,"")&amp;IF(T147="未登记"," 单证未登记","")&amp;IF(AND(ISNUMBER(G147),N(G147)&lt;&gt;0)," 入仓差异"&amp;G147,""))," ","、")))</f>
        <v/>
      </c>
    </row>
    <row r="148" customFormat="false" ht="21.75" hidden="false" customHeight="true" outlineLevel="0" collapsed="false">
      <c r="A148" s="29" t="str">
        <f aca="false">IF(①出口报关!A145="","",①出口报关!A145)</f>
        <v/>
      </c>
      <c r="B148" s="29" t="str">
        <f aca="false">IF($A148="","",①出口报关!I145)</f>
        <v/>
      </c>
      <c r="C148" s="29" t="str">
        <f aca="false">IF($A148="","",①出口报关!J145)</f>
        <v/>
      </c>
      <c r="D148" s="30" t="str">
        <f aca="false">IF($A148="","",IF(①出口报关!D145="","",①出口报关!D145))</f>
        <v/>
      </c>
      <c r="E148" s="31" t="str">
        <f aca="false">IF($A148="","",N(①出口报关!L145))</f>
        <v/>
      </c>
      <c r="F148" s="31" t="str">
        <f aca="false">IF($A148="","",IF(①出口报关!Y145="","未签收",①出口报关!Y145))</f>
        <v/>
      </c>
      <c r="G148" s="32" t="str">
        <f aca="false">IF(OR($A148="",NOT(ISNUMBER(F148))),"",F148-E148)</f>
        <v/>
      </c>
      <c r="H148" s="31" t="str">
        <f aca="false">IF($A148="","",SUMIFS(②销售核销!$I$4:$I$603,②销售核销!$E$4:$E$603,$A148))</f>
        <v/>
      </c>
      <c r="I148" s="31" t="str">
        <f aca="false">IF($A148="","",SUMIFS(⑤库存异常!$E$4:$E$203,⑤库存异常!$B$4:$B$203,$A148))</f>
        <v/>
      </c>
      <c r="J148" s="31" t="str">
        <f aca="false">IF($A148="","",IF(ISNUMBER(F148),F148,E148)-H148-I148)</f>
        <v/>
      </c>
      <c r="K148" s="33" t="str">
        <f aca="false">IF(OR($A148="",N(E148)=0),"",H148/E148)</f>
        <v/>
      </c>
      <c r="L148" s="34" t="str">
        <f aca="false">IF($A148="","",SUMIFS(②销售核销!$L$4:$L$603,②销售核销!$E$4:$E$603,$A148))</f>
        <v/>
      </c>
      <c r="M148" s="34" t="str">
        <f aca="false">IF($A148="","",SUMIFS(②销售核销!$L$4:$L$603,②销售核销!$E$4:$E$603,$A148,②销售核销!$M$4:$M$603,"已收汇"))</f>
        <v/>
      </c>
      <c r="N148" s="30" t="str">
        <f aca="false">IF(ISNUMBER(D148),DATE(YEAR(D148)+1,4,30),"")</f>
        <v/>
      </c>
      <c r="O148" s="35" t="str">
        <f aca="true">IF($A148="","",IF(N(H148)=0,IF(AND(ISNUMBER(N148),TODAY()&gt;N148),"超过收汇期限仍未销售","尚未销售"),IF(ROUND(M148,2)&gt;=ROUND(L148,2),"已售部分已收汇",IF(AND(ISNUMBER(N148),TODAY()&gt;N148),"超期未收汇","有回款待收汇"))))</f>
        <v/>
      </c>
      <c r="P148" s="34" t="str">
        <f aca="false">IF($A148="","",SUMIFS(④退税核算!$H$4:$H$303,④退税核算!$A$4:$A$303,$A148))</f>
        <v/>
      </c>
      <c r="Q148" s="34" t="str">
        <f aca="false">IF($A148="","",SUMIFS(④退税核算!$H$4:$H$303,④退税核算!$A$4:$A$303,$A148,④退税核算!$D$4:$D$303,"未售-海外仓预退（HWC-YT）"))</f>
        <v/>
      </c>
      <c r="R148" s="30" t="str">
        <f aca="false">IF($A148="","",IF(COUNTIFS(④退税核算!$A$4:$A$303,$A148,④退税核算!$D$4:$D$303,"未售-海外仓预退（HWC-YT）",④退税核算!$I$4:$I$303,"&gt;0")=0,"",_xlfn.MINIFS(④退税核算!$J$4:$J$303,④退税核算!$A$4:$A$303,$A148,④退税核算!$D$4:$D$303,"未售-海外仓预退（HWC-YT）")))</f>
        <v/>
      </c>
      <c r="S148" s="35" t="str">
        <f aca="false">IF($A148="","",IF(COUNTIFS(④退税核算!$A$4:$A$303,$A148,④退税核算!$D$4:$D$303,"未售-海外仓预退（HWC-YT）")=0,"不涉及",IF(COUNTIFS(④退税核算!$A$4:$A$303,$A148,④退税核算!$S$4:$S$303,"已逾期*")&gt;0,"已逾期",IF(COUNTIFS(④退税核算!$A$4:$A$303,$A148,④退税核算!$S$4:$S$303,"临近*")&gt;0,"临近截止",IF(COUNTIFS(④退税核算!$A$4:$A$303,$A148,④退税核算!$S$4:$S$303,"待*")&gt;0,"待核算","已核算")))))</f>
        <v/>
      </c>
      <c r="T148" s="35" t="str">
        <f aca="false">IF($A148="","",IFERROR(INDEX(⑥单证留存!$P$4:$P$203,MATCH(①出口报关!B145,⑥单证留存!$A$4:$A$203,0)),"未登记"))</f>
        <v/>
      </c>
      <c r="U148" s="36" t="str">
        <f aca="false">IF($A148="","",IF(IF(OR(O148="超期未收汇",O148="超过收汇期限仍未销售")," 收汇超期","")&amp;IF(S148="已逾期"," 核算逾期","")&amp;IF(S148="临近截止"," 核算临近截止","")&amp;IF(LEFT(T148,1)="缺"," 单证"&amp;T148,"")&amp;IF(T148="未登记"," 单证未登记","")&amp;IF(AND(ISNUMBER(G148),N(G148)&lt;&gt;0)," 入仓差异"&amp;G148,"")="","正常",SUBSTITUTE(TRIM(IF(OR(O148="超期未收汇",O148="超过收汇期限仍未销售")," 收汇超期","")&amp;IF(S148="已逾期"," 核算逾期","")&amp;IF(S148="临近截止"," 核算临近截止","")&amp;IF(LEFT(T148,1)="缺"," 单证"&amp;T148,"")&amp;IF(T148="未登记"," 单证未登记","")&amp;IF(AND(ISNUMBER(G148),N(G148)&lt;&gt;0)," 入仓差异"&amp;G148,""))," ","、")))</f>
        <v/>
      </c>
    </row>
    <row r="149" customFormat="false" ht="21.75" hidden="false" customHeight="true" outlineLevel="0" collapsed="false">
      <c r="A149" s="29" t="str">
        <f aca="false">IF(①出口报关!A146="","",①出口报关!A146)</f>
        <v/>
      </c>
      <c r="B149" s="29" t="str">
        <f aca="false">IF($A149="","",①出口报关!I146)</f>
        <v/>
      </c>
      <c r="C149" s="29" t="str">
        <f aca="false">IF($A149="","",①出口报关!J146)</f>
        <v/>
      </c>
      <c r="D149" s="30" t="str">
        <f aca="false">IF($A149="","",IF(①出口报关!D146="","",①出口报关!D146))</f>
        <v/>
      </c>
      <c r="E149" s="31" t="str">
        <f aca="false">IF($A149="","",N(①出口报关!L146))</f>
        <v/>
      </c>
      <c r="F149" s="31" t="str">
        <f aca="false">IF($A149="","",IF(①出口报关!Y146="","未签收",①出口报关!Y146))</f>
        <v/>
      </c>
      <c r="G149" s="32" t="str">
        <f aca="false">IF(OR($A149="",NOT(ISNUMBER(F149))),"",F149-E149)</f>
        <v/>
      </c>
      <c r="H149" s="31" t="str">
        <f aca="false">IF($A149="","",SUMIFS(②销售核销!$I$4:$I$603,②销售核销!$E$4:$E$603,$A149))</f>
        <v/>
      </c>
      <c r="I149" s="31" t="str">
        <f aca="false">IF($A149="","",SUMIFS(⑤库存异常!$E$4:$E$203,⑤库存异常!$B$4:$B$203,$A149))</f>
        <v/>
      </c>
      <c r="J149" s="31" t="str">
        <f aca="false">IF($A149="","",IF(ISNUMBER(F149),F149,E149)-H149-I149)</f>
        <v/>
      </c>
      <c r="K149" s="33" t="str">
        <f aca="false">IF(OR($A149="",N(E149)=0),"",H149/E149)</f>
        <v/>
      </c>
      <c r="L149" s="34" t="str">
        <f aca="false">IF($A149="","",SUMIFS(②销售核销!$L$4:$L$603,②销售核销!$E$4:$E$603,$A149))</f>
        <v/>
      </c>
      <c r="M149" s="34" t="str">
        <f aca="false">IF($A149="","",SUMIFS(②销售核销!$L$4:$L$603,②销售核销!$E$4:$E$603,$A149,②销售核销!$M$4:$M$603,"已收汇"))</f>
        <v/>
      </c>
      <c r="N149" s="30" t="str">
        <f aca="false">IF(ISNUMBER(D149),DATE(YEAR(D149)+1,4,30),"")</f>
        <v/>
      </c>
      <c r="O149" s="35" t="str">
        <f aca="true">IF($A149="","",IF(N(H149)=0,IF(AND(ISNUMBER(N149),TODAY()&gt;N149),"超过收汇期限仍未销售","尚未销售"),IF(ROUND(M149,2)&gt;=ROUND(L149,2),"已售部分已收汇",IF(AND(ISNUMBER(N149),TODAY()&gt;N149),"超期未收汇","有回款待收汇"))))</f>
        <v/>
      </c>
      <c r="P149" s="34" t="str">
        <f aca="false">IF($A149="","",SUMIFS(④退税核算!$H$4:$H$303,④退税核算!$A$4:$A$303,$A149))</f>
        <v/>
      </c>
      <c r="Q149" s="34" t="str">
        <f aca="false">IF($A149="","",SUMIFS(④退税核算!$H$4:$H$303,④退税核算!$A$4:$A$303,$A149,④退税核算!$D$4:$D$303,"未售-海外仓预退（HWC-YT）"))</f>
        <v/>
      </c>
      <c r="R149" s="30" t="str">
        <f aca="false">IF($A149="","",IF(COUNTIFS(④退税核算!$A$4:$A$303,$A149,④退税核算!$D$4:$D$303,"未售-海外仓预退（HWC-YT）",④退税核算!$I$4:$I$303,"&gt;0")=0,"",_xlfn.MINIFS(④退税核算!$J$4:$J$303,④退税核算!$A$4:$A$303,$A149,④退税核算!$D$4:$D$303,"未售-海外仓预退（HWC-YT）")))</f>
        <v/>
      </c>
      <c r="S149" s="35" t="str">
        <f aca="false">IF($A149="","",IF(COUNTIFS(④退税核算!$A$4:$A$303,$A149,④退税核算!$D$4:$D$303,"未售-海外仓预退（HWC-YT）")=0,"不涉及",IF(COUNTIFS(④退税核算!$A$4:$A$303,$A149,④退税核算!$S$4:$S$303,"已逾期*")&gt;0,"已逾期",IF(COUNTIFS(④退税核算!$A$4:$A$303,$A149,④退税核算!$S$4:$S$303,"临近*")&gt;0,"临近截止",IF(COUNTIFS(④退税核算!$A$4:$A$303,$A149,④退税核算!$S$4:$S$303,"待*")&gt;0,"待核算","已核算")))))</f>
        <v/>
      </c>
      <c r="T149" s="35" t="str">
        <f aca="false">IF($A149="","",IFERROR(INDEX(⑥单证留存!$P$4:$P$203,MATCH(①出口报关!B146,⑥单证留存!$A$4:$A$203,0)),"未登记"))</f>
        <v/>
      </c>
      <c r="U149" s="36" t="str">
        <f aca="false">IF($A149="","",IF(IF(OR(O149="超期未收汇",O149="超过收汇期限仍未销售")," 收汇超期","")&amp;IF(S149="已逾期"," 核算逾期","")&amp;IF(S149="临近截止"," 核算临近截止","")&amp;IF(LEFT(T149,1)="缺"," 单证"&amp;T149,"")&amp;IF(T149="未登记"," 单证未登记","")&amp;IF(AND(ISNUMBER(G149),N(G149)&lt;&gt;0)," 入仓差异"&amp;G149,"")="","正常",SUBSTITUTE(TRIM(IF(OR(O149="超期未收汇",O149="超过收汇期限仍未销售")," 收汇超期","")&amp;IF(S149="已逾期"," 核算逾期","")&amp;IF(S149="临近截止"," 核算临近截止","")&amp;IF(LEFT(T149,1)="缺"," 单证"&amp;T149,"")&amp;IF(T149="未登记"," 单证未登记","")&amp;IF(AND(ISNUMBER(G149),N(G149)&lt;&gt;0)," 入仓差异"&amp;G149,""))," ","、")))</f>
        <v/>
      </c>
    </row>
    <row r="150" customFormat="false" ht="21.75" hidden="false" customHeight="true" outlineLevel="0" collapsed="false">
      <c r="A150" s="29" t="str">
        <f aca="false">IF(①出口报关!A147="","",①出口报关!A147)</f>
        <v/>
      </c>
      <c r="B150" s="29" t="str">
        <f aca="false">IF($A150="","",①出口报关!I147)</f>
        <v/>
      </c>
      <c r="C150" s="29" t="str">
        <f aca="false">IF($A150="","",①出口报关!J147)</f>
        <v/>
      </c>
      <c r="D150" s="30" t="str">
        <f aca="false">IF($A150="","",IF(①出口报关!D147="","",①出口报关!D147))</f>
        <v/>
      </c>
      <c r="E150" s="31" t="str">
        <f aca="false">IF($A150="","",N(①出口报关!L147))</f>
        <v/>
      </c>
      <c r="F150" s="31" t="str">
        <f aca="false">IF($A150="","",IF(①出口报关!Y147="","未签收",①出口报关!Y147))</f>
        <v/>
      </c>
      <c r="G150" s="32" t="str">
        <f aca="false">IF(OR($A150="",NOT(ISNUMBER(F150))),"",F150-E150)</f>
        <v/>
      </c>
      <c r="H150" s="31" t="str">
        <f aca="false">IF($A150="","",SUMIFS(②销售核销!$I$4:$I$603,②销售核销!$E$4:$E$603,$A150))</f>
        <v/>
      </c>
      <c r="I150" s="31" t="str">
        <f aca="false">IF($A150="","",SUMIFS(⑤库存异常!$E$4:$E$203,⑤库存异常!$B$4:$B$203,$A150))</f>
        <v/>
      </c>
      <c r="J150" s="31" t="str">
        <f aca="false">IF($A150="","",IF(ISNUMBER(F150),F150,E150)-H150-I150)</f>
        <v/>
      </c>
      <c r="K150" s="33" t="str">
        <f aca="false">IF(OR($A150="",N(E150)=0),"",H150/E150)</f>
        <v/>
      </c>
      <c r="L150" s="34" t="str">
        <f aca="false">IF($A150="","",SUMIFS(②销售核销!$L$4:$L$603,②销售核销!$E$4:$E$603,$A150))</f>
        <v/>
      </c>
      <c r="M150" s="34" t="str">
        <f aca="false">IF($A150="","",SUMIFS(②销售核销!$L$4:$L$603,②销售核销!$E$4:$E$603,$A150,②销售核销!$M$4:$M$603,"已收汇"))</f>
        <v/>
      </c>
      <c r="N150" s="30" t="str">
        <f aca="false">IF(ISNUMBER(D150),DATE(YEAR(D150)+1,4,30),"")</f>
        <v/>
      </c>
      <c r="O150" s="35" t="str">
        <f aca="true">IF($A150="","",IF(N(H150)=0,IF(AND(ISNUMBER(N150),TODAY()&gt;N150),"超过收汇期限仍未销售","尚未销售"),IF(ROUND(M150,2)&gt;=ROUND(L150,2),"已售部分已收汇",IF(AND(ISNUMBER(N150),TODAY()&gt;N150),"超期未收汇","有回款待收汇"))))</f>
        <v/>
      </c>
      <c r="P150" s="34" t="str">
        <f aca="false">IF($A150="","",SUMIFS(④退税核算!$H$4:$H$303,④退税核算!$A$4:$A$303,$A150))</f>
        <v/>
      </c>
      <c r="Q150" s="34" t="str">
        <f aca="false">IF($A150="","",SUMIFS(④退税核算!$H$4:$H$303,④退税核算!$A$4:$A$303,$A150,④退税核算!$D$4:$D$303,"未售-海外仓预退（HWC-YT）"))</f>
        <v/>
      </c>
      <c r="R150" s="30" t="str">
        <f aca="false">IF($A150="","",IF(COUNTIFS(④退税核算!$A$4:$A$303,$A150,④退税核算!$D$4:$D$303,"未售-海外仓预退（HWC-YT）",④退税核算!$I$4:$I$303,"&gt;0")=0,"",_xlfn.MINIFS(④退税核算!$J$4:$J$303,④退税核算!$A$4:$A$303,$A150,④退税核算!$D$4:$D$303,"未售-海外仓预退（HWC-YT）")))</f>
        <v/>
      </c>
      <c r="S150" s="35" t="str">
        <f aca="false">IF($A150="","",IF(COUNTIFS(④退税核算!$A$4:$A$303,$A150,④退税核算!$D$4:$D$303,"未售-海外仓预退（HWC-YT）")=0,"不涉及",IF(COUNTIFS(④退税核算!$A$4:$A$303,$A150,④退税核算!$S$4:$S$303,"已逾期*")&gt;0,"已逾期",IF(COUNTIFS(④退税核算!$A$4:$A$303,$A150,④退税核算!$S$4:$S$303,"临近*")&gt;0,"临近截止",IF(COUNTIFS(④退税核算!$A$4:$A$303,$A150,④退税核算!$S$4:$S$303,"待*")&gt;0,"待核算","已核算")))))</f>
        <v/>
      </c>
      <c r="T150" s="35" t="str">
        <f aca="false">IF($A150="","",IFERROR(INDEX(⑥单证留存!$P$4:$P$203,MATCH(①出口报关!B147,⑥单证留存!$A$4:$A$203,0)),"未登记"))</f>
        <v/>
      </c>
      <c r="U150" s="36" t="str">
        <f aca="false">IF($A150="","",IF(IF(OR(O150="超期未收汇",O150="超过收汇期限仍未销售")," 收汇超期","")&amp;IF(S150="已逾期"," 核算逾期","")&amp;IF(S150="临近截止"," 核算临近截止","")&amp;IF(LEFT(T150,1)="缺"," 单证"&amp;T150,"")&amp;IF(T150="未登记"," 单证未登记","")&amp;IF(AND(ISNUMBER(G150),N(G150)&lt;&gt;0)," 入仓差异"&amp;G150,"")="","正常",SUBSTITUTE(TRIM(IF(OR(O150="超期未收汇",O150="超过收汇期限仍未销售")," 收汇超期","")&amp;IF(S150="已逾期"," 核算逾期","")&amp;IF(S150="临近截止"," 核算临近截止","")&amp;IF(LEFT(T150,1)="缺"," 单证"&amp;T150,"")&amp;IF(T150="未登记"," 单证未登记","")&amp;IF(AND(ISNUMBER(G150),N(G150)&lt;&gt;0)," 入仓差异"&amp;G150,""))," ","、")))</f>
        <v/>
      </c>
    </row>
    <row r="151" customFormat="false" ht="21.75" hidden="false" customHeight="true" outlineLevel="0" collapsed="false">
      <c r="A151" s="29" t="str">
        <f aca="false">IF(①出口报关!A148="","",①出口报关!A148)</f>
        <v/>
      </c>
      <c r="B151" s="29" t="str">
        <f aca="false">IF($A151="","",①出口报关!I148)</f>
        <v/>
      </c>
      <c r="C151" s="29" t="str">
        <f aca="false">IF($A151="","",①出口报关!J148)</f>
        <v/>
      </c>
      <c r="D151" s="30" t="str">
        <f aca="false">IF($A151="","",IF(①出口报关!D148="","",①出口报关!D148))</f>
        <v/>
      </c>
      <c r="E151" s="31" t="str">
        <f aca="false">IF($A151="","",N(①出口报关!L148))</f>
        <v/>
      </c>
      <c r="F151" s="31" t="str">
        <f aca="false">IF($A151="","",IF(①出口报关!Y148="","未签收",①出口报关!Y148))</f>
        <v/>
      </c>
      <c r="G151" s="32" t="str">
        <f aca="false">IF(OR($A151="",NOT(ISNUMBER(F151))),"",F151-E151)</f>
        <v/>
      </c>
      <c r="H151" s="31" t="str">
        <f aca="false">IF($A151="","",SUMIFS(②销售核销!$I$4:$I$603,②销售核销!$E$4:$E$603,$A151))</f>
        <v/>
      </c>
      <c r="I151" s="31" t="str">
        <f aca="false">IF($A151="","",SUMIFS(⑤库存异常!$E$4:$E$203,⑤库存异常!$B$4:$B$203,$A151))</f>
        <v/>
      </c>
      <c r="J151" s="31" t="str">
        <f aca="false">IF($A151="","",IF(ISNUMBER(F151),F151,E151)-H151-I151)</f>
        <v/>
      </c>
      <c r="K151" s="33" t="str">
        <f aca="false">IF(OR($A151="",N(E151)=0),"",H151/E151)</f>
        <v/>
      </c>
      <c r="L151" s="34" t="str">
        <f aca="false">IF($A151="","",SUMIFS(②销售核销!$L$4:$L$603,②销售核销!$E$4:$E$603,$A151))</f>
        <v/>
      </c>
      <c r="M151" s="34" t="str">
        <f aca="false">IF($A151="","",SUMIFS(②销售核销!$L$4:$L$603,②销售核销!$E$4:$E$603,$A151,②销售核销!$M$4:$M$603,"已收汇"))</f>
        <v/>
      </c>
      <c r="N151" s="30" t="str">
        <f aca="false">IF(ISNUMBER(D151),DATE(YEAR(D151)+1,4,30),"")</f>
        <v/>
      </c>
      <c r="O151" s="35" t="str">
        <f aca="true">IF($A151="","",IF(N(H151)=0,IF(AND(ISNUMBER(N151),TODAY()&gt;N151),"超过收汇期限仍未销售","尚未销售"),IF(ROUND(M151,2)&gt;=ROUND(L151,2),"已售部分已收汇",IF(AND(ISNUMBER(N151),TODAY()&gt;N151),"超期未收汇","有回款待收汇"))))</f>
        <v/>
      </c>
      <c r="P151" s="34" t="str">
        <f aca="false">IF($A151="","",SUMIFS(④退税核算!$H$4:$H$303,④退税核算!$A$4:$A$303,$A151))</f>
        <v/>
      </c>
      <c r="Q151" s="34" t="str">
        <f aca="false">IF($A151="","",SUMIFS(④退税核算!$H$4:$H$303,④退税核算!$A$4:$A$303,$A151,④退税核算!$D$4:$D$303,"未售-海外仓预退（HWC-YT）"))</f>
        <v/>
      </c>
      <c r="R151" s="30" t="str">
        <f aca="false">IF($A151="","",IF(COUNTIFS(④退税核算!$A$4:$A$303,$A151,④退税核算!$D$4:$D$303,"未售-海外仓预退（HWC-YT）",④退税核算!$I$4:$I$303,"&gt;0")=0,"",_xlfn.MINIFS(④退税核算!$J$4:$J$303,④退税核算!$A$4:$A$303,$A151,④退税核算!$D$4:$D$303,"未售-海外仓预退（HWC-YT）")))</f>
        <v/>
      </c>
      <c r="S151" s="35" t="str">
        <f aca="false">IF($A151="","",IF(COUNTIFS(④退税核算!$A$4:$A$303,$A151,④退税核算!$D$4:$D$303,"未售-海外仓预退（HWC-YT）")=0,"不涉及",IF(COUNTIFS(④退税核算!$A$4:$A$303,$A151,④退税核算!$S$4:$S$303,"已逾期*")&gt;0,"已逾期",IF(COUNTIFS(④退税核算!$A$4:$A$303,$A151,④退税核算!$S$4:$S$303,"临近*")&gt;0,"临近截止",IF(COUNTIFS(④退税核算!$A$4:$A$303,$A151,④退税核算!$S$4:$S$303,"待*")&gt;0,"待核算","已核算")))))</f>
        <v/>
      </c>
      <c r="T151" s="35" t="str">
        <f aca="false">IF($A151="","",IFERROR(INDEX(⑥单证留存!$P$4:$P$203,MATCH(①出口报关!B148,⑥单证留存!$A$4:$A$203,0)),"未登记"))</f>
        <v/>
      </c>
      <c r="U151" s="36" t="str">
        <f aca="false">IF($A151="","",IF(IF(OR(O151="超期未收汇",O151="超过收汇期限仍未销售")," 收汇超期","")&amp;IF(S151="已逾期"," 核算逾期","")&amp;IF(S151="临近截止"," 核算临近截止","")&amp;IF(LEFT(T151,1)="缺"," 单证"&amp;T151,"")&amp;IF(T151="未登记"," 单证未登记","")&amp;IF(AND(ISNUMBER(G151),N(G151)&lt;&gt;0)," 入仓差异"&amp;G151,"")="","正常",SUBSTITUTE(TRIM(IF(OR(O151="超期未收汇",O151="超过收汇期限仍未销售")," 收汇超期","")&amp;IF(S151="已逾期"," 核算逾期","")&amp;IF(S151="临近截止"," 核算临近截止","")&amp;IF(LEFT(T151,1)="缺"," 单证"&amp;T151,"")&amp;IF(T151="未登记"," 单证未登记","")&amp;IF(AND(ISNUMBER(G151),N(G151)&lt;&gt;0)," 入仓差异"&amp;G151,""))," ","、")))</f>
        <v/>
      </c>
    </row>
    <row r="152" customFormat="false" ht="21.75" hidden="false" customHeight="true" outlineLevel="0" collapsed="false">
      <c r="A152" s="29" t="str">
        <f aca="false">IF(①出口报关!A149="","",①出口报关!A149)</f>
        <v/>
      </c>
      <c r="B152" s="29" t="str">
        <f aca="false">IF($A152="","",①出口报关!I149)</f>
        <v/>
      </c>
      <c r="C152" s="29" t="str">
        <f aca="false">IF($A152="","",①出口报关!J149)</f>
        <v/>
      </c>
      <c r="D152" s="30" t="str">
        <f aca="false">IF($A152="","",IF(①出口报关!D149="","",①出口报关!D149))</f>
        <v/>
      </c>
      <c r="E152" s="31" t="str">
        <f aca="false">IF($A152="","",N(①出口报关!L149))</f>
        <v/>
      </c>
      <c r="F152" s="31" t="str">
        <f aca="false">IF($A152="","",IF(①出口报关!Y149="","未签收",①出口报关!Y149))</f>
        <v/>
      </c>
      <c r="G152" s="32" t="str">
        <f aca="false">IF(OR($A152="",NOT(ISNUMBER(F152))),"",F152-E152)</f>
        <v/>
      </c>
      <c r="H152" s="31" t="str">
        <f aca="false">IF($A152="","",SUMIFS(②销售核销!$I$4:$I$603,②销售核销!$E$4:$E$603,$A152))</f>
        <v/>
      </c>
      <c r="I152" s="31" t="str">
        <f aca="false">IF($A152="","",SUMIFS(⑤库存异常!$E$4:$E$203,⑤库存异常!$B$4:$B$203,$A152))</f>
        <v/>
      </c>
      <c r="J152" s="31" t="str">
        <f aca="false">IF($A152="","",IF(ISNUMBER(F152),F152,E152)-H152-I152)</f>
        <v/>
      </c>
      <c r="K152" s="33" t="str">
        <f aca="false">IF(OR($A152="",N(E152)=0),"",H152/E152)</f>
        <v/>
      </c>
      <c r="L152" s="34" t="str">
        <f aca="false">IF($A152="","",SUMIFS(②销售核销!$L$4:$L$603,②销售核销!$E$4:$E$603,$A152))</f>
        <v/>
      </c>
      <c r="M152" s="34" t="str">
        <f aca="false">IF($A152="","",SUMIFS(②销售核销!$L$4:$L$603,②销售核销!$E$4:$E$603,$A152,②销售核销!$M$4:$M$603,"已收汇"))</f>
        <v/>
      </c>
      <c r="N152" s="30" t="str">
        <f aca="false">IF(ISNUMBER(D152),DATE(YEAR(D152)+1,4,30),"")</f>
        <v/>
      </c>
      <c r="O152" s="35" t="str">
        <f aca="true">IF($A152="","",IF(N(H152)=0,IF(AND(ISNUMBER(N152),TODAY()&gt;N152),"超过收汇期限仍未销售","尚未销售"),IF(ROUND(M152,2)&gt;=ROUND(L152,2),"已售部分已收汇",IF(AND(ISNUMBER(N152),TODAY()&gt;N152),"超期未收汇","有回款待收汇"))))</f>
        <v/>
      </c>
      <c r="P152" s="34" t="str">
        <f aca="false">IF($A152="","",SUMIFS(④退税核算!$H$4:$H$303,④退税核算!$A$4:$A$303,$A152))</f>
        <v/>
      </c>
      <c r="Q152" s="34" t="str">
        <f aca="false">IF($A152="","",SUMIFS(④退税核算!$H$4:$H$303,④退税核算!$A$4:$A$303,$A152,④退税核算!$D$4:$D$303,"未售-海外仓预退（HWC-YT）"))</f>
        <v/>
      </c>
      <c r="R152" s="30" t="str">
        <f aca="false">IF($A152="","",IF(COUNTIFS(④退税核算!$A$4:$A$303,$A152,④退税核算!$D$4:$D$303,"未售-海外仓预退（HWC-YT）",④退税核算!$I$4:$I$303,"&gt;0")=0,"",_xlfn.MINIFS(④退税核算!$J$4:$J$303,④退税核算!$A$4:$A$303,$A152,④退税核算!$D$4:$D$303,"未售-海外仓预退（HWC-YT）")))</f>
        <v/>
      </c>
      <c r="S152" s="35" t="str">
        <f aca="false">IF($A152="","",IF(COUNTIFS(④退税核算!$A$4:$A$303,$A152,④退税核算!$D$4:$D$303,"未售-海外仓预退（HWC-YT）")=0,"不涉及",IF(COUNTIFS(④退税核算!$A$4:$A$303,$A152,④退税核算!$S$4:$S$303,"已逾期*")&gt;0,"已逾期",IF(COUNTIFS(④退税核算!$A$4:$A$303,$A152,④退税核算!$S$4:$S$303,"临近*")&gt;0,"临近截止",IF(COUNTIFS(④退税核算!$A$4:$A$303,$A152,④退税核算!$S$4:$S$303,"待*")&gt;0,"待核算","已核算")))))</f>
        <v/>
      </c>
      <c r="T152" s="35" t="str">
        <f aca="false">IF($A152="","",IFERROR(INDEX(⑥单证留存!$P$4:$P$203,MATCH(①出口报关!B149,⑥单证留存!$A$4:$A$203,0)),"未登记"))</f>
        <v/>
      </c>
      <c r="U152" s="36" t="str">
        <f aca="false">IF($A152="","",IF(IF(OR(O152="超期未收汇",O152="超过收汇期限仍未销售")," 收汇超期","")&amp;IF(S152="已逾期"," 核算逾期","")&amp;IF(S152="临近截止"," 核算临近截止","")&amp;IF(LEFT(T152,1)="缺"," 单证"&amp;T152,"")&amp;IF(T152="未登记"," 单证未登记","")&amp;IF(AND(ISNUMBER(G152),N(G152)&lt;&gt;0)," 入仓差异"&amp;G152,"")="","正常",SUBSTITUTE(TRIM(IF(OR(O152="超期未收汇",O152="超过收汇期限仍未销售")," 收汇超期","")&amp;IF(S152="已逾期"," 核算逾期","")&amp;IF(S152="临近截止"," 核算临近截止","")&amp;IF(LEFT(T152,1)="缺"," 单证"&amp;T152,"")&amp;IF(T152="未登记"," 单证未登记","")&amp;IF(AND(ISNUMBER(G152),N(G152)&lt;&gt;0)," 入仓差异"&amp;G152,""))," ","、")))</f>
        <v/>
      </c>
    </row>
    <row r="153" customFormat="false" ht="21.75" hidden="false" customHeight="true" outlineLevel="0" collapsed="false">
      <c r="A153" s="29" t="str">
        <f aca="false">IF(①出口报关!A150="","",①出口报关!A150)</f>
        <v/>
      </c>
      <c r="B153" s="29" t="str">
        <f aca="false">IF($A153="","",①出口报关!I150)</f>
        <v/>
      </c>
      <c r="C153" s="29" t="str">
        <f aca="false">IF($A153="","",①出口报关!J150)</f>
        <v/>
      </c>
      <c r="D153" s="30" t="str">
        <f aca="false">IF($A153="","",IF(①出口报关!D150="","",①出口报关!D150))</f>
        <v/>
      </c>
      <c r="E153" s="31" t="str">
        <f aca="false">IF($A153="","",N(①出口报关!L150))</f>
        <v/>
      </c>
      <c r="F153" s="31" t="str">
        <f aca="false">IF($A153="","",IF(①出口报关!Y150="","未签收",①出口报关!Y150))</f>
        <v/>
      </c>
      <c r="G153" s="32" t="str">
        <f aca="false">IF(OR($A153="",NOT(ISNUMBER(F153))),"",F153-E153)</f>
        <v/>
      </c>
      <c r="H153" s="31" t="str">
        <f aca="false">IF($A153="","",SUMIFS(②销售核销!$I$4:$I$603,②销售核销!$E$4:$E$603,$A153))</f>
        <v/>
      </c>
      <c r="I153" s="31" t="str">
        <f aca="false">IF($A153="","",SUMIFS(⑤库存异常!$E$4:$E$203,⑤库存异常!$B$4:$B$203,$A153))</f>
        <v/>
      </c>
      <c r="J153" s="31" t="str">
        <f aca="false">IF($A153="","",IF(ISNUMBER(F153),F153,E153)-H153-I153)</f>
        <v/>
      </c>
      <c r="K153" s="33" t="str">
        <f aca="false">IF(OR($A153="",N(E153)=0),"",H153/E153)</f>
        <v/>
      </c>
      <c r="L153" s="34" t="str">
        <f aca="false">IF($A153="","",SUMIFS(②销售核销!$L$4:$L$603,②销售核销!$E$4:$E$603,$A153))</f>
        <v/>
      </c>
      <c r="M153" s="34" t="str">
        <f aca="false">IF($A153="","",SUMIFS(②销售核销!$L$4:$L$603,②销售核销!$E$4:$E$603,$A153,②销售核销!$M$4:$M$603,"已收汇"))</f>
        <v/>
      </c>
      <c r="N153" s="30" t="str">
        <f aca="false">IF(ISNUMBER(D153),DATE(YEAR(D153)+1,4,30),"")</f>
        <v/>
      </c>
      <c r="O153" s="35" t="str">
        <f aca="true">IF($A153="","",IF(N(H153)=0,IF(AND(ISNUMBER(N153),TODAY()&gt;N153),"超过收汇期限仍未销售","尚未销售"),IF(ROUND(M153,2)&gt;=ROUND(L153,2),"已售部分已收汇",IF(AND(ISNUMBER(N153),TODAY()&gt;N153),"超期未收汇","有回款待收汇"))))</f>
        <v/>
      </c>
      <c r="P153" s="34" t="str">
        <f aca="false">IF($A153="","",SUMIFS(④退税核算!$H$4:$H$303,④退税核算!$A$4:$A$303,$A153))</f>
        <v/>
      </c>
      <c r="Q153" s="34" t="str">
        <f aca="false">IF($A153="","",SUMIFS(④退税核算!$H$4:$H$303,④退税核算!$A$4:$A$303,$A153,④退税核算!$D$4:$D$303,"未售-海外仓预退（HWC-YT）"))</f>
        <v/>
      </c>
      <c r="R153" s="30" t="str">
        <f aca="false">IF($A153="","",IF(COUNTIFS(④退税核算!$A$4:$A$303,$A153,④退税核算!$D$4:$D$303,"未售-海外仓预退（HWC-YT）",④退税核算!$I$4:$I$303,"&gt;0")=0,"",_xlfn.MINIFS(④退税核算!$J$4:$J$303,④退税核算!$A$4:$A$303,$A153,④退税核算!$D$4:$D$303,"未售-海外仓预退（HWC-YT）")))</f>
        <v/>
      </c>
      <c r="S153" s="35" t="str">
        <f aca="false">IF($A153="","",IF(COUNTIFS(④退税核算!$A$4:$A$303,$A153,④退税核算!$D$4:$D$303,"未售-海外仓预退（HWC-YT）")=0,"不涉及",IF(COUNTIFS(④退税核算!$A$4:$A$303,$A153,④退税核算!$S$4:$S$303,"已逾期*")&gt;0,"已逾期",IF(COUNTIFS(④退税核算!$A$4:$A$303,$A153,④退税核算!$S$4:$S$303,"临近*")&gt;0,"临近截止",IF(COUNTIFS(④退税核算!$A$4:$A$303,$A153,④退税核算!$S$4:$S$303,"待*")&gt;0,"待核算","已核算")))))</f>
        <v/>
      </c>
      <c r="T153" s="35" t="str">
        <f aca="false">IF($A153="","",IFERROR(INDEX(⑥单证留存!$P$4:$P$203,MATCH(①出口报关!B150,⑥单证留存!$A$4:$A$203,0)),"未登记"))</f>
        <v/>
      </c>
      <c r="U153" s="36" t="str">
        <f aca="false">IF($A153="","",IF(IF(OR(O153="超期未收汇",O153="超过收汇期限仍未销售")," 收汇超期","")&amp;IF(S153="已逾期"," 核算逾期","")&amp;IF(S153="临近截止"," 核算临近截止","")&amp;IF(LEFT(T153,1)="缺"," 单证"&amp;T153,"")&amp;IF(T153="未登记"," 单证未登记","")&amp;IF(AND(ISNUMBER(G153),N(G153)&lt;&gt;0)," 入仓差异"&amp;G153,"")="","正常",SUBSTITUTE(TRIM(IF(OR(O153="超期未收汇",O153="超过收汇期限仍未销售")," 收汇超期","")&amp;IF(S153="已逾期"," 核算逾期","")&amp;IF(S153="临近截止"," 核算临近截止","")&amp;IF(LEFT(T153,1)="缺"," 单证"&amp;T153,"")&amp;IF(T153="未登记"," 单证未登记","")&amp;IF(AND(ISNUMBER(G153),N(G153)&lt;&gt;0)," 入仓差异"&amp;G153,""))," ","、")))</f>
        <v/>
      </c>
    </row>
    <row r="154" customFormat="false" ht="21.75" hidden="false" customHeight="true" outlineLevel="0" collapsed="false">
      <c r="A154" s="29" t="str">
        <f aca="false">IF(①出口报关!A151="","",①出口报关!A151)</f>
        <v/>
      </c>
      <c r="B154" s="29" t="str">
        <f aca="false">IF($A154="","",①出口报关!I151)</f>
        <v/>
      </c>
      <c r="C154" s="29" t="str">
        <f aca="false">IF($A154="","",①出口报关!J151)</f>
        <v/>
      </c>
      <c r="D154" s="30" t="str">
        <f aca="false">IF($A154="","",IF(①出口报关!D151="","",①出口报关!D151))</f>
        <v/>
      </c>
      <c r="E154" s="31" t="str">
        <f aca="false">IF($A154="","",N(①出口报关!L151))</f>
        <v/>
      </c>
      <c r="F154" s="31" t="str">
        <f aca="false">IF($A154="","",IF(①出口报关!Y151="","未签收",①出口报关!Y151))</f>
        <v/>
      </c>
      <c r="G154" s="32" t="str">
        <f aca="false">IF(OR($A154="",NOT(ISNUMBER(F154))),"",F154-E154)</f>
        <v/>
      </c>
      <c r="H154" s="31" t="str">
        <f aca="false">IF($A154="","",SUMIFS(②销售核销!$I$4:$I$603,②销售核销!$E$4:$E$603,$A154))</f>
        <v/>
      </c>
      <c r="I154" s="31" t="str">
        <f aca="false">IF($A154="","",SUMIFS(⑤库存异常!$E$4:$E$203,⑤库存异常!$B$4:$B$203,$A154))</f>
        <v/>
      </c>
      <c r="J154" s="31" t="str">
        <f aca="false">IF($A154="","",IF(ISNUMBER(F154),F154,E154)-H154-I154)</f>
        <v/>
      </c>
      <c r="K154" s="33" t="str">
        <f aca="false">IF(OR($A154="",N(E154)=0),"",H154/E154)</f>
        <v/>
      </c>
      <c r="L154" s="34" t="str">
        <f aca="false">IF($A154="","",SUMIFS(②销售核销!$L$4:$L$603,②销售核销!$E$4:$E$603,$A154))</f>
        <v/>
      </c>
      <c r="M154" s="34" t="str">
        <f aca="false">IF($A154="","",SUMIFS(②销售核销!$L$4:$L$603,②销售核销!$E$4:$E$603,$A154,②销售核销!$M$4:$M$603,"已收汇"))</f>
        <v/>
      </c>
      <c r="N154" s="30" t="str">
        <f aca="false">IF(ISNUMBER(D154),DATE(YEAR(D154)+1,4,30),"")</f>
        <v/>
      </c>
      <c r="O154" s="35" t="str">
        <f aca="true">IF($A154="","",IF(N(H154)=0,IF(AND(ISNUMBER(N154),TODAY()&gt;N154),"超过收汇期限仍未销售","尚未销售"),IF(ROUND(M154,2)&gt;=ROUND(L154,2),"已售部分已收汇",IF(AND(ISNUMBER(N154),TODAY()&gt;N154),"超期未收汇","有回款待收汇"))))</f>
        <v/>
      </c>
      <c r="P154" s="34" t="str">
        <f aca="false">IF($A154="","",SUMIFS(④退税核算!$H$4:$H$303,④退税核算!$A$4:$A$303,$A154))</f>
        <v/>
      </c>
      <c r="Q154" s="34" t="str">
        <f aca="false">IF($A154="","",SUMIFS(④退税核算!$H$4:$H$303,④退税核算!$A$4:$A$303,$A154,④退税核算!$D$4:$D$303,"未售-海外仓预退（HWC-YT）"))</f>
        <v/>
      </c>
      <c r="R154" s="30" t="str">
        <f aca="false">IF($A154="","",IF(COUNTIFS(④退税核算!$A$4:$A$303,$A154,④退税核算!$D$4:$D$303,"未售-海外仓预退（HWC-YT）",④退税核算!$I$4:$I$303,"&gt;0")=0,"",_xlfn.MINIFS(④退税核算!$J$4:$J$303,④退税核算!$A$4:$A$303,$A154,④退税核算!$D$4:$D$303,"未售-海外仓预退（HWC-YT）")))</f>
        <v/>
      </c>
      <c r="S154" s="35" t="str">
        <f aca="false">IF($A154="","",IF(COUNTIFS(④退税核算!$A$4:$A$303,$A154,④退税核算!$D$4:$D$303,"未售-海外仓预退（HWC-YT）")=0,"不涉及",IF(COUNTIFS(④退税核算!$A$4:$A$303,$A154,④退税核算!$S$4:$S$303,"已逾期*")&gt;0,"已逾期",IF(COUNTIFS(④退税核算!$A$4:$A$303,$A154,④退税核算!$S$4:$S$303,"临近*")&gt;0,"临近截止",IF(COUNTIFS(④退税核算!$A$4:$A$303,$A154,④退税核算!$S$4:$S$303,"待*")&gt;0,"待核算","已核算")))))</f>
        <v/>
      </c>
      <c r="T154" s="35" t="str">
        <f aca="false">IF($A154="","",IFERROR(INDEX(⑥单证留存!$P$4:$P$203,MATCH(①出口报关!B151,⑥单证留存!$A$4:$A$203,0)),"未登记"))</f>
        <v/>
      </c>
      <c r="U154" s="36" t="str">
        <f aca="false">IF($A154="","",IF(IF(OR(O154="超期未收汇",O154="超过收汇期限仍未销售")," 收汇超期","")&amp;IF(S154="已逾期"," 核算逾期","")&amp;IF(S154="临近截止"," 核算临近截止","")&amp;IF(LEFT(T154,1)="缺"," 单证"&amp;T154,"")&amp;IF(T154="未登记"," 单证未登记","")&amp;IF(AND(ISNUMBER(G154),N(G154)&lt;&gt;0)," 入仓差异"&amp;G154,"")="","正常",SUBSTITUTE(TRIM(IF(OR(O154="超期未收汇",O154="超过收汇期限仍未销售")," 收汇超期","")&amp;IF(S154="已逾期"," 核算逾期","")&amp;IF(S154="临近截止"," 核算临近截止","")&amp;IF(LEFT(T154,1)="缺"," 单证"&amp;T154,"")&amp;IF(T154="未登记"," 单证未登记","")&amp;IF(AND(ISNUMBER(G154),N(G154)&lt;&gt;0)," 入仓差异"&amp;G154,""))," ","、")))</f>
        <v/>
      </c>
    </row>
    <row r="155" customFormat="false" ht="21.75" hidden="false" customHeight="true" outlineLevel="0" collapsed="false">
      <c r="A155" s="29" t="str">
        <f aca="false">IF(①出口报关!A152="","",①出口报关!A152)</f>
        <v/>
      </c>
      <c r="B155" s="29" t="str">
        <f aca="false">IF($A155="","",①出口报关!I152)</f>
        <v/>
      </c>
      <c r="C155" s="29" t="str">
        <f aca="false">IF($A155="","",①出口报关!J152)</f>
        <v/>
      </c>
      <c r="D155" s="30" t="str">
        <f aca="false">IF($A155="","",IF(①出口报关!D152="","",①出口报关!D152))</f>
        <v/>
      </c>
      <c r="E155" s="31" t="str">
        <f aca="false">IF($A155="","",N(①出口报关!L152))</f>
        <v/>
      </c>
      <c r="F155" s="31" t="str">
        <f aca="false">IF($A155="","",IF(①出口报关!Y152="","未签收",①出口报关!Y152))</f>
        <v/>
      </c>
      <c r="G155" s="32" t="str">
        <f aca="false">IF(OR($A155="",NOT(ISNUMBER(F155))),"",F155-E155)</f>
        <v/>
      </c>
      <c r="H155" s="31" t="str">
        <f aca="false">IF($A155="","",SUMIFS(②销售核销!$I$4:$I$603,②销售核销!$E$4:$E$603,$A155))</f>
        <v/>
      </c>
      <c r="I155" s="31" t="str">
        <f aca="false">IF($A155="","",SUMIFS(⑤库存异常!$E$4:$E$203,⑤库存异常!$B$4:$B$203,$A155))</f>
        <v/>
      </c>
      <c r="J155" s="31" t="str">
        <f aca="false">IF($A155="","",IF(ISNUMBER(F155),F155,E155)-H155-I155)</f>
        <v/>
      </c>
      <c r="K155" s="33" t="str">
        <f aca="false">IF(OR($A155="",N(E155)=0),"",H155/E155)</f>
        <v/>
      </c>
      <c r="L155" s="34" t="str">
        <f aca="false">IF($A155="","",SUMIFS(②销售核销!$L$4:$L$603,②销售核销!$E$4:$E$603,$A155))</f>
        <v/>
      </c>
      <c r="M155" s="34" t="str">
        <f aca="false">IF($A155="","",SUMIFS(②销售核销!$L$4:$L$603,②销售核销!$E$4:$E$603,$A155,②销售核销!$M$4:$M$603,"已收汇"))</f>
        <v/>
      </c>
      <c r="N155" s="30" t="str">
        <f aca="false">IF(ISNUMBER(D155),DATE(YEAR(D155)+1,4,30),"")</f>
        <v/>
      </c>
      <c r="O155" s="35" t="str">
        <f aca="true">IF($A155="","",IF(N(H155)=0,IF(AND(ISNUMBER(N155),TODAY()&gt;N155),"超过收汇期限仍未销售","尚未销售"),IF(ROUND(M155,2)&gt;=ROUND(L155,2),"已售部分已收汇",IF(AND(ISNUMBER(N155),TODAY()&gt;N155),"超期未收汇","有回款待收汇"))))</f>
        <v/>
      </c>
      <c r="P155" s="34" t="str">
        <f aca="false">IF($A155="","",SUMIFS(④退税核算!$H$4:$H$303,④退税核算!$A$4:$A$303,$A155))</f>
        <v/>
      </c>
      <c r="Q155" s="34" t="str">
        <f aca="false">IF($A155="","",SUMIFS(④退税核算!$H$4:$H$303,④退税核算!$A$4:$A$303,$A155,④退税核算!$D$4:$D$303,"未售-海外仓预退（HWC-YT）"))</f>
        <v/>
      </c>
      <c r="R155" s="30" t="str">
        <f aca="false">IF($A155="","",IF(COUNTIFS(④退税核算!$A$4:$A$303,$A155,④退税核算!$D$4:$D$303,"未售-海外仓预退（HWC-YT）",④退税核算!$I$4:$I$303,"&gt;0")=0,"",_xlfn.MINIFS(④退税核算!$J$4:$J$303,④退税核算!$A$4:$A$303,$A155,④退税核算!$D$4:$D$303,"未售-海外仓预退（HWC-YT）")))</f>
        <v/>
      </c>
      <c r="S155" s="35" t="str">
        <f aca="false">IF($A155="","",IF(COUNTIFS(④退税核算!$A$4:$A$303,$A155,④退税核算!$D$4:$D$303,"未售-海外仓预退（HWC-YT）")=0,"不涉及",IF(COUNTIFS(④退税核算!$A$4:$A$303,$A155,④退税核算!$S$4:$S$303,"已逾期*")&gt;0,"已逾期",IF(COUNTIFS(④退税核算!$A$4:$A$303,$A155,④退税核算!$S$4:$S$303,"临近*")&gt;0,"临近截止",IF(COUNTIFS(④退税核算!$A$4:$A$303,$A155,④退税核算!$S$4:$S$303,"待*")&gt;0,"待核算","已核算")))))</f>
        <v/>
      </c>
      <c r="T155" s="35" t="str">
        <f aca="false">IF($A155="","",IFERROR(INDEX(⑥单证留存!$P$4:$P$203,MATCH(①出口报关!B152,⑥单证留存!$A$4:$A$203,0)),"未登记"))</f>
        <v/>
      </c>
      <c r="U155" s="36" t="str">
        <f aca="false">IF($A155="","",IF(IF(OR(O155="超期未收汇",O155="超过收汇期限仍未销售")," 收汇超期","")&amp;IF(S155="已逾期"," 核算逾期","")&amp;IF(S155="临近截止"," 核算临近截止","")&amp;IF(LEFT(T155,1)="缺"," 单证"&amp;T155,"")&amp;IF(T155="未登记"," 单证未登记","")&amp;IF(AND(ISNUMBER(G155),N(G155)&lt;&gt;0)," 入仓差异"&amp;G155,"")="","正常",SUBSTITUTE(TRIM(IF(OR(O155="超期未收汇",O155="超过收汇期限仍未销售")," 收汇超期","")&amp;IF(S155="已逾期"," 核算逾期","")&amp;IF(S155="临近截止"," 核算临近截止","")&amp;IF(LEFT(T155,1)="缺"," 单证"&amp;T155,"")&amp;IF(T155="未登记"," 单证未登记","")&amp;IF(AND(ISNUMBER(G155),N(G155)&lt;&gt;0)," 入仓差异"&amp;G155,""))," ","、")))</f>
        <v/>
      </c>
    </row>
    <row r="156" customFormat="false" ht="21.75" hidden="false" customHeight="true" outlineLevel="0" collapsed="false">
      <c r="A156" s="29" t="str">
        <f aca="false">IF(①出口报关!A153="","",①出口报关!A153)</f>
        <v/>
      </c>
      <c r="B156" s="29" t="str">
        <f aca="false">IF($A156="","",①出口报关!I153)</f>
        <v/>
      </c>
      <c r="C156" s="29" t="str">
        <f aca="false">IF($A156="","",①出口报关!J153)</f>
        <v/>
      </c>
      <c r="D156" s="30" t="str">
        <f aca="false">IF($A156="","",IF(①出口报关!D153="","",①出口报关!D153))</f>
        <v/>
      </c>
      <c r="E156" s="31" t="str">
        <f aca="false">IF($A156="","",N(①出口报关!L153))</f>
        <v/>
      </c>
      <c r="F156" s="31" t="str">
        <f aca="false">IF($A156="","",IF(①出口报关!Y153="","未签收",①出口报关!Y153))</f>
        <v/>
      </c>
      <c r="G156" s="32" t="str">
        <f aca="false">IF(OR($A156="",NOT(ISNUMBER(F156))),"",F156-E156)</f>
        <v/>
      </c>
      <c r="H156" s="31" t="str">
        <f aca="false">IF($A156="","",SUMIFS(②销售核销!$I$4:$I$603,②销售核销!$E$4:$E$603,$A156))</f>
        <v/>
      </c>
      <c r="I156" s="31" t="str">
        <f aca="false">IF($A156="","",SUMIFS(⑤库存异常!$E$4:$E$203,⑤库存异常!$B$4:$B$203,$A156))</f>
        <v/>
      </c>
      <c r="J156" s="31" t="str">
        <f aca="false">IF($A156="","",IF(ISNUMBER(F156),F156,E156)-H156-I156)</f>
        <v/>
      </c>
      <c r="K156" s="33" t="str">
        <f aca="false">IF(OR($A156="",N(E156)=0),"",H156/E156)</f>
        <v/>
      </c>
      <c r="L156" s="34" t="str">
        <f aca="false">IF($A156="","",SUMIFS(②销售核销!$L$4:$L$603,②销售核销!$E$4:$E$603,$A156))</f>
        <v/>
      </c>
      <c r="M156" s="34" t="str">
        <f aca="false">IF($A156="","",SUMIFS(②销售核销!$L$4:$L$603,②销售核销!$E$4:$E$603,$A156,②销售核销!$M$4:$M$603,"已收汇"))</f>
        <v/>
      </c>
      <c r="N156" s="30" t="str">
        <f aca="false">IF(ISNUMBER(D156),DATE(YEAR(D156)+1,4,30),"")</f>
        <v/>
      </c>
      <c r="O156" s="35" t="str">
        <f aca="true">IF($A156="","",IF(N(H156)=0,IF(AND(ISNUMBER(N156),TODAY()&gt;N156),"超过收汇期限仍未销售","尚未销售"),IF(ROUND(M156,2)&gt;=ROUND(L156,2),"已售部分已收汇",IF(AND(ISNUMBER(N156),TODAY()&gt;N156),"超期未收汇","有回款待收汇"))))</f>
        <v/>
      </c>
      <c r="P156" s="34" t="str">
        <f aca="false">IF($A156="","",SUMIFS(④退税核算!$H$4:$H$303,④退税核算!$A$4:$A$303,$A156))</f>
        <v/>
      </c>
      <c r="Q156" s="34" t="str">
        <f aca="false">IF($A156="","",SUMIFS(④退税核算!$H$4:$H$303,④退税核算!$A$4:$A$303,$A156,④退税核算!$D$4:$D$303,"未售-海外仓预退（HWC-YT）"))</f>
        <v/>
      </c>
      <c r="R156" s="30" t="str">
        <f aca="false">IF($A156="","",IF(COUNTIFS(④退税核算!$A$4:$A$303,$A156,④退税核算!$D$4:$D$303,"未售-海外仓预退（HWC-YT）",④退税核算!$I$4:$I$303,"&gt;0")=0,"",_xlfn.MINIFS(④退税核算!$J$4:$J$303,④退税核算!$A$4:$A$303,$A156,④退税核算!$D$4:$D$303,"未售-海外仓预退（HWC-YT）")))</f>
        <v/>
      </c>
      <c r="S156" s="35" t="str">
        <f aca="false">IF($A156="","",IF(COUNTIFS(④退税核算!$A$4:$A$303,$A156,④退税核算!$D$4:$D$303,"未售-海外仓预退（HWC-YT）")=0,"不涉及",IF(COUNTIFS(④退税核算!$A$4:$A$303,$A156,④退税核算!$S$4:$S$303,"已逾期*")&gt;0,"已逾期",IF(COUNTIFS(④退税核算!$A$4:$A$303,$A156,④退税核算!$S$4:$S$303,"临近*")&gt;0,"临近截止",IF(COUNTIFS(④退税核算!$A$4:$A$303,$A156,④退税核算!$S$4:$S$303,"待*")&gt;0,"待核算","已核算")))))</f>
        <v/>
      </c>
      <c r="T156" s="35" t="str">
        <f aca="false">IF($A156="","",IFERROR(INDEX(⑥单证留存!$P$4:$P$203,MATCH(①出口报关!B153,⑥单证留存!$A$4:$A$203,0)),"未登记"))</f>
        <v/>
      </c>
      <c r="U156" s="36" t="str">
        <f aca="false">IF($A156="","",IF(IF(OR(O156="超期未收汇",O156="超过收汇期限仍未销售")," 收汇超期","")&amp;IF(S156="已逾期"," 核算逾期","")&amp;IF(S156="临近截止"," 核算临近截止","")&amp;IF(LEFT(T156,1)="缺"," 单证"&amp;T156,"")&amp;IF(T156="未登记"," 单证未登记","")&amp;IF(AND(ISNUMBER(G156),N(G156)&lt;&gt;0)," 入仓差异"&amp;G156,"")="","正常",SUBSTITUTE(TRIM(IF(OR(O156="超期未收汇",O156="超过收汇期限仍未销售")," 收汇超期","")&amp;IF(S156="已逾期"," 核算逾期","")&amp;IF(S156="临近截止"," 核算临近截止","")&amp;IF(LEFT(T156,1)="缺"," 单证"&amp;T156,"")&amp;IF(T156="未登记"," 单证未登记","")&amp;IF(AND(ISNUMBER(G156),N(G156)&lt;&gt;0)," 入仓差异"&amp;G156,""))," ","、")))</f>
        <v/>
      </c>
    </row>
    <row r="157" customFormat="false" ht="21.75" hidden="false" customHeight="true" outlineLevel="0" collapsed="false">
      <c r="A157" s="29" t="str">
        <f aca="false">IF(①出口报关!A154="","",①出口报关!A154)</f>
        <v/>
      </c>
      <c r="B157" s="29" t="str">
        <f aca="false">IF($A157="","",①出口报关!I154)</f>
        <v/>
      </c>
      <c r="C157" s="29" t="str">
        <f aca="false">IF($A157="","",①出口报关!J154)</f>
        <v/>
      </c>
      <c r="D157" s="30" t="str">
        <f aca="false">IF($A157="","",IF(①出口报关!D154="","",①出口报关!D154))</f>
        <v/>
      </c>
      <c r="E157" s="31" t="str">
        <f aca="false">IF($A157="","",N(①出口报关!L154))</f>
        <v/>
      </c>
      <c r="F157" s="31" t="str">
        <f aca="false">IF($A157="","",IF(①出口报关!Y154="","未签收",①出口报关!Y154))</f>
        <v/>
      </c>
      <c r="G157" s="32" t="str">
        <f aca="false">IF(OR($A157="",NOT(ISNUMBER(F157))),"",F157-E157)</f>
        <v/>
      </c>
      <c r="H157" s="31" t="str">
        <f aca="false">IF($A157="","",SUMIFS(②销售核销!$I$4:$I$603,②销售核销!$E$4:$E$603,$A157))</f>
        <v/>
      </c>
      <c r="I157" s="31" t="str">
        <f aca="false">IF($A157="","",SUMIFS(⑤库存异常!$E$4:$E$203,⑤库存异常!$B$4:$B$203,$A157))</f>
        <v/>
      </c>
      <c r="J157" s="31" t="str">
        <f aca="false">IF($A157="","",IF(ISNUMBER(F157),F157,E157)-H157-I157)</f>
        <v/>
      </c>
      <c r="K157" s="33" t="str">
        <f aca="false">IF(OR($A157="",N(E157)=0),"",H157/E157)</f>
        <v/>
      </c>
      <c r="L157" s="34" t="str">
        <f aca="false">IF($A157="","",SUMIFS(②销售核销!$L$4:$L$603,②销售核销!$E$4:$E$603,$A157))</f>
        <v/>
      </c>
      <c r="M157" s="34" t="str">
        <f aca="false">IF($A157="","",SUMIFS(②销售核销!$L$4:$L$603,②销售核销!$E$4:$E$603,$A157,②销售核销!$M$4:$M$603,"已收汇"))</f>
        <v/>
      </c>
      <c r="N157" s="30" t="str">
        <f aca="false">IF(ISNUMBER(D157),DATE(YEAR(D157)+1,4,30),"")</f>
        <v/>
      </c>
      <c r="O157" s="35" t="str">
        <f aca="true">IF($A157="","",IF(N(H157)=0,IF(AND(ISNUMBER(N157),TODAY()&gt;N157),"超过收汇期限仍未销售","尚未销售"),IF(ROUND(M157,2)&gt;=ROUND(L157,2),"已售部分已收汇",IF(AND(ISNUMBER(N157),TODAY()&gt;N157),"超期未收汇","有回款待收汇"))))</f>
        <v/>
      </c>
      <c r="P157" s="34" t="str">
        <f aca="false">IF($A157="","",SUMIFS(④退税核算!$H$4:$H$303,④退税核算!$A$4:$A$303,$A157))</f>
        <v/>
      </c>
      <c r="Q157" s="34" t="str">
        <f aca="false">IF($A157="","",SUMIFS(④退税核算!$H$4:$H$303,④退税核算!$A$4:$A$303,$A157,④退税核算!$D$4:$D$303,"未售-海外仓预退（HWC-YT）"))</f>
        <v/>
      </c>
      <c r="R157" s="30" t="str">
        <f aca="false">IF($A157="","",IF(COUNTIFS(④退税核算!$A$4:$A$303,$A157,④退税核算!$D$4:$D$303,"未售-海外仓预退（HWC-YT）",④退税核算!$I$4:$I$303,"&gt;0")=0,"",_xlfn.MINIFS(④退税核算!$J$4:$J$303,④退税核算!$A$4:$A$303,$A157,④退税核算!$D$4:$D$303,"未售-海外仓预退（HWC-YT）")))</f>
        <v/>
      </c>
      <c r="S157" s="35" t="str">
        <f aca="false">IF($A157="","",IF(COUNTIFS(④退税核算!$A$4:$A$303,$A157,④退税核算!$D$4:$D$303,"未售-海外仓预退（HWC-YT）")=0,"不涉及",IF(COUNTIFS(④退税核算!$A$4:$A$303,$A157,④退税核算!$S$4:$S$303,"已逾期*")&gt;0,"已逾期",IF(COUNTIFS(④退税核算!$A$4:$A$303,$A157,④退税核算!$S$4:$S$303,"临近*")&gt;0,"临近截止",IF(COUNTIFS(④退税核算!$A$4:$A$303,$A157,④退税核算!$S$4:$S$303,"待*")&gt;0,"待核算","已核算")))))</f>
        <v/>
      </c>
      <c r="T157" s="35" t="str">
        <f aca="false">IF($A157="","",IFERROR(INDEX(⑥单证留存!$P$4:$P$203,MATCH(①出口报关!B154,⑥单证留存!$A$4:$A$203,0)),"未登记"))</f>
        <v/>
      </c>
      <c r="U157" s="36" t="str">
        <f aca="false">IF($A157="","",IF(IF(OR(O157="超期未收汇",O157="超过收汇期限仍未销售")," 收汇超期","")&amp;IF(S157="已逾期"," 核算逾期","")&amp;IF(S157="临近截止"," 核算临近截止","")&amp;IF(LEFT(T157,1)="缺"," 单证"&amp;T157,"")&amp;IF(T157="未登记"," 单证未登记","")&amp;IF(AND(ISNUMBER(G157),N(G157)&lt;&gt;0)," 入仓差异"&amp;G157,"")="","正常",SUBSTITUTE(TRIM(IF(OR(O157="超期未收汇",O157="超过收汇期限仍未销售")," 收汇超期","")&amp;IF(S157="已逾期"," 核算逾期","")&amp;IF(S157="临近截止"," 核算临近截止","")&amp;IF(LEFT(T157,1)="缺"," 单证"&amp;T157,"")&amp;IF(T157="未登记"," 单证未登记","")&amp;IF(AND(ISNUMBER(G157),N(G157)&lt;&gt;0)," 入仓差异"&amp;G157,""))," ","、")))</f>
        <v/>
      </c>
    </row>
    <row r="158" customFormat="false" ht="21.75" hidden="false" customHeight="true" outlineLevel="0" collapsed="false">
      <c r="A158" s="29" t="str">
        <f aca="false">IF(①出口报关!A155="","",①出口报关!A155)</f>
        <v/>
      </c>
      <c r="B158" s="29" t="str">
        <f aca="false">IF($A158="","",①出口报关!I155)</f>
        <v/>
      </c>
      <c r="C158" s="29" t="str">
        <f aca="false">IF($A158="","",①出口报关!J155)</f>
        <v/>
      </c>
      <c r="D158" s="30" t="str">
        <f aca="false">IF($A158="","",IF(①出口报关!D155="","",①出口报关!D155))</f>
        <v/>
      </c>
      <c r="E158" s="31" t="str">
        <f aca="false">IF($A158="","",N(①出口报关!L155))</f>
        <v/>
      </c>
      <c r="F158" s="31" t="str">
        <f aca="false">IF($A158="","",IF(①出口报关!Y155="","未签收",①出口报关!Y155))</f>
        <v/>
      </c>
      <c r="G158" s="32" t="str">
        <f aca="false">IF(OR($A158="",NOT(ISNUMBER(F158))),"",F158-E158)</f>
        <v/>
      </c>
      <c r="H158" s="31" t="str">
        <f aca="false">IF($A158="","",SUMIFS(②销售核销!$I$4:$I$603,②销售核销!$E$4:$E$603,$A158))</f>
        <v/>
      </c>
      <c r="I158" s="31" t="str">
        <f aca="false">IF($A158="","",SUMIFS(⑤库存异常!$E$4:$E$203,⑤库存异常!$B$4:$B$203,$A158))</f>
        <v/>
      </c>
      <c r="J158" s="31" t="str">
        <f aca="false">IF($A158="","",IF(ISNUMBER(F158),F158,E158)-H158-I158)</f>
        <v/>
      </c>
      <c r="K158" s="33" t="str">
        <f aca="false">IF(OR($A158="",N(E158)=0),"",H158/E158)</f>
        <v/>
      </c>
      <c r="L158" s="34" t="str">
        <f aca="false">IF($A158="","",SUMIFS(②销售核销!$L$4:$L$603,②销售核销!$E$4:$E$603,$A158))</f>
        <v/>
      </c>
      <c r="M158" s="34" t="str">
        <f aca="false">IF($A158="","",SUMIFS(②销售核销!$L$4:$L$603,②销售核销!$E$4:$E$603,$A158,②销售核销!$M$4:$M$603,"已收汇"))</f>
        <v/>
      </c>
      <c r="N158" s="30" t="str">
        <f aca="false">IF(ISNUMBER(D158),DATE(YEAR(D158)+1,4,30),"")</f>
        <v/>
      </c>
      <c r="O158" s="35" t="str">
        <f aca="true">IF($A158="","",IF(N(H158)=0,IF(AND(ISNUMBER(N158),TODAY()&gt;N158),"超过收汇期限仍未销售","尚未销售"),IF(ROUND(M158,2)&gt;=ROUND(L158,2),"已售部分已收汇",IF(AND(ISNUMBER(N158),TODAY()&gt;N158),"超期未收汇","有回款待收汇"))))</f>
        <v/>
      </c>
      <c r="P158" s="34" t="str">
        <f aca="false">IF($A158="","",SUMIFS(④退税核算!$H$4:$H$303,④退税核算!$A$4:$A$303,$A158))</f>
        <v/>
      </c>
      <c r="Q158" s="34" t="str">
        <f aca="false">IF($A158="","",SUMIFS(④退税核算!$H$4:$H$303,④退税核算!$A$4:$A$303,$A158,④退税核算!$D$4:$D$303,"未售-海外仓预退（HWC-YT）"))</f>
        <v/>
      </c>
      <c r="R158" s="30" t="str">
        <f aca="false">IF($A158="","",IF(COUNTIFS(④退税核算!$A$4:$A$303,$A158,④退税核算!$D$4:$D$303,"未售-海外仓预退（HWC-YT）",④退税核算!$I$4:$I$303,"&gt;0")=0,"",_xlfn.MINIFS(④退税核算!$J$4:$J$303,④退税核算!$A$4:$A$303,$A158,④退税核算!$D$4:$D$303,"未售-海外仓预退（HWC-YT）")))</f>
        <v/>
      </c>
      <c r="S158" s="35" t="str">
        <f aca="false">IF($A158="","",IF(COUNTIFS(④退税核算!$A$4:$A$303,$A158,④退税核算!$D$4:$D$303,"未售-海外仓预退（HWC-YT）")=0,"不涉及",IF(COUNTIFS(④退税核算!$A$4:$A$303,$A158,④退税核算!$S$4:$S$303,"已逾期*")&gt;0,"已逾期",IF(COUNTIFS(④退税核算!$A$4:$A$303,$A158,④退税核算!$S$4:$S$303,"临近*")&gt;0,"临近截止",IF(COUNTIFS(④退税核算!$A$4:$A$303,$A158,④退税核算!$S$4:$S$303,"待*")&gt;0,"待核算","已核算")))))</f>
        <v/>
      </c>
      <c r="T158" s="35" t="str">
        <f aca="false">IF($A158="","",IFERROR(INDEX(⑥单证留存!$P$4:$P$203,MATCH(①出口报关!B155,⑥单证留存!$A$4:$A$203,0)),"未登记"))</f>
        <v/>
      </c>
      <c r="U158" s="36" t="str">
        <f aca="false">IF($A158="","",IF(IF(OR(O158="超期未收汇",O158="超过收汇期限仍未销售")," 收汇超期","")&amp;IF(S158="已逾期"," 核算逾期","")&amp;IF(S158="临近截止"," 核算临近截止","")&amp;IF(LEFT(T158,1)="缺"," 单证"&amp;T158,"")&amp;IF(T158="未登记"," 单证未登记","")&amp;IF(AND(ISNUMBER(G158),N(G158)&lt;&gt;0)," 入仓差异"&amp;G158,"")="","正常",SUBSTITUTE(TRIM(IF(OR(O158="超期未收汇",O158="超过收汇期限仍未销售")," 收汇超期","")&amp;IF(S158="已逾期"," 核算逾期","")&amp;IF(S158="临近截止"," 核算临近截止","")&amp;IF(LEFT(T158,1)="缺"," 单证"&amp;T158,"")&amp;IF(T158="未登记"," 单证未登记","")&amp;IF(AND(ISNUMBER(G158),N(G158)&lt;&gt;0)," 入仓差异"&amp;G158,""))," ","、")))</f>
        <v/>
      </c>
    </row>
    <row r="159" customFormat="false" ht="21.75" hidden="false" customHeight="true" outlineLevel="0" collapsed="false">
      <c r="A159" s="29" t="str">
        <f aca="false">IF(①出口报关!A156="","",①出口报关!A156)</f>
        <v/>
      </c>
      <c r="B159" s="29" t="str">
        <f aca="false">IF($A159="","",①出口报关!I156)</f>
        <v/>
      </c>
      <c r="C159" s="29" t="str">
        <f aca="false">IF($A159="","",①出口报关!J156)</f>
        <v/>
      </c>
      <c r="D159" s="30" t="str">
        <f aca="false">IF($A159="","",IF(①出口报关!D156="","",①出口报关!D156))</f>
        <v/>
      </c>
      <c r="E159" s="31" t="str">
        <f aca="false">IF($A159="","",N(①出口报关!L156))</f>
        <v/>
      </c>
      <c r="F159" s="31" t="str">
        <f aca="false">IF($A159="","",IF(①出口报关!Y156="","未签收",①出口报关!Y156))</f>
        <v/>
      </c>
      <c r="G159" s="32" t="str">
        <f aca="false">IF(OR($A159="",NOT(ISNUMBER(F159))),"",F159-E159)</f>
        <v/>
      </c>
      <c r="H159" s="31" t="str">
        <f aca="false">IF($A159="","",SUMIFS(②销售核销!$I$4:$I$603,②销售核销!$E$4:$E$603,$A159))</f>
        <v/>
      </c>
      <c r="I159" s="31" t="str">
        <f aca="false">IF($A159="","",SUMIFS(⑤库存异常!$E$4:$E$203,⑤库存异常!$B$4:$B$203,$A159))</f>
        <v/>
      </c>
      <c r="J159" s="31" t="str">
        <f aca="false">IF($A159="","",IF(ISNUMBER(F159),F159,E159)-H159-I159)</f>
        <v/>
      </c>
      <c r="K159" s="33" t="str">
        <f aca="false">IF(OR($A159="",N(E159)=0),"",H159/E159)</f>
        <v/>
      </c>
      <c r="L159" s="34" t="str">
        <f aca="false">IF($A159="","",SUMIFS(②销售核销!$L$4:$L$603,②销售核销!$E$4:$E$603,$A159))</f>
        <v/>
      </c>
      <c r="M159" s="34" t="str">
        <f aca="false">IF($A159="","",SUMIFS(②销售核销!$L$4:$L$603,②销售核销!$E$4:$E$603,$A159,②销售核销!$M$4:$M$603,"已收汇"))</f>
        <v/>
      </c>
      <c r="N159" s="30" t="str">
        <f aca="false">IF(ISNUMBER(D159),DATE(YEAR(D159)+1,4,30),"")</f>
        <v/>
      </c>
      <c r="O159" s="35" t="str">
        <f aca="true">IF($A159="","",IF(N(H159)=0,IF(AND(ISNUMBER(N159),TODAY()&gt;N159),"超过收汇期限仍未销售","尚未销售"),IF(ROUND(M159,2)&gt;=ROUND(L159,2),"已售部分已收汇",IF(AND(ISNUMBER(N159),TODAY()&gt;N159),"超期未收汇","有回款待收汇"))))</f>
        <v/>
      </c>
      <c r="P159" s="34" t="str">
        <f aca="false">IF($A159="","",SUMIFS(④退税核算!$H$4:$H$303,④退税核算!$A$4:$A$303,$A159))</f>
        <v/>
      </c>
      <c r="Q159" s="34" t="str">
        <f aca="false">IF($A159="","",SUMIFS(④退税核算!$H$4:$H$303,④退税核算!$A$4:$A$303,$A159,④退税核算!$D$4:$D$303,"未售-海外仓预退（HWC-YT）"))</f>
        <v/>
      </c>
      <c r="R159" s="30" t="str">
        <f aca="false">IF($A159="","",IF(COUNTIFS(④退税核算!$A$4:$A$303,$A159,④退税核算!$D$4:$D$303,"未售-海外仓预退（HWC-YT）",④退税核算!$I$4:$I$303,"&gt;0")=0,"",_xlfn.MINIFS(④退税核算!$J$4:$J$303,④退税核算!$A$4:$A$303,$A159,④退税核算!$D$4:$D$303,"未售-海外仓预退（HWC-YT）")))</f>
        <v/>
      </c>
      <c r="S159" s="35" t="str">
        <f aca="false">IF($A159="","",IF(COUNTIFS(④退税核算!$A$4:$A$303,$A159,④退税核算!$D$4:$D$303,"未售-海外仓预退（HWC-YT）")=0,"不涉及",IF(COUNTIFS(④退税核算!$A$4:$A$303,$A159,④退税核算!$S$4:$S$303,"已逾期*")&gt;0,"已逾期",IF(COUNTIFS(④退税核算!$A$4:$A$303,$A159,④退税核算!$S$4:$S$303,"临近*")&gt;0,"临近截止",IF(COUNTIFS(④退税核算!$A$4:$A$303,$A159,④退税核算!$S$4:$S$303,"待*")&gt;0,"待核算","已核算")))))</f>
        <v/>
      </c>
      <c r="T159" s="35" t="str">
        <f aca="false">IF($A159="","",IFERROR(INDEX(⑥单证留存!$P$4:$P$203,MATCH(①出口报关!B156,⑥单证留存!$A$4:$A$203,0)),"未登记"))</f>
        <v/>
      </c>
      <c r="U159" s="36" t="str">
        <f aca="false">IF($A159="","",IF(IF(OR(O159="超期未收汇",O159="超过收汇期限仍未销售")," 收汇超期","")&amp;IF(S159="已逾期"," 核算逾期","")&amp;IF(S159="临近截止"," 核算临近截止","")&amp;IF(LEFT(T159,1)="缺"," 单证"&amp;T159,"")&amp;IF(T159="未登记"," 单证未登记","")&amp;IF(AND(ISNUMBER(G159),N(G159)&lt;&gt;0)," 入仓差异"&amp;G159,"")="","正常",SUBSTITUTE(TRIM(IF(OR(O159="超期未收汇",O159="超过收汇期限仍未销售")," 收汇超期","")&amp;IF(S159="已逾期"," 核算逾期","")&amp;IF(S159="临近截止"," 核算临近截止","")&amp;IF(LEFT(T159,1)="缺"," 单证"&amp;T159,"")&amp;IF(T159="未登记"," 单证未登记","")&amp;IF(AND(ISNUMBER(G159),N(G159)&lt;&gt;0)," 入仓差异"&amp;G159,""))," ","、")))</f>
        <v/>
      </c>
    </row>
    <row r="160" customFormat="false" ht="21.75" hidden="false" customHeight="true" outlineLevel="0" collapsed="false">
      <c r="A160" s="29" t="str">
        <f aca="false">IF(①出口报关!A157="","",①出口报关!A157)</f>
        <v/>
      </c>
      <c r="B160" s="29" t="str">
        <f aca="false">IF($A160="","",①出口报关!I157)</f>
        <v/>
      </c>
      <c r="C160" s="29" t="str">
        <f aca="false">IF($A160="","",①出口报关!J157)</f>
        <v/>
      </c>
      <c r="D160" s="30" t="str">
        <f aca="false">IF($A160="","",IF(①出口报关!D157="","",①出口报关!D157))</f>
        <v/>
      </c>
      <c r="E160" s="31" t="str">
        <f aca="false">IF($A160="","",N(①出口报关!L157))</f>
        <v/>
      </c>
      <c r="F160" s="31" t="str">
        <f aca="false">IF($A160="","",IF(①出口报关!Y157="","未签收",①出口报关!Y157))</f>
        <v/>
      </c>
      <c r="G160" s="32" t="str">
        <f aca="false">IF(OR($A160="",NOT(ISNUMBER(F160))),"",F160-E160)</f>
        <v/>
      </c>
      <c r="H160" s="31" t="str">
        <f aca="false">IF($A160="","",SUMIFS(②销售核销!$I$4:$I$603,②销售核销!$E$4:$E$603,$A160))</f>
        <v/>
      </c>
      <c r="I160" s="31" t="str">
        <f aca="false">IF($A160="","",SUMIFS(⑤库存异常!$E$4:$E$203,⑤库存异常!$B$4:$B$203,$A160))</f>
        <v/>
      </c>
      <c r="J160" s="31" t="str">
        <f aca="false">IF($A160="","",IF(ISNUMBER(F160),F160,E160)-H160-I160)</f>
        <v/>
      </c>
      <c r="K160" s="33" t="str">
        <f aca="false">IF(OR($A160="",N(E160)=0),"",H160/E160)</f>
        <v/>
      </c>
      <c r="L160" s="34" t="str">
        <f aca="false">IF($A160="","",SUMIFS(②销售核销!$L$4:$L$603,②销售核销!$E$4:$E$603,$A160))</f>
        <v/>
      </c>
      <c r="M160" s="34" t="str">
        <f aca="false">IF($A160="","",SUMIFS(②销售核销!$L$4:$L$603,②销售核销!$E$4:$E$603,$A160,②销售核销!$M$4:$M$603,"已收汇"))</f>
        <v/>
      </c>
      <c r="N160" s="30" t="str">
        <f aca="false">IF(ISNUMBER(D160),DATE(YEAR(D160)+1,4,30),"")</f>
        <v/>
      </c>
      <c r="O160" s="35" t="str">
        <f aca="true">IF($A160="","",IF(N(H160)=0,IF(AND(ISNUMBER(N160),TODAY()&gt;N160),"超过收汇期限仍未销售","尚未销售"),IF(ROUND(M160,2)&gt;=ROUND(L160,2),"已售部分已收汇",IF(AND(ISNUMBER(N160),TODAY()&gt;N160),"超期未收汇","有回款待收汇"))))</f>
        <v/>
      </c>
      <c r="P160" s="34" t="str">
        <f aca="false">IF($A160="","",SUMIFS(④退税核算!$H$4:$H$303,④退税核算!$A$4:$A$303,$A160))</f>
        <v/>
      </c>
      <c r="Q160" s="34" t="str">
        <f aca="false">IF($A160="","",SUMIFS(④退税核算!$H$4:$H$303,④退税核算!$A$4:$A$303,$A160,④退税核算!$D$4:$D$303,"未售-海外仓预退（HWC-YT）"))</f>
        <v/>
      </c>
      <c r="R160" s="30" t="str">
        <f aca="false">IF($A160="","",IF(COUNTIFS(④退税核算!$A$4:$A$303,$A160,④退税核算!$D$4:$D$303,"未售-海外仓预退（HWC-YT）",④退税核算!$I$4:$I$303,"&gt;0")=0,"",_xlfn.MINIFS(④退税核算!$J$4:$J$303,④退税核算!$A$4:$A$303,$A160,④退税核算!$D$4:$D$303,"未售-海外仓预退（HWC-YT）")))</f>
        <v/>
      </c>
      <c r="S160" s="35" t="str">
        <f aca="false">IF($A160="","",IF(COUNTIFS(④退税核算!$A$4:$A$303,$A160,④退税核算!$D$4:$D$303,"未售-海外仓预退（HWC-YT）")=0,"不涉及",IF(COUNTIFS(④退税核算!$A$4:$A$303,$A160,④退税核算!$S$4:$S$303,"已逾期*")&gt;0,"已逾期",IF(COUNTIFS(④退税核算!$A$4:$A$303,$A160,④退税核算!$S$4:$S$303,"临近*")&gt;0,"临近截止",IF(COUNTIFS(④退税核算!$A$4:$A$303,$A160,④退税核算!$S$4:$S$303,"待*")&gt;0,"待核算","已核算")))))</f>
        <v/>
      </c>
      <c r="T160" s="35" t="str">
        <f aca="false">IF($A160="","",IFERROR(INDEX(⑥单证留存!$P$4:$P$203,MATCH(①出口报关!B157,⑥单证留存!$A$4:$A$203,0)),"未登记"))</f>
        <v/>
      </c>
      <c r="U160" s="36" t="str">
        <f aca="false">IF($A160="","",IF(IF(OR(O160="超期未收汇",O160="超过收汇期限仍未销售")," 收汇超期","")&amp;IF(S160="已逾期"," 核算逾期","")&amp;IF(S160="临近截止"," 核算临近截止","")&amp;IF(LEFT(T160,1)="缺"," 单证"&amp;T160,"")&amp;IF(T160="未登记"," 单证未登记","")&amp;IF(AND(ISNUMBER(G160),N(G160)&lt;&gt;0)," 入仓差异"&amp;G160,"")="","正常",SUBSTITUTE(TRIM(IF(OR(O160="超期未收汇",O160="超过收汇期限仍未销售")," 收汇超期","")&amp;IF(S160="已逾期"," 核算逾期","")&amp;IF(S160="临近截止"," 核算临近截止","")&amp;IF(LEFT(T160,1)="缺"," 单证"&amp;T160,"")&amp;IF(T160="未登记"," 单证未登记","")&amp;IF(AND(ISNUMBER(G160),N(G160)&lt;&gt;0)," 入仓差异"&amp;G160,""))," ","、")))</f>
        <v/>
      </c>
    </row>
    <row r="161" customFormat="false" ht="21.75" hidden="false" customHeight="true" outlineLevel="0" collapsed="false">
      <c r="A161" s="29" t="str">
        <f aca="false">IF(①出口报关!A158="","",①出口报关!A158)</f>
        <v/>
      </c>
      <c r="B161" s="29" t="str">
        <f aca="false">IF($A161="","",①出口报关!I158)</f>
        <v/>
      </c>
      <c r="C161" s="29" t="str">
        <f aca="false">IF($A161="","",①出口报关!J158)</f>
        <v/>
      </c>
      <c r="D161" s="30" t="str">
        <f aca="false">IF($A161="","",IF(①出口报关!D158="","",①出口报关!D158))</f>
        <v/>
      </c>
      <c r="E161" s="31" t="str">
        <f aca="false">IF($A161="","",N(①出口报关!L158))</f>
        <v/>
      </c>
      <c r="F161" s="31" t="str">
        <f aca="false">IF($A161="","",IF(①出口报关!Y158="","未签收",①出口报关!Y158))</f>
        <v/>
      </c>
      <c r="G161" s="32" t="str">
        <f aca="false">IF(OR($A161="",NOT(ISNUMBER(F161))),"",F161-E161)</f>
        <v/>
      </c>
      <c r="H161" s="31" t="str">
        <f aca="false">IF($A161="","",SUMIFS(②销售核销!$I$4:$I$603,②销售核销!$E$4:$E$603,$A161))</f>
        <v/>
      </c>
      <c r="I161" s="31" t="str">
        <f aca="false">IF($A161="","",SUMIFS(⑤库存异常!$E$4:$E$203,⑤库存异常!$B$4:$B$203,$A161))</f>
        <v/>
      </c>
      <c r="J161" s="31" t="str">
        <f aca="false">IF($A161="","",IF(ISNUMBER(F161),F161,E161)-H161-I161)</f>
        <v/>
      </c>
      <c r="K161" s="33" t="str">
        <f aca="false">IF(OR($A161="",N(E161)=0),"",H161/E161)</f>
        <v/>
      </c>
      <c r="L161" s="34" t="str">
        <f aca="false">IF($A161="","",SUMIFS(②销售核销!$L$4:$L$603,②销售核销!$E$4:$E$603,$A161))</f>
        <v/>
      </c>
      <c r="M161" s="34" t="str">
        <f aca="false">IF($A161="","",SUMIFS(②销售核销!$L$4:$L$603,②销售核销!$E$4:$E$603,$A161,②销售核销!$M$4:$M$603,"已收汇"))</f>
        <v/>
      </c>
      <c r="N161" s="30" t="str">
        <f aca="false">IF(ISNUMBER(D161),DATE(YEAR(D161)+1,4,30),"")</f>
        <v/>
      </c>
      <c r="O161" s="35" t="str">
        <f aca="true">IF($A161="","",IF(N(H161)=0,IF(AND(ISNUMBER(N161),TODAY()&gt;N161),"超过收汇期限仍未销售","尚未销售"),IF(ROUND(M161,2)&gt;=ROUND(L161,2),"已售部分已收汇",IF(AND(ISNUMBER(N161),TODAY()&gt;N161),"超期未收汇","有回款待收汇"))))</f>
        <v/>
      </c>
      <c r="P161" s="34" t="str">
        <f aca="false">IF($A161="","",SUMIFS(④退税核算!$H$4:$H$303,④退税核算!$A$4:$A$303,$A161))</f>
        <v/>
      </c>
      <c r="Q161" s="34" t="str">
        <f aca="false">IF($A161="","",SUMIFS(④退税核算!$H$4:$H$303,④退税核算!$A$4:$A$303,$A161,④退税核算!$D$4:$D$303,"未售-海外仓预退（HWC-YT）"))</f>
        <v/>
      </c>
      <c r="R161" s="30" t="str">
        <f aca="false">IF($A161="","",IF(COUNTIFS(④退税核算!$A$4:$A$303,$A161,④退税核算!$D$4:$D$303,"未售-海外仓预退（HWC-YT）",④退税核算!$I$4:$I$303,"&gt;0")=0,"",_xlfn.MINIFS(④退税核算!$J$4:$J$303,④退税核算!$A$4:$A$303,$A161,④退税核算!$D$4:$D$303,"未售-海外仓预退（HWC-YT）")))</f>
        <v/>
      </c>
      <c r="S161" s="35" t="str">
        <f aca="false">IF($A161="","",IF(COUNTIFS(④退税核算!$A$4:$A$303,$A161,④退税核算!$D$4:$D$303,"未售-海外仓预退（HWC-YT）")=0,"不涉及",IF(COUNTIFS(④退税核算!$A$4:$A$303,$A161,④退税核算!$S$4:$S$303,"已逾期*")&gt;0,"已逾期",IF(COUNTIFS(④退税核算!$A$4:$A$303,$A161,④退税核算!$S$4:$S$303,"临近*")&gt;0,"临近截止",IF(COUNTIFS(④退税核算!$A$4:$A$303,$A161,④退税核算!$S$4:$S$303,"待*")&gt;0,"待核算","已核算")))))</f>
        <v/>
      </c>
      <c r="T161" s="35" t="str">
        <f aca="false">IF($A161="","",IFERROR(INDEX(⑥单证留存!$P$4:$P$203,MATCH(①出口报关!B158,⑥单证留存!$A$4:$A$203,0)),"未登记"))</f>
        <v/>
      </c>
      <c r="U161" s="36" t="str">
        <f aca="false">IF($A161="","",IF(IF(OR(O161="超期未收汇",O161="超过收汇期限仍未销售")," 收汇超期","")&amp;IF(S161="已逾期"," 核算逾期","")&amp;IF(S161="临近截止"," 核算临近截止","")&amp;IF(LEFT(T161,1)="缺"," 单证"&amp;T161,"")&amp;IF(T161="未登记"," 单证未登记","")&amp;IF(AND(ISNUMBER(G161),N(G161)&lt;&gt;0)," 入仓差异"&amp;G161,"")="","正常",SUBSTITUTE(TRIM(IF(OR(O161="超期未收汇",O161="超过收汇期限仍未销售")," 收汇超期","")&amp;IF(S161="已逾期"," 核算逾期","")&amp;IF(S161="临近截止"," 核算临近截止","")&amp;IF(LEFT(T161,1)="缺"," 单证"&amp;T161,"")&amp;IF(T161="未登记"," 单证未登记","")&amp;IF(AND(ISNUMBER(G161),N(G161)&lt;&gt;0)," 入仓差异"&amp;G161,""))," ","、")))</f>
        <v/>
      </c>
    </row>
    <row r="162" customFormat="false" ht="21.75" hidden="false" customHeight="true" outlineLevel="0" collapsed="false">
      <c r="A162" s="29" t="str">
        <f aca="false">IF(①出口报关!A159="","",①出口报关!A159)</f>
        <v/>
      </c>
      <c r="B162" s="29" t="str">
        <f aca="false">IF($A162="","",①出口报关!I159)</f>
        <v/>
      </c>
      <c r="C162" s="29" t="str">
        <f aca="false">IF($A162="","",①出口报关!J159)</f>
        <v/>
      </c>
      <c r="D162" s="30" t="str">
        <f aca="false">IF($A162="","",IF(①出口报关!D159="","",①出口报关!D159))</f>
        <v/>
      </c>
      <c r="E162" s="31" t="str">
        <f aca="false">IF($A162="","",N(①出口报关!L159))</f>
        <v/>
      </c>
      <c r="F162" s="31" t="str">
        <f aca="false">IF($A162="","",IF(①出口报关!Y159="","未签收",①出口报关!Y159))</f>
        <v/>
      </c>
      <c r="G162" s="32" t="str">
        <f aca="false">IF(OR($A162="",NOT(ISNUMBER(F162))),"",F162-E162)</f>
        <v/>
      </c>
      <c r="H162" s="31" t="str">
        <f aca="false">IF($A162="","",SUMIFS(②销售核销!$I$4:$I$603,②销售核销!$E$4:$E$603,$A162))</f>
        <v/>
      </c>
      <c r="I162" s="31" t="str">
        <f aca="false">IF($A162="","",SUMIFS(⑤库存异常!$E$4:$E$203,⑤库存异常!$B$4:$B$203,$A162))</f>
        <v/>
      </c>
      <c r="J162" s="31" t="str">
        <f aca="false">IF($A162="","",IF(ISNUMBER(F162),F162,E162)-H162-I162)</f>
        <v/>
      </c>
      <c r="K162" s="33" t="str">
        <f aca="false">IF(OR($A162="",N(E162)=0),"",H162/E162)</f>
        <v/>
      </c>
      <c r="L162" s="34" t="str">
        <f aca="false">IF($A162="","",SUMIFS(②销售核销!$L$4:$L$603,②销售核销!$E$4:$E$603,$A162))</f>
        <v/>
      </c>
      <c r="M162" s="34" t="str">
        <f aca="false">IF($A162="","",SUMIFS(②销售核销!$L$4:$L$603,②销售核销!$E$4:$E$603,$A162,②销售核销!$M$4:$M$603,"已收汇"))</f>
        <v/>
      </c>
      <c r="N162" s="30" t="str">
        <f aca="false">IF(ISNUMBER(D162),DATE(YEAR(D162)+1,4,30),"")</f>
        <v/>
      </c>
      <c r="O162" s="35" t="str">
        <f aca="true">IF($A162="","",IF(N(H162)=0,IF(AND(ISNUMBER(N162),TODAY()&gt;N162),"超过收汇期限仍未销售","尚未销售"),IF(ROUND(M162,2)&gt;=ROUND(L162,2),"已售部分已收汇",IF(AND(ISNUMBER(N162),TODAY()&gt;N162),"超期未收汇","有回款待收汇"))))</f>
        <v/>
      </c>
      <c r="P162" s="34" t="str">
        <f aca="false">IF($A162="","",SUMIFS(④退税核算!$H$4:$H$303,④退税核算!$A$4:$A$303,$A162))</f>
        <v/>
      </c>
      <c r="Q162" s="34" t="str">
        <f aca="false">IF($A162="","",SUMIFS(④退税核算!$H$4:$H$303,④退税核算!$A$4:$A$303,$A162,④退税核算!$D$4:$D$303,"未售-海外仓预退（HWC-YT）"))</f>
        <v/>
      </c>
      <c r="R162" s="30" t="str">
        <f aca="false">IF($A162="","",IF(COUNTIFS(④退税核算!$A$4:$A$303,$A162,④退税核算!$D$4:$D$303,"未售-海外仓预退（HWC-YT）",④退税核算!$I$4:$I$303,"&gt;0")=0,"",_xlfn.MINIFS(④退税核算!$J$4:$J$303,④退税核算!$A$4:$A$303,$A162,④退税核算!$D$4:$D$303,"未售-海外仓预退（HWC-YT）")))</f>
        <v/>
      </c>
      <c r="S162" s="35" t="str">
        <f aca="false">IF($A162="","",IF(COUNTIFS(④退税核算!$A$4:$A$303,$A162,④退税核算!$D$4:$D$303,"未售-海外仓预退（HWC-YT）")=0,"不涉及",IF(COUNTIFS(④退税核算!$A$4:$A$303,$A162,④退税核算!$S$4:$S$303,"已逾期*")&gt;0,"已逾期",IF(COUNTIFS(④退税核算!$A$4:$A$303,$A162,④退税核算!$S$4:$S$303,"临近*")&gt;0,"临近截止",IF(COUNTIFS(④退税核算!$A$4:$A$303,$A162,④退税核算!$S$4:$S$303,"待*")&gt;0,"待核算","已核算")))))</f>
        <v/>
      </c>
      <c r="T162" s="35" t="str">
        <f aca="false">IF($A162="","",IFERROR(INDEX(⑥单证留存!$P$4:$P$203,MATCH(①出口报关!B159,⑥单证留存!$A$4:$A$203,0)),"未登记"))</f>
        <v/>
      </c>
      <c r="U162" s="36" t="str">
        <f aca="false">IF($A162="","",IF(IF(OR(O162="超期未收汇",O162="超过收汇期限仍未销售")," 收汇超期","")&amp;IF(S162="已逾期"," 核算逾期","")&amp;IF(S162="临近截止"," 核算临近截止","")&amp;IF(LEFT(T162,1)="缺"," 单证"&amp;T162,"")&amp;IF(T162="未登记"," 单证未登记","")&amp;IF(AND(ISNUMBER(G162),N(G162)&lt;&gt;0)," 入仓差异"&amp;G162,"")="","正常",SUBSTITUTE(TRIM(IF(OR(O162="超期未收汇",O162="超过收汇期限仍未销售")," 收汇超期","")&amp;IF(S162="已逾期"," 核算逾期","")&amp;IF(S162="临近截止"," 核算临近截止","")&amp;IF(LEFT(T162,1)="缺"," 单证"&amp;T162,"")&amp;IF(T162="未登记"," 单证未登记","")&amp;IF(AND(ISNUMBER(G162),N(G162)&lt;&gt;0)," 入仓差异"&amp;G162,""))," ","、")))</f>
        <v/>
      </c>
    </row>
    <row r="163" customFormat="false" ht="21.75" hidden="false" customHeight="true" outlineLevel="0" collapsed="false">
      <c r="A163" s="29" t="str">
        <f aca="false">IF(①出口报关!A160="","",①出口报关!A160)</f>
        <v/>
      </c>
      <c r="B163" s="29" t="str">
        <f aca="false">IF($A163="","",①出口报关!I160)</f>
        <v/>
      </c>
      <c r="C163" s="29" t="str">
        <f aca="false">IF($A163="","",①出口报关!J160)</f>
        <v/>
      </c>
      <c r="D163" s="30" t="str">
        <f aca="false">IF($A163="","",IF(①出口报关!D160="","",①出口报关!D160))</f>
        <v/>
      </c>
      <c r="E163" s="31" t="str">
        <f aca="false">IF($A163="","",N(①出口报关!L160))</f>
        <v/>
      </c>
      <c r="F163" s="31" t="str">
        <f aca="false">IF($A163="","",IF(①出口报关!Y160="","未签收",①出口报关!Y160))</f>
        <v/>
      </c>
      <c r="G163" s="32" t="str">
        <f aca="false">IF(OR($A163="",NOT(ISNUMBER(F163))),"",F163-E163)</f>
        <v/>
      </c>
      <c r="H163" s="31" t="str">
        <f aca="false">IF($A163="","",SUMIFS(②销售核销!$I$4:$I$603,②销售核销!$E$4:$E$603,$A163))</f>
        <v/>
      </c>
      <c r="I163" s="31" t="str">
        <f aca="false">IF($A163="","",SUMIFS(⑤库存异常!$E$4:$E$203,⑤库存异常!$B$4:$B$203,$A163))</f>
        <v/>
      </c>
      <c r="J163" s="31" t="str">
        <f aca="false">IF($A163="","",IF(ISNUMBER(F163),F163,E163)-H163-I163)</f>
        <v/>
      </c>
      <c r="K163" s="33" t="str">
        <f aca="false">IF(OR($A163="",N(E163)=0),"",H163/E163)</f>
        <v/>
      </c>
      <c r="L163" s="34" t="str">
        <f aca="false">IF($A163="","",SUMIFS(②销售核销!$L$4:$L$603,②销售核销!$E$4:$E$603,$A163))</f>
        <v/>
      </c>
      <c r="M163" s="34" t="str">
        <f aca="false">IF($A163="","",SUMIFS(②销售核销!$L$4:$L$603,②销售核销!$E$4:$E$603,$A163,②销售核销!$M$4:$M$603,"已收汇"))</f>
        <v/>
      </c>
      <c r="N163" s="30" t="str">
        <f aca="false">IF(ISNUMBER(D163),DATE(YEAR(D163)+1,4,30),"")</f>
        <v/>
      </c>
      <c r="O163" s="35" t="str">
        <f aca="true">IF($A163="","",IF(N(H163)=0,IF(AND(ISNUMBER(N163),TODAY()&gt;N163),"超过收汇期限仍未销售","尚未销售"),IF(ROUND(M163,2)&gt;=ROUND(L163,2),"已售部分已收汇",IF(AND(ISNUMBER(N163),TODAY()&gt;N163),"超期未收汇","有回款待收汇"))))</f>
        <v/>
      </c>
      <c r="P163" s="34" t="str">
        <f aca="false">IF($A163="","",SUMIFS(④退税核算!$H$4:$H$303,④退税核算!$A$4:$A$303,$A163))</f>
        <v/>
      </c>
      <c r="Q163" s="34" t="str">
        <f aca="false">IF($A163="","",SUMIFS(④退税核算!$H$4:$H$303,④退税核算!$A$4:$A$303,$A163,④退税核算!$D$4:$D$303,"未售-海外仓预退（HWC-YT）"))</f>
        <v/>
      </c>
      <c r="R163" s="30" t="str">
        <f aca="false">IF($A163="","",IF(COUNTIFS(④退税核算!$A$4:$A$303,$A163,④退税核算!$D$4:$D$303,"未售-海外仓预退（HWC-YT）",④退税核算!$I$4:$I$303,"&gt;0")=0,"",_xlfn.MINIFS(④退税核算!$J$4:$J$303,④退税核算!$A$4:$A$303,$A163,④退税核算!$D$4:$D$303,"未售-海外仓预退（HWC-YT）")))</f>
        <v/>
      </c>
      <c r="S163" s="35" t="str">
        <f aca="false">IF($A163="","",IF(COUNTIFS(④退税核算!$A$4:$A$303,$A163,④退税核算!$D$4:$D$303,"未售-海外仓预退（HWC-YT）")=0,"不涉及",IF(COUNTIFS(④退税核算!$A$4:$A$303,$A163,④退税核算!$S$4:$S$303,"已逾期*")&gt;0,"已逾期",IF(COUNTIFS(④退税核算!$A$4:$A$303,$A163,④退税核算!$S$4:$S$303,"临近*")&gt;0,"临近截止",IF(COUNTIFS(④退税核算!$A$4:$A$303,$A163,④退税核算!$S$4:$S$303,"待*")&gt;0,"待核算","已核算")))))</f>
        <v/>
      </c>
      <c r="T163" s="35" t="str">
        <f aca="false">IF($A163="","",IFERROR(INDEX(⑥单证留存!$P$4:$P$203,MATCH(①出口报关!B160,⑥单证留存!$A$4:$A$203,0)),"未登记"))</f>
        <v/>
      </c>
      <c r="U163" s="36" t="str">
        <f aca="false">IF($A163="","",IF(IF(OR(O163="超期未收汇",O163="超过收汇期限仍未销售")," 收汇超期","")&amp;IF(S163="已逾期"," 核算逾期","")&amp;IF(S163="临近截止"," 核算临近截止","")&amp;IF(LEFT(T163,1)="缺"," 单证"&amp;T163,"")&amp;IF(T163="未登记"," 单证未登记","")&amp;IF(AND(ISNUMBER(G163),N(G163)&lt;&gt;0)," 入仓差异"&amp;G163,"")="","正常",SUBSTITUTE(TRIM(IF(OR(O163="超期未收汇",O163="超过收汇期限仍未销售")," 收汇超期","")&amp;IF(S163="已逾期"," 核算逾期","")&amp;IF(S163="临近截止"," 核算临近截止","")&amp;IF(LEFT(T163,1)="缺"," 单证"&amp;T163,"")&amp;IF(T163="未登记"," 单证未登记","")&amp;IF(AND(ISNUMBER(G163),N(G163)&lt;&gt;0)," 入仓差异"&amp;G163,""))," ","、")))</f>
        <v/>
      </c>
    </row>
    <row r="164" customFormat="false" ht="21.75" hidden="false" customHeight="true" outlineLevel="0" collapsed="false">
      <c r="A164" s="29" t="str">
        <f aca="false">IF(①出口报关!A161="","",①出口报关!A161)</f>
        <v/>
      </c>
      <c r="B164" s="29" t="str">
        <f aca="false">IF($A164="","",①出口报关!I161)</f>
        <v/>
      </c>
      <c r="C164" s="29" t="str">
        <f aca="false">IF($A164="","",①出口报关!J161)</f>
        <v/>
      </c>
      <c r="D164" s="30" t="str">
        <f aca="false">IF($A164="","",IF(①出口报关!D161="","",①出口报关!D161))</f>
        <v/>
      </c>
      <c r="E164" s="31" t="str">
        <f aca="false">IF($A164="","",N(①出口报关!L161))</f>
        <v/>
      </c>
      <c r="F164" s="31" t="str">
        <f aca="false">IF($A164="","",IF(①出口报关!Y161="","未签收",①出口报关!Y161))</f>
        <v/>
      </c>
      <c r="G164" s="32" t="str">
        <f aca="false">IF(OR($A164="",NOT(ISNUMBER(F164))),"",F164-E164)</f>
        <v/>
      </c>
      <c r="H164" s="31" t="str">
        <f aca="false">IF($A164="","",SUMIFS(②销售核销!$I$4:$I$603,②销售核销!$E$4:$E$603,$A164))</f>
        <v/>
      </c>
      <c r="I164" s="31" t="str">
        <f aca="false">IF($A164="","",SUMIFS(⑤库存异常!$E$4:$E$203,⑤库存异常!$B$4:$B$203,$A164))</f>
        <v/>
      </c>
      <c r="J164" s="31" t="str">
        <f aca="false">IF($A164="","",IF(ISNUMBER(F164),F164,E164)-H164-I164)</f>
        <v/>
      </c>
      <c r="K164" s="33" t="str">
        <f aca="false">IF(OR($A164="",N(E164)=0),"",H164/E164)</f>
        <v/>
      </c>
      <c r="L164" s="34" t="str">
        <f aca="false">IF($A164="","",SUMIFS(②销售核销!$L$4:$L$603,②销售核销!$E$4:$E$603,$A164))</f>
        <v/>
      </c>
      <c r="M164" s="34" t="str">
        <f aca="false">IF($A164="","",SUMIFS(②销售核销!$L$4:$L$603,②销售核销!$E$4:$E$603,$A164,②销售核销!$M$4:$M$603,"已收汇"))</f>
        <v/>
      </c>
      <c r="N164" s="30" t="str">
        <f aca="false">IF(ISNUMBER(D164),DATE(YEAR(D164)+1,4,30),"")</f>
        <v/>
      </c>
      <c r="O164" s="35" t="str">
        <f aca="true">IF($A164="","",IF(N(H164)=0,IF(AND(ISNUMBER(N164),TODAY()&gt;N164),"超过收汇期限仍未销售","尚未销售"),IF(ROUND(M164,2)&gt;=ROUND(L164,2),"已售部分已收汇",IF(AND(ISNUMBER(N164),TODAY()&gt;N164),"超期未收汇","有回款待收汇"))))</f>
        <v/>
      </c>
      <c r="P164" s="34" t="str">
        <f aca="false">IF($A164="","",SUMIFS(④退税核算!$H$4:$H$303,④退税核算!$A$4:$A$303,$A164))</f>
        <v/>
      </c>
      <c r="Q164" s="34" t="str">
        <f aca="false">IF($A164="","",SUMIFS(④退税核算!$H$4:$H$303,④退税核算!$A$4:$A$303,$A164,④退税核算!$D$4:$D$303,"未售-海外仓预退（HWC-YT）"))</f>
        <v/>
      </c>
      <c r="R164" s="30" t="str">
        <f aca="false">IF($A164="","",IF(COUNTIFS(④退税核算!$A$4:$A$303,$A164,④退税核算!$D$4:$D$303,"未售-海外仓预退（HWC-YT）",④退税核算!$I$4:$I$303,"&gt;0")=0,"",_xlfn.MINIFS(④退税核算!$J$4:$J$303,④退税核算!$A$4:$A$303,$A164,④退税核算!$D$4:$D$303,"未售-海外仓预退（HWC-YT）")))</f>
        <v/>
      </c>
      <c r="S164" s="35" t="str">
        <f aca="false">IF($A164="","",IF(COUNTIFS(④退税核算!$A$4:$A$303,$A164,④退税核算!$D$4:$D$303,"未售-海外仓预退（HWC-YT）")=0,"不涉及",IF(COUNTIFS(④退税核算!$A$4:$A$303,$A164,④退税核算!$S$4:$S$303,"已逾期*")&gt;0,"已逾期",IF(COUNTIFS(④退税核算!$A$4:$A$303,$A164,④退税核算!$S$4:$S$303,"临近*")&gt;0,"临近截止",IF(COUNTIFS(④退税核算!$A$4:$A$303,$A164,④退税核算!$S$4:$S$303,"待*")&gt;0,"待核算","已核算")))))</f>
        <v/>
      </c>
      <c r="T164" s="35" t="str">
        <f aca="false">IF($A164="","",IFERROR(INDEX(⑥单证留存!$P$4:$P$203,MATCH(①出口报关!B161,⑥单证留存!$A$4:$A$203,0)),"未登记"))</f>
        <v/>
      </c>
      <c r="U164" s="36" t="str">
        <f aca="false">IF($A164="","",IF(IF(OR(O164="超期未收汇",O164="超过收汇期限仍未销售")," 收汇超期","")&amp;IF(S164="已逾期"," 核算逾期","")&amp;IF(S164="临近截止"," 核算临近截止","")&amp;IF(LEFT(T164,1)="缺"," 单证"&amp;T164,"")&amp;IF(T164="未登记"," 单证未登记","")&amp;IF(AND(ISNUMBER(G164),N(G164)&lt;&gt;0)," 入仓差异"&amp;G164,"")="","正常",SUBSTITUTE(TRIM(IF(OR(O164="超期未收汇",O164="超过收汇期限仍未销售")," 收汇超期","")&amp;IF(S164="已逾期"," 核算逾期","")&amp;IF(S164="临近截止"," 核算临近截止","")&amp;IF(LEFT(T164,1)="缺"," 单证"&amp;T164,"")&amp;IF(T164="未登记"," 单证未登记","")&amp;IF(AND(ISNUMBER(G164),N(G164)&lt;&gt;0)," 入仓差异"&amp;G164,""))," ","、")))</f>
        <v/>
      </c>
    </row>
    <row r="165" customFormat="false" ht="21.75" hidden="false" customHeight="true" outlineLevel="0" collapsed="false">
      <c r="A165" s="29" t="str">
        <f aca="false">IF(①出口报关!A162="","",①出口报关!A162)</f>
        <v/>
      </c>
      <c r="B165" s="29" t="str">
        <f aca="false">IF($A165="","",①出口报关!I162)</f>
        <v/>
      </c>
      <c r="C165" s="29" t="str">
        <f aca="false">IF($A165="","",①出口报关!J162)</f>
        <v/>
      </c>
      <c r="D165" s="30" t="str">
        <f aca="false">IF($A165="","",IF(①出口报关!D162="","",①出口报关!D162))</f>
        <v/>
      </c>
      <c r="E165" s="31" t="str">
        <f aca="false">IF($A165="","",N(①出口报关!L162))</f>
        <v/>
      </c>
      <c r="F165" s="31" t="str">
        <f aca="false">IF($A165="","",IF(①出口报关!Y162="","未签收",①出口报关!Y162))</f>
        <v/>
      </c>
      <c r="G165" s="32" t="str">
        <f aca="false">IF(OR($A165="",NOT(ISNUMBER(F165))),"",F165-E165)</f>
        <v/>
      </c>
      <c r="H165" s="31" t="str">
        <f aca="false">IF($A165="","",SUMIFS(②销售核销!$I$4:$I$603,②销售核销!$E$4:$E$603,$A165))</f>
        <v/>
      </c>
      <c r="I165" s="31" t="str">
        <f aca="false">IF($A165="","",SUMIFS(⑤库存异常!$E$4:$E$203,⑤库存异常!$B$4:$B$203,$A165))</f>
        <v/>
      </c>
      <c r="J165" s="31" t="str">
        <f aca="false">IF($A165="","",IF(ISNUMBER(F165),F165,E165)-H165-I165)</f>
        <v/>
      </c>
      <c r="K165" s="33" t="str">
        <f aca="false">IF(OR($A165="",N(E165)=0),"",H165/E165)</f>
        <v/>
      </c>
      <c r="L165" s="34" t="str">
        <f aca="false">IF($A165="","",SUMIFS(②销售核销!$L$4:$L$603,②销售核销!$E$4:$E$603,$A165))</f>
        <v/>
      </c>
      <c r="M165" s="34" t="str">
        <f aca="false">IF($A165="","",SUMIFS(②销售核销!$L$4:$L$603,②销售核销!$E$4:$E$603,$A165,②销售核销!$M$4:$M$603,"已收汇"))</f>
        <v/>
      </c>
      <c r="N165" s="30" t="str">
        <f aca="false">IF(ISNUMBER(D165),DATE(YEAR(D165)+1,4,30),"")</f>
        <v/>
      </c>
      <c r="O165" s="35" t="str">
        <f aca="true">IF($A165="","",IF(N(H165)=0,IF(AND(ISNUMBER(N165),TODAY()&gt;N165),"超过收汇期限仍未销售","尚未销售"),IF(ROUND(M165,2)&gt;=ROUND(L165,2),"已售部分已收汇",IF(AND(ISNUMBER(N165),TODAY()&gt;N165),"超期未收汇","有回款待收汇"))))</f>
        <v/>
      </c>
      <c r="P165" s="34" t="str">
        <f aca="false">IF($A165="","",SUMIFS(④退税核算!$H$4:$H$303,④退税核算!$A$4:$A$303,$A165))</f>
        <v/>
      </c>
      <c r="Q165" s="34" t="str">
        <f aca="false">IF($A165="","",SUMIFS(④退税核算!$H$4:$H$303,④退税核算!$A$4:$A$303,$A165,④退税核算!$D$4:$D$303,"未售-海外仓预退（HWC-YT）"))</f>
        <v/>
      </c>
      <c r="R165" s="30" t="str">
        <f aca="false">IF($A165="","",IF(COUNTIFS(④退税核算!$A$4:$A$303,$A165,④退税核算!$D$4:$D$303,"未售-海外仓预退（HWC-YT）",④退税核算!$I$4:$I$303,"&gt;0")=0,"",_xlfn.MINIFS(④退税核算!$J$4:$J$303,④退税核算!$A$4:$A$303,$A165,④退税核算!$D$4:$D$303,"未售-海外仓预退（HWC-YT）")))</f>
        <v/>
      </c>
      <c r="S165" s="35" t="str">
        <f aca="false">IF($A165="","",IF(COUNTIFS(④退税核算!$A$4:$A$303,$A165,④退税核算!$D$4:$D$303,"未售-海外仓预退（HWC-YT）")=0,"不涉及",IF(COUNTIFS(④退税核算!$A$4:$A$303,$A165,④退税核算!$S$4:$S$303,"已逾期*")&gt;0,"已逾期",IF(COUNTIFS(④退税核算!$A$4:$A$303,$A165,④退税核算!$S$4:$S$303,"临近*")&gt;0,"临近截止",IF(COUNTIFS(④退税核算!$A$4:$A$303,$A165,④退税核算!$S$4:$S$303,"待*")&gt;0,"待核算","已核算")))))</f>
        <v/>
      </c>
      <c r="T165" s="35" t="str">
        <f aca="false">IF($A165="","",IFERROR(INDEX(⑥单证留存!$P$4:$P$203,MATCH(①出口报关!B162,⑥单证留存!$A$4:$A$203,0)),"未登记"))</f>
        <v/>
      </c>
      <c r="U165" s="36" t="str">
        <f aca="false">IF($A165="","",IF(IF(OR(O165="超期未收汇",O165="超过收汇期限仍未销售")," 收汇超期","")&amp;IF(S165="已逾期"," 核算逾期","")&amp;IF(S165="临近截止"," 核算临近截止","")&amp;IF(LEFT(T165,1)="缺"," 单证"&amp;T165,"")&amp;IF(T165="未登记"," 单证未登记","")&amp;IF(AND(ISNUMBER(G165),N(G165)&lt;&gt;0)," 入仓差异"&amp;G165,"")="","正常",SUBSTITUTE(TRIM(IF(OR(O165="超期未收汇",O165="超过收汇期限仍未销售")," 收汇超期","")&amp;IF(S165="已逾期"," 核算逾期","")&amp;IF(S165="临近截止"," 核算临近截止","")&amp;IF(LEFT(T165,1)="缺"," 单证"&amp;T165,"")&amp;IF(T165="未登记"," 单证未登记","")&amp;IF(AND(ISNUMBER(G165),N(G165)&lt;&gt;0)," 入仓差异"&amp;G165,""))," ","、")))</f>
        <v/>
      </c>
    </row>
    <row r="166" customFormat="false" ht="21.75" hidden="false" customHeight="true" outlineLevel="0" collapsed="false">
      <c r="A166" s="29" t="str">
        <f aca="false">IF(①出口报关!A163="","",①出口报关!A163)</f>
        <v/>
      </c>
      <c r="B166" s="29" t="str">
        <f aca="false">IF($A166="","",①出口报关!I163)</f>
        <v/>
      </c>
      <c r="C166" s="29" t="str">
        <f aca="false">IF($A166="","",①出口报关!J163)</f>
        <v/>
      </c>
      <c r="D166" s="30" t="str">
        <f aca="false">IF($A166="","",IF(①出口报关!D163="","",①出口报关!D163))</f>
        <v/>
      </c>
      <c r="E166" s="31" t="str">
        <f aca="false">IF($A166="","",N(①出口报关!L163))</f>
        <v/>
      </c>
      <c r="F166" s="31" t="str">
        <f aca="false">IF($A166="","",IF(①出口报关!Y163="","未签收",①出口报关!Y163))</f>
        <v/>
      </c>
      <c r="G166" s="32" t="str">
        <f aca="false">IF(OR($A166="",NOT(ISNUMBER(F166))),"",F166-E166)</f>
        <v/>
      </c>
      <c r="H166" s="31" t="str">
        <f aca="false">IF($A166="","",SUMIFS(②销售核销!$I$4:$I$603,②销售核销!$E$4:$E$603,$A166))</f>
        <v/>
      </c>
      <c r="I166" s="31" t="str">
        <f aca="false">IF($A166="","",SUMIFS(⑤库存异常!$E$4:$E$203,⑤库存异常!$B$4:$B$203,$A166))</f>
        <v/>
      </c>
      <c r="J166" s="31" t="str">
        <f aca="false">IF($A166="","",IF(ISNUMBER(F166),F166,E166)-H166-I166)</f>
        <v/>
      </c>
      <c r="K166" s="33" t="str">
        <f aca="false">IF(OR($A166="",N(E166)=0),"",H166/E166)</f>
        <v/>
      </c>
      <c r="L166" s="34" t="str">
        <f aca="false">IF($A166="","",SUMIFS(②销售核销!$L$4:$L$603,②销售核销!$E$4:$E$603,$A166))</f>
        <v/>
      </c>
      <c r="M166" s="34" t="str">
        <f aca="false">IF($A166="","",SUMIFS(②销售核销!$L$4:$L$603,②销售核销!$E$4:$E$603,$A166,②销售核销!$M$4:$M$603,"已收汇"))</f>
        <v/>
      </c>
      <c r="N166" s="30" t="str">
        <f aca="false">IF(ISNUMBER(D166),DATE(YEAR(D166)+1,4,30),"")</f>
        <v/>
      </c>
      <c r="O166" s="35" t="str">
        <f aca="true">IF($A166="","",IF(N(H166)=0,IF(AND(ISNUMBER(N166),TODAY()&gt;N166),"超过收汇期限仍未销售","尚未销售"),IF(ROUND(M166,2)&gt;=ROUND(L166,2),"已售部分已收汇",IF(AND(ISNUMBER(N166),TODAY()&gt;N166),"超期未收汇","有回款待收汇"))))</f>
        <v/>
      </c>
      <c r="P166" s="34" t="str">
        <f aca="false">IF($A166="","",SUMIFS(④退税核算!$H$4:$H$303,④退税核算!$A$4:$A$303,$A166))</f>
        <v/>
      </c>
      <c r="Q166" s="34" t="str">
        <f aca="false">IF($A166="","",SUMIFS(④退税核算!$H$4:$H$303,④退税核算!$A$4:$A$303,$A166,④退税核算!$D$4:$D$303,"未售-海外仓预退（HWC-YT）"))</f>
        <v/>
      </c>
      <c r="R166" s="30" t="str">
        <f aca="false">IF($A166="","",IF(COUNTIFS(④退税核算!$A$4:$A$303,$A166,④退税核算!$D$4:$D$303,"未售-海外仓预退（HWC-YT）",④退税核算!$I$4:$I$303,"&gt;0")=0,"",_xlfn.MINIFS(④退税核算!$J$4:$J$303,④退税核算!$A$4:$A$303,$A166,④退税核算!$D$4:$D$303,"未售-海外仓预退（HWC-YT）")))</f>
        <v/>
      </c>
      <c r="S166" s="35" t="str">
        <f aca="false">IF($A166="","",IF(COUNTIFS(④退税核算!$A$4:$A$303,$A166,④退税核算!$D$4:$D$303,"未售-海外仓预退（HWC-YT）")=0,"不涉及",IF(COUNTIFS(④退税核算!$A$4:$A$303,$A166,④退税核算!$S$4:$S$303,"已逾期*")&gt;0,"已逾期",IF(COUNTIFS(④退税核算!$A$4:$A$303,$A166,④退税核算!$S$4:$S$303,"临近*")&gt;0,"临近截止",IF(COUNTIFS(④退税核算!$A$4:$A$303,$A166,④退税核算!$S$4:$S$303,"待*")&gt;0,"待核算","已核算")))))</f>
        <v/>
      </c>
      <c r="T166" s="35" t="str">
        <f aca="false">IF($A166="","",IFERROR(INDEX(⑥单证留存!$P$4:$P$203,MATCH(①出口报关!B163,⑥单证留存!$A$4:$A$203,0)),"未登记"))</f>
        <v/>
      </c>
      <c r="U166" s="36" t="str">
        <f aca="false">IF($A166="","",IF(IF(OR(O166="超期未收汇",O166="超过收汇期限仍未销售")," 收汇超期","")&amp;IF(S166="已逾期"," 核算逾期","")&amp;IF(S166="临近截止"," 核算临近截止","")&amp;IF(LEFT(T166,1)="缺"," 单证"&amp;T166,"")&amp;IF(T166="未登记"," 单证未登记","")&amp;IF(AND(ISNUMBER(G166),N(G166)&lt;&gt;0)," 入仓差异"&amp;G166,"")="","正常",SUBSTITUTE(TRIM(IF(OR(O166="超期未收汇",O166="超过收汇期限仍未销售")," 收汇超期","")&amp;IF(S166="已逾期"," 核算逾期","")&amp;IF(S166="临近截止"," 核算临近截止","")&amp;IF(LEFT(T166,1)="缺"," 单证"&amp;T166,"")&amp;IF(T166="未登记"," 单证未登记","")&amp;IF(AND(ISNUMBER(G166),N(G166)&lt;&gt;0)," 入仓差异"&amp;G166,""))," ","、")))</f>
        <v/>
      </c>
    </row>
    <row r="167" customFormat="false" ht="21.75" hidden="false" customHeight="true" outlineLevel="0" collapsed="false">
      <c r="A167" s="29" t="str">
        <f aca="false">IF(①出口报关!A164="","",①出口报关!A164)</f>
        <v/>
      </c>
      <c r="B167" s="29" t="str">
        <f aca="false">IF($A167="","",①出口报关!I164)</f>
        <v/>
      </c>
      <c r="C167" s="29" t="str">
        <f aca="false">IF($A167="","",①出口报关!J164)</f>
        <v/>
      </c>
      <c r="D167" s="30" t="str">
        <f aca="false">IF($A167="","",IF(①出口报关!D164="","",①出口报关!D164))</f>
        <v/>
      </c>
      <c r="E167" s="31" t="str">
        <f aca="false">IF($A167="","",N(①出口报关!L164))</f>
        <v/>
      </c>
      <c r="F167" s="31" t="str">
        <f aca="false">IF($A167="","",IF(①出口报关!Y164="","未签收",①出口报关!Y164))</f>
        <v/>
      </c>
      <c r="G167" s="32" t="str">
        <f aca="false">IF(OR($A167="",NOT(ISNUMBER(F167))),"",F167-E167)</f>
        <v/>
      </c>
      <c r="H167" s="31" t="str">
        <f aca="false">IF($A167="","",SUMIFS(②销售核销!$I$4:$I$603,②销售核销!$E$4:$E$603,$A167))</f>
        <v/>
      </c>
      <c r="I167" s="31" t="str">
        <f aca="false">IF($A167="","",SUMIFS(⑤库存异常!$E$4:$E$203,⑤库存异常!$B$4:$B$203,$A167))</f>
        <v/>
      </c>
      <c r="J167" s="31" t="str">
        <f aca="false">IF($A167="","",IF(ISNUMBER(F167),F167,E167)-H167-I167)</f>
        <v/>
      </c>
      <c r="K167" s="33" t="str">
        <f aca="false">IF(OR($A167="",N(E167)=0),"",H167/E167)</f>
        <v/>
      </c>
      <c r="L167" s="34" t="str">
        <f aca="false">IF($A167="","",SUMIFS(②销售核销!$L$4:$L$603,②销售核销!$E$4:$E$603,$A167))</f>
        <v/>
      </c>
      <c r="M167" s="34" t="str">
        <f aca="false">IF($A167="","",SUMIFS(②销售核销!$L$4:$L$603,②销售核销!$E$4:$E$603,$A167,②销售核销!$M$4:$M$603,"已收汇"))</f>
        <v/>
      </c>
      <c r="N167" s="30" t="str">
        <f aca="false">IF(ISNUMBER(D167),DATE(YEAR(D167)+1,4,30),"")</f>
        <v/>
      </c>
      <c r="O167" s="35" t="str">
        <f aca="true">IF($A167="","",IF(N(H167)=0,IF(AND(ISNUMBER(N167),TODAY()&gt;N167),"超过收汇期限仍未销售","尚未销售"),IF(ROUND(M167,2)&gt;=ROUND(L167,2),"已售部分已收汇",IF(AND(ISNUMBER(N167),TODAY()&gt;N167),"超期未收汇","有回款待收汇"))))</f>
        <v/>
      </c>
      <c r="P167" s="34" t="str">
        <f aca="false">IF($A167="","",SUMIFS(④退税核算!$H$4:$H$303,④退税核算!$A$4:$A$303,$A167))</f>
        <v/>
      </c>
      <c r="Q167" s="34" t="str">
        <f aca="false">IF($A167="","",SUMIFS(④退税核算!$H$4:$H$303,④退税核算!$A$4:$A$303,$A167,④退税核算!$D$4:$D$303,"未售-海外仓预退（HWC-YT）"))</f>
        <v/>
      </c>
      <c r="R167" s="30" t="str">
        <f aca="false">IF($A167="","",IF(COUNTIFS(④退税核算!$A$4:$A$303,$A167,④退税核算!$D$4:$D$303,"未售-海外仓预退（HWC-YT）",④退税核算!$I$4:$I$303,"&gt;0")=0,"",_xlfn.MINIFS(④退税核算!$J$4:$J$303,④退税核算!$A$4:$A$303,$A167,④退税核算!$D$4:$D$303,"未售-海外仓预退（HWC-YT）")))</f>
        <v/>
      </c>
      <c r="S167" s="35" t="str">
        <f aca="false">IF($A167="","",IF(COUNTIFS(④退税核算!$A$4:$A$303,$A167,④退税核算!$D$4:$D$303,"未售-海外仓预退（HWC-YT）")=0,"不涉及",IF(COUNTIFS(④退税核算!$A$4:$A$303,$A167,④退税核算!$S$4:$S$303,"已逾期*")&gt;0,"已逾期",IF(COUNTIFS(④退税核算!$A$4:$A$303,$A167,④退税核算!$S$4:$S$303,"临近*")&gt;0,"临近截止",IF(COUNTIFS(④退税核算!$A$4:$A$303,$A167,④退税核算!$S$4:$S$303,"待*")&gt;0,"待核算","已核算")))))</f>
        <v/>
      </c>
      <c r="T167" s="35" t="str">
        <f aca="false">IF($A167="","",IFERROR(INDEX(⑥单证留存!$P$4:$P$203,MATCH(①出口报关!B164,⑥单证留存!$A$4:$A$203,0)),"未登记"))</f>
        <v/>
      </c>
      <c r="U167" s="36" t="str">
        <f aca="false">IF($A167="","",IF(IF(OR(O167="超期未收汇",O167="超过收汇期限仍未销售")," 收汇超期","")&amp;IF(S167="已逾期"," 核算逾期","")&amp;IF(S167="临近截止"," 核算临近截止","")&amp;IF(LEFT(T167,1)="缺"," 单证"&amp;T167,"")&amp;IF(T167="未登记"," 单证未登记","")&amp;IF(AND(ISNUMBER(G167),N(G167)&lt;&gt;0)," 入仓差异"&amp;G167,"")="","正常",SUBSTITUTE(TRIM(IF(OR(O167="超期未收汇",O167="超过收汇期限仍未销售")," 收汇超期","")&amp;IF(S167="已逾期"," 核算逾期","")&amp;IF(S167="临近截止"," 核算临近截止","")&amp;IF(LEFT(T167,1)="缺"," 单证"&amp;T167,"")&amp;IF(T167="未登记"," 单证未登记","")&amp;IF(AND(ISNUMBER(G167),N(G167)&lt;&gt;0)," 入仓差异"&amp;G167,""))," ","、")))</f>
        <v/>
      </c>
    </row>
    <row r="168" customFormat="false" ht="21.75" hidden="false" customHeight="true" outlineLevel="0" collapsed="false">
      <c r="A168" s="29" t="str">
        <f aca="false">IF(①出口报关!A165="","",①出口报关!A165)</f>
        <v/>
      </c>
      <c r="B168" s="29" t="str">
        <f aca="false">IF($A168="","",①出口报关!I165)</f>
        <v/>
      </c>
      <c r="C168" s="29" t="str">
        <f aca="false">IF($A168="","",①出口报关!J165)</f>
        <v/>
      </c>
      <c r="D168" s="30" t="str">
        <f aca="false">IF($A168="","",IF(①出口报关!D165="","",①出口报关!D165))</f>
        <v/>
      </c>
      <c r="E168" s="31" t="str">
        <f aca="false">IF($A168="","",N(①出口报关!L165))</f>
        <v/>
      </c>
      <c r="F168" s="31" t="str">
        <f aca="false">IF($A168="","",IF(①出口报关!Y165="","未签收",①出口报关!Y165))</f>
        <v/>
      </c>
      <c r="G168" s="32" t="str">
        <f aca="false">IF(OR($A168="",NOT(ISNUMBER(F168))),"",F168-E168)</f>
        <v/>
      </c>
      <c r="H168" s="31" t="str">
        <f aca="false">IF($A168="","",SUMIFS(②销售核销!$I$4:$I$603,②销售核销!$E$4:$E$603,$A168))</f>
        <v/>
      </c>
      <c r="I168" s="31" t="str">
        <f aca="false">IF($A168="","",SUMIFS(⑤库存异常!$E$4:$E$203,⑤库存异常!$B$4:$B$203,$A168))</f>
        <v/>
      </c>
      <c r="J168" s="31" t="str">
        <f aca="false">IF($A168="","",IF(ISNUMBER(F168),F168,E168)-H168-I168)</f>
        <v/>
      </c>
      <c r="K168" s="33" t="str">
        <f aca="false">IF(OR($A168="",N(E168)=0),"",H168/E168)</f>
        <v/>
      </c>
      <c r="L168" s="34" t="str">
        <f aca="false">IF($A168="","",SUMIFS(②销售核销!$L$4:$L$603,②销售核销!$E$4:$E$603,$A168))</f>
        <v/>
      </c>
      <c r="M168" s="34" t="str">
        <f aca="false">IF($A168="","",SUMIFS(②销售核销!$L$4:$L$603,②销售核销!$E$4:$E$603,$A168,②销售核销!$M$4:$M$603,"已收汇"))</f>
        <v/>
      </c>
      <c r="N168" s="30" t="str">
        <f aca="false">IF(ISNUMBER(D168),DATE(YEAR(D168)+1,4,30),"")</f>
        <v/>
      </c>
      <c r="O168" s="35" t="str">
        <f aca="true">IF($A168="","",IF(N(H168)=0,IF(AND(ISNUMBER(N168),TODAY()&gt;N168),"超过收汇期限仍未销售","尚未销售"),IF(ROUND(M168,2)&gt;=ROUND(L168,2),"已售部分已收汇",IF(AND(ISNUMBER(N168),TODAY()&gt;N168),"超期未收汇","有回款待收汇"))))</f>
        <v/>
      </c>
      <c r="P168" s="34" t="str">
        <f aca="false">IF($A168="","",SUMIFS(④退税核算!$H$4:$H$303,④退税核算!$A$4:$A$303,$A168))</f>
        <v/>
      </c>
      <c r="Q168" s="34" t="str">
        <f aca="false">IF($A168="","",SUMIFS(④退税核算!$H$4:$H$303,④退税核算!$A$4:$A$303,$A168,④退税核算!$D$4:$D$303,"未售-海外仓预退（HWC-YT）"))</f>
        <v/>
      </c>
      <c r="R168" s="30" t="str">
        <f aca="false">IF($A168="","",IF(COUNTIFS(④退税核算!$A$4:$A$303,$A168,④退税核算!$D$4:$D$303,"未售-海外仓预退（HWC-YT）",④退税核算!$I$4:$I$303,"&gt;0")=0,"",_xlfn.MINIFS(④退税核算!$J$4:$J$303,④退税核算!$A$4:$A$303,$A168,④退税核算!$D$4:$D$303,"未售-海外仓预退（HWC-YT）")))</f>
        <v/>
      </c>
      <c r="S168" s="35" t="str">
        <f aca="false">IF($A168="","",IF(COUNTIFS(④退税核算!$A$4:$A$303,$A168,④退税核算!$D$4:$D$303,"未售-海外仓预退（HWC-YT）")=0,"不涉及",IF(COUNTIFS(④退税核算!$A$4:$A$303,$A168,④退税核算!$S$4:$S$303,"已逾期*")&gt;0,"已逾期",IF(COUNTIFS(④退税核算!$A$4:$A$303,$A168,④退税核算!$S$4:$S$303,"临近*")&gt;0,"临近截止",IF(COUNTIFS(④退税核算!$A$4:$A$303,$A168,④退税核算!$S$4:$S$303,"待*")&gt;0,"待核算","已核算")))))</f>
        <v/>
      </c>
      <c r="T168" s="35" t="str">
        <f aca="false">IF($A168="","",IFERROR(INDEX(⑥单证留存!$P$4:$P$203,MATCH(①出口报关!B165,⑥单证留存!$A$4:$A$203,0)),"未登记"))</f>
        <v/>
      </c>
      <c r="U168" s="36" t="str">
        <f aca="false">IF($A168="","",IF(IF(OR(O168="超期未收汇",O168="超过收汇期限仍未销售")," 收汇超期","")&amp;IF(S168="已逾期"," 核算逾期","")&amp;IF(S168="临近截止"," 核算临近截止","")&amp;IF(LEFT(T168,1)="缺"," 单证"&amp;T168,"")&amp;IF(T168="未登记"," 单证未登记","")&amp;IF(AND(ISNUMBER(G168),N(G168)&lt;&gt;0)," 入仓差异"&amp;G168,"")="","正常",SUBSTITUTE(TRIM(IF(OR(O168="超期未收汇",O168="超过收汇期限仍未销售")," 收汇超期","")&amp;IF(S168="已逾期"," 核算逾期","")&amp;IF(S168="临近截止"," 核算临近截止","")&amp;IF(LEFT(T168,1)="缺"," 单证"&amp;T168,"")&amp;IF(T168="未登记"," 单证未登记","")&amp;IF(AND(ISNUMBER(G168),N(G168)&lt;&gt;0)," 入仓差异"&amp;G168,""))," ","、")))</f>
        <v/>
      </c>
    </row>
    <row r="169" customFormat="false" ht="21.75" hidden="false" customHeight="true" outlineLevel="0" collapsed="false">
      <c r="A169" s="29" t="str">
        <f aca="false">IF(①出口报关!A166="","",①出口报关!A166)</f>
        <v/>
      </c>
      <c r="B169" s="29" t="str">
        <f aca="false">IF($A169="","",①出口报关!I166)</f>
        <v/>
      </c>
      <c r="C169" s="29" t="str">
        <f aca="false">IF($A169="","",①出口报关!J166)</f>
        <v/>
      </c>
      <c r="D169" s="30" t="str">
        <f aca="false">IF($A169="","",IF(①出口报关!D166="","",①出口报关!D166))</f>
        <v/>
      </c>
      <c r="E169" s="31" t="str">
        <f aca="false">IF($A169="","",N(①出口报关!L166))</f>
        <v/>
      </c>
      <c r="F169" s="31" t="str">
        <f aca="false">IF($A169="","",IF(①出口报关!Y166="","未签收",①出口报关!Y166))</f>
        <v/>
      </c>
      <c r="G169" s="32" t="str">
        <f aca="false">IF(OR($A169="",NOT(ISNUMBER(F169))),"",F169-E169)</f>
        <v/>
      </c>
      <c r="H169" s="31" t="str">
        <f aca="false">IF($A169="","",SUMIFS(②销售核销!$I$4:$I$603,②销售核销!$E$4:$E$603,$A169))</f>
        <v/>
      </c>
      <c r="I169" s="31" t="str">
        <f aca="false">IF($A169="","",SUMIFS(⑤库存异常!$E$4:$E$203,⑤库存异常!$B$4:$B$203,$A169))</f>
        <v/>
      </c>
      <c r="J169" s="31" t="str">
        <f aca="false">IF($A169="","",IF(ISNUMBER(F169),F169,E169)-H169-I169)</f>
        <v/>
      </c>
      <c r="K169" s="33" t="str">
        <f aca="false">IF(OR($A169="",N(E169)=0),"",H169/E169)</f>
        <v/>
      </c>
      <c r="L169" s="34" t="str">
        <f aca="false">IF($A169="","",SUMIFS(②销售核销!$L$4:$L$603,②销售核销!$E$4:$E$603,$A169))</f>
        <v/>
      </c>
      <c r="M169" s="34" t="str">
        <f aca="false">IF($A169="","",SUMIFS(②销售核销!$L$4:$L$603,②销售核销!$E$4:$E$603,$A169,②销售核销!$M$4:$M$603,"已收汇"))</f>
        <v/>
      </c>
      <c r="N169" s="30" t="str">
        <f aca="false">IF(ISNUMBER(D169),DATE(YEAR(D169)+1,4,30),"")</f>
        <v/>
      </c>
      <c r="O169" s="35" t="str">
        <f aca="true">IF($A169="","",IF(N(H169)=0,IF(AND(ISNUMBER(N169),TODAY()&gt;N169),"超过收汇期限仍未销售","尚未销售"),IF(ROUND(M169,2)&gt;=ROUND(L169,2),"已售部分已收汇",IF(AND(ISNUMBER(N169),TODAY()&gt;N169),"超期未收汇","有回款待收汇"))))</f>
        <v/>
      </c>
      <c r="P169" s="34" t="str">
        <f aca="false">IF($A169="","",SUMIFS(④退税核算!$H$4:$H$303,④退税核算!$A$4:$A$303,$A169))</f>
        <v/>
      </c>
      <c r="Q169" s="34" t="str">
        <f aca="false">IF($A169="","",SUMIFS(④退税核算!$H$4:$H$303,④退税核算!$A$4:$A$303,$A169,④退税核算!$D$4:$D$303,"未售-海外仓预退（HWC-YT）"))</f>
        <v/>
      </c>
      <c r="R169" s="30" t="str">
        <f aca="false">IF($A169="","",IF(COUNTIFS(④退税核算!$A$4:$A$303,$A169,④退税核算!$D$4:$D$303,"未售-海外仓预退（HWC-YT）",④退税核算!$I$4:$I$303,"&gt;0")=0,"",_xlfn.MINIFS(④退税核算!$J$4:$J$303,④退税核算!$A$4:$A$303,$A169,④退税核算!$D$4:$D$303,"未售-海外仓预退（HWC-YT）")))</f>
        <v/>
      </c>
      <c r="S169" s="35" t="str">
        <f aca="false">IF($A169="","",IF(COUNTIFS(④退税核算!$A$4:$A$303,$A169,④退税核算!$D$4:$D$303,"未售-海外仓预退（HWC-YT）")=0,"不涉及",IF(COUNTIFS(④退税核算!$A$4:$A$303,$A169,④退税核算!$S$4:$S$303,"已逾期*")&gt;0,"已逾期",IF(COUNTIFS(④退税核算!$A$4:$A$303,$A169,④退税核算!$S$4:$S$303,"临近*")&gt;0,"临近截止",IF(COUNTIFS(④退税核算!$A$4:$A$303,$A169,④退税核算!$S$4:$S$303,"待*")&gt;0,"待核算","已核算")))))</f>
        <v/>
      </c>
      <c r="T169" s="35" t="str">
        <f aca="false">IF($A169="","",IFERROR(INDEX(⑥单证留存!$P$4:$P$203,MATCH(①出口报关!B166,⑥单证留存!$A$4:$A$203,0)),"未登记"))</f>
        <v/>
      </c>
      <c r="U169" s="36" t="str">
        <f aca="false">IF($A169="","",IF(IF(OR(O169="超期未收汇",O169="超过收汇期限仍未销售")," 收汇超期","")&amp;IF(S169="已逾期"," 核算逾期","")&amp;IF(S169="临近截止"," 核算临近截止","")&amp;IF(LEFT(T169,1)="缺"," 单证"&amp;T169,"")&amp;IF(T169="未登记"," 单证未登记","")&amp;IF(AND(ISNUMBER(G169),N(G169)&lt;&gt;0)," 入仓差异"&amp;G169,"")="","正常",SUBSTITUTE(TRIM(IF(OR(O169="超期未收汇",O169="超过收汇期限仍未销售")," 收汇超期","")&amp;IF(S169="已逾期"," 核算逾期","")&amp;IF(S169="临近截止"," 核算临近截止","")&amp;IF(LEFT(T169,1)="缺"," 单证"&amp;T169,"")&amp;IF(T169="未登记"," 单证未登记","")&amp;IF(AND(ISNUMBER(G169),N(G169)&lt;&gt;0)," 入仓差异"&amp;G169,""))," ","、")))</f>
        <v/>
      </c>
    </row>
    <row r="170" customFormat="false" ht="21.75" hidden="false" customHeight="true" outlineLevel="0" collapsed="false">
      <c r="A170" s="29" t="str">
        <f aca="false">IF(①出口报关!A167="","",①出口报关!A167)</f>
        <v/>
      </c>
      <c r="B170" s="29" t="str">
        <f aca="false">IF($A170="","",①出口报关!I167)</f>
        <v/>
      </c>
      <c r="C170" s="29" t="str">
        <f aca="false">IF($A170="","",①出口报关!J167)</f>
        <v/>
      </c>
      <c r="D170" s="30" t="str">
        <f aca="false">IF($A170="","",IF(①出口报关!D167="","",①出口报关!D167))</f>
        <v/>
      </c>
      <c r="E170" s="31" t="str">
        <f aca="false">IF($A170="","",N(①出口报关!L167))</f>
        <v/>
      </c>
      <c r="F170" s="31" t="str">
        <f aca="false">IF($A170="","",IF(①出口报关!Y167="","未签收",①出口报关!Y167))</f>
        <v/>
      </c>
      <c r="G170" s="32" t="str">
        <f aca="false">IF(OR($A170="",NOT(ISNUMBER(F170))),"",F170-E170)</f>
        <v/>
      </c>
      <c r="H170" s="31" t="str">
        <f aca="false">IF($A170="","",SUMIFS(②销售核销!$I$4:$I$603,②销售核销!$E$4:$E$603,$A170))</f>
        <v/>
      </c>
      <c r="I170" s="31" t="str">
        <f aca="false">IF($A170="","",SUMIFS(⑤库存异常!$E$4:$E$203,⑤库存异常!$B$4:$B$203,$A170))</f>
        <v/>
      </c>
      <c r="J170" s="31" t="str">
        <f aca="false">IF($A170="","",IF(ISNUMBER(F170),F170,E170)-H170-I170)</f>
        <v/>
      </c>
      <c r="K170" s="33" t="str">
        <f aca="false">IF(OR($A170="",N(E170)=0),"",H170/E170)</f>
        <v/>
      </c>
      <c r="L170" s="34" t="str">
        <f aca="false">IF($A170="","",SUMIFS(②销售核销!$L$4:$L$603,②销售核销!$E$4:$E$603,$A170))</f>
        <v/>
      </c>
      <c r="M170" s="34" t="str">
        <f aca="false">IF($A170="","",SUMIFS(②销售核销!$L$4:$L$603,②销售核销!$E$4:$E$603,$A170,②销售核销!$M$4:$M$603,"已收汇"))</f>
        <v/>
      </c>
      <c r="N170" s="30" t="str">
        <f aca="false">IF(ISNUMBER(D170),DATE(YEAR(D170)+1,4,30),"")</f>
        <v/>
      </c>
      <c r="O170" s="35" t="str">
        <f aca="true">IF($A170="","",IF(N(H170)=0,IF(AND(ISNUMBER(N170),TODAY()&gt;N170),"超过收汇期限仍未销售","尚未销售"),IF(ROUND(M170,2)&gt;=ROUND(L170,2),"已售部分已收汇",IF(AND(ISNUMBER(N170),TODAY()&gt;N170),"超期未收汇","有回款待收汇"))))</f>
        <v/>
      </c>
      <c r="P170" s="34" t="str">
        <f aca="false">IF($A170="","",SUMIFS(④退税核算!$H$4:$H$303,④退税核算!$A$4:$A$303,$A170))</f>
        <v/>
      </c>
      <c r="Q170" s="34" t="str">
        <f aca="false">IF($A170="","",SUMIFS(④退税核算!$H$4:$H$303,④退税核算!$A$4:$A$303,$A170,④退税核算!$D$4:$D$303,"未售-海外仓预退（HWC-YT）"))</f>
        <v/>
      </c>
      <c r="R170" s="30" t="str">
        <f aca="false">IF($A170="","",IF(COUNTIFS(④退税核算!$A$4:$A$303,$A170,④退税核算!$D$4:$D$303,"未售-海外仓预退（HWC-YT）",④退税核算!$I$4:$I$303,"&gt;0")=0,"",_xlfn.MINIFS(④退税核算!$J$4:$J$303,④退税核算!$A$4:$A$303,$A170,④退税核算!$D$4:$D$303,"未售-海外仓预退（HWC-YT）")))</f>
        <v/>
      </c>
      <c r="S170" s="35" t="str">
        <f aca="false">IF($A170="","",IF(COUNTIFS(④退税核算!$A$4:$A$303,$A170,④退税核算!$D$4:$D$303,"未售-海外仓预退（HWC-YT）")=0,"不涉及",IF(COUNTIFS(④退税核算!$A$4:$A$303,$A170,④退税核算!$S$4:$S$303,"已逾期*")&gt;0,"已逾期",IF(COUNTIFS(④退税核算!$A$4:$A$303,$A170,④退税核算!$S$4:$S$303,"临近*")&gt;0,"临近截止",IF(COUNTIFS(④退税核算!$A$4:$A$303,$A170,④退税核算!$S$4:$S$303,"待*")&gt;0,"待核算","已核算")))))</f>
        <v/>
      </c>
      <c r="T170" s="35" t="str">
        <f aca="false">IF($A170="","",IFERROR(INDEX(⑥单证留存!$P$4:$P$203,MATCH(①出口报关!B167,⑥单证留存!$A$4:$A$203,0)),"未登记"))</f>
        <v/>
      </c>
      <c r="U170" s="36" t="str">
        <f aca="false">IF($A170="","",IF(IF(OR(O170="超期未收汇",O170="超过收汇期限仍未销售")," 收汇超期","")&amp;IF(S170="已逾期"," 核算逾期","")&amp;IF(S170="临近截止"," 核算临近截止","")&amp;IF(LEFT(T170,1)="缺"," 单证"&amp;T170,"")&amp;IF(T170="未登记"," 单证未登记","")&amp;IF(AND(ISNUMBER(G170),N(G170)&lt;&gt;0)," 入仓差异"&amp;G170,"")="","正常",SUBSTITUTE(TRIM(IF(OR(O170="超期未收汇",O170="超过收汇期限仍未销售")," 收汇超期","")&amp;IF(S170="已逾期"," 核算逾期","")&amp;IF(S170="临近截止"," 核算临近截止","")&amp;IF(LEFT(T170,1)="缺"," 单证"&amp;T170,"")&amp;IF(T170="未登记"," 单证未登记","")&amp;IF(AND(ISNUMBER(G170),N(G170)&lt;&gt;0)," 入仓差异"&amp;G170,""))," ","、")))</f>
        <v/>
      </c>
    </row>
    <row r="171" customFormat="false" ht="21.75" hidden="false" customHeight="true" outlineLevel="0" collapsed="false">
      <c r="A171" s="29" t="str">
        <f aca="false">IF(①出口报关!A168="","",①出口报关!A168)</f>
        <v/>
      </c>
      <c r="B171" s="29" t="str">
        <f aca="false">IF($A171="","",①出口报关!I168)</f>
        <v/>
      </c>
      <c r="C171" s="29" t="str">
        <f aca="false">IF($A171="","",①出口报关!J168)</f>
        <v/>
      </c>
      <c r="D171" s="30" t="str">
        <f aca="false">IF($A171="","",IF(①出口报关!D168="","",①出口报关!D168))</f>
        <v/>
      </c>
      <c r="E171" s="31" t="str">
        <f aca="false">IF($A171="","",N(①出口报关!L168))</f>
        <v/>
      </c>
      <c r="F171" s="31" t="str">
        <f aca="false">IF($A171="","",IF(①出口报关!Y168="","未签收",①出口报关!Y168))</f>
        <v/>
      </c>
      <c r="G171" s="32" t="str">
        <f aca="false">IF(OR($A171="",NOT(ISNUMBER(F171))),"",F171-E171)</f>
        <v/>
      </c>
      <c r="H171" s="31" t="str">
        <f aca="false">IF($A171="","",SUMIFS(②销售核销!$I$4:$I$603,②销售核销!$E$4:$E$603,$A171))</f>
        <v/>
      </c>
      <c r="I171" s="31" t="str">
        <f aca="false">IF($A171="","",SUMIFS(⑤库存异常!$E$4:$E$203,⑤库存异常!$B$4:$B$203,$A171))</f>
        <v/>
      </c>
      <c r="J171" s="31" t="str">
        <f aca="false">IF($A171="","",IF(ISNUMBER(F171),F171,E171)-H171-I171)</f>
        <v/>
      </c>
      <c r="K171" s="33" t="str">
        <f aca="false">IF(OR($A171="",N(E171)=0),"",H171/E171)</f>
        <v/>
      </c>
      <c r="L171" s="34" t="str">
        <f aca="false">IF($A171="","",SUMIFS(②销售核销!$L$4:$L$603,②销售核销!$E$4:$E$603,$A171))</f>
        <v/>
      </c>
      <c r="M171" s="34" t="str">
        <f aca="false">IF($A171="","",SUMIFS(②销售核销!$L$4:$L$603,②销售核销!$E$4:$E$603,$A171,②销售核销!$M$4:$M$603,"已收汇"))</f>
        <v/>
      </c>
      <c r="N171" s="30" t="str">
        <f aca="false">IF(ISNUMBER(D171),DATE(YEAR(D171)+1,4,30),"")</f>
        <v/>
      </c>
      <c r="O171" s="35" t="str">
        <f aca="true">IF($A171="","",IF(N(H171)=0,IF(AND(ISNUMBER(N171),TODAY()&gt;N171),"超过收汇期限仍未销售","尚未销售"),IF(ROUND(M171,2)&gt;=ROUND(L171,2),"已售部分已收汇",IF(AND(ISNUMBER(N171),TODAY()&gt;N171),"超期未收汇","有回款待收汇"))))</f>
        <v/>
      </c>
      <c r="P171" s="34" t="str">
        <f aca="false">IF($A171="","",SUMIFS(④退税核算!$H$4:$H$303,④退税核算!$A$4:$A$303,$A171))</f>
        <v/>
      </c>
      <c r="Q171" s="34" t="str">
        <f aca="false">IF($A171="","",SUMIFS(④退税核算!$H$4:$H$303,④退税核算!$A$4:$A$303,$A171,④退税核算!$D$4:$D$303,"未售-海外仓预退（HWC-YT）"))</f>
        <v/>
      </c>
      <c r="R171" s="30" t="str">
        <f aca="false">IF($A171="","",IF(COUNTIFS(④退税核算!$A$4:$A$303,$A171,④退税核算!$D$4:$D$303,"未售-海外仓预退（HWC-YT）",④退税核算!$I$4:$I$303,"&gt;0")=0,"",_xlfn.MINIFS(④退税核算!$J$4:$J$303,④退税核算!$A$4:$A$303,$A171,④退税核算!$D$4:$D$303,"未售-海外仓预退（HWC-YT）")))</f>
        <v/>
      </c>
      <c r="S171" s="35" t="str">
        <f aca="false">IF($A171="","",IF(COUNTIFS(④退税核算!$A$4:$A$303,$A171,④退税核算!$D$4:$D$303,"未售-海外仓预退（HWC-YT）")=0,"不涉及",IF(COUNTIFS(④退税核算!$A$4:$A$303,$A171,④退税核算!$S$4:$S$303,"已逾期*")&gt;0,"已逾期",IF(COUNTIFS(④退税核算!$A$4:$A$303,$A171,④退税核算!$S$4:$S$303,"临近*")&gt;0,"临近截止",IF(COUNTIFS(④退税核算!$A$4:$A$303,$A171,④退税核算!$S$4:$S$303,"待*")&gt;0,"待核算","已核算")))))</f>
        <v/>
      </c>
      <c r="T171" s="35" t="str">
        <f aca="false">IF($A171="","",IFERROR(INDEX(⑥单证留存!$P$4:$P$203,MATCH(①出口报关!B168,⑥单证留存!$A$4:$A$203,0)),"未登记"))</f>
        <v/>
      </c>
      <c r="U171" s="36" t="str">
        <f aca="false">IF($A171="","",IF(IF(OR(O171="超期未收汇",O171="超过收汇期限仍未销售")," 收汇超期","")&amp;IF(S171="已逾期"," 核算逾期","")&amp;IF(S171="临近截止"," 核算临近截止","")&amp;IF(LEFT(T171,1)="缺"," 单证"&amp;T171,"")&amp;IF(T171="未登记"," 单证未登记","")&amp;IF(AND(ISNUMBER(G171),N(G171)&lt;&gt;0)," 入仓差异"&amp;G171,"")="","正常",SUBSTITUTE(TRIM(IF(OR(O171="超期未收汇",O171="超过收汇期限仍未销售")," 收汇超期","")&amp;IF(S171="已逾期"," 核算逾期","")&amp;IF(S171="临近截止"," 核算临近截止","")&amp;IF(LEFT(T171,1)="缺"," 单证"&amp;T171,"")&amp;IF(T171="未登记"," 单证未登记","")&amp;IF(AND(ISNUMBER(G171),N(G171)&lt;&gt;0)," 入仓差异"&amp;G171,""))," ","、")))</f>
        <v/>
      </c>
    </row>
    <row r="172" customFormat="false" ht="21.75" hidden="false" customHeight="true" outlineLevel="0" collapsed="false">
      <c r="A172" s="29" t="str">
        <f aca="false">IF(①出口报关!A169="","",①出口报关!A169)</f>
        <v/>
      </c>
      <c r="B172" s="29" t="str">
        <f aca="false">IF($A172="","",①出口报关!I169)</f>
        <v/>
      </c>
      <c r="C172" s="29" t="str">
        <f aca="false">IF($A172="","",①出口报关!J169)</f>
        <v/>
      </c>
      <c r="D172" s="30" t="str">
        <f aca="false">IF($A172="","",IF(①出口报关!D169="","",①出口报关!D169))</f>
        <v/>
      </c>
      <c r="E172" s="31" t="str">
        <f aca="false">IF($A172="","",N(①出口报关!L169))</f>
        <v/>
      </c>
      <c r="F172" s="31" t="str">
        <f aca="false">IF($A172="","",IF(①出口报关!Y169="","未签收",①出口报关!Y169))</f>
        <v/>
      </c>
      <c r="G172" s="32" t="str">
        <f aca="false">IF(OR($A172="",NOT(ISNUMBER(F172))),"",F172-E172)</f>
        <v/>
      </c>
      <c r="H172" s="31" t="str">
        <f aca="false">IF($A172="","",SUMIFS(②销售核销!$I$4:$I$603,②销售核销!$E$4:$E$603,$A172))</f>
        <v/>
      </c>
      <c r="I172" s="31" t="str">
        <f aca="false">IF($A172="","",SUMIFS(⑤库存异常!$E$4:$E$203,⑤库存异常!$B$4:$B$203,$A172))</f>
        <v/>
      </c>
      <c r="J172" s="31" t="str">
        <f aca="false">IF($A172="","",IF(ISNUMBER(F172),F172,E172)-H172-I172)</f>
        <v/>
      </c>
      <c r="K172" s="33" t="str">
        <f aca="false">IF(OR($A172="",N(E172)=0),"",H172/E172)</f>
        <v/>
      </c>
      <c r="L172" s="34" t="str">
        <f aca="false">IF($A172="","",SUMIFS(②销售核销!$L$4:$L$603,②销售核销!$E$4:$E$603,$A172))</f>
        <v/>
      </c>
      <c r="M172" s="34" t="str">
        <f aca="false">IF($A172="","",SUMIFS(②销售核销!$L$4:$L$603,②销售核销!$E$4:$E$603,$A172,②销售核销!$M$4:$M$603,"已收汇"))</f>
        <v/>
      </c>
      <c r="N172" s="30" t="str">
        <f aca="false">IF(ISNUMBER(D172),DATE(YEAR(D172)+1,4,30),"")</f>
        <v/>
      </c>
      <c r="O172" s="35" t="str">
        <f aca="true">IF($A172="","",IF(N(H172)=0,IF(AND(ISNUMBER(N172),TODAY()&gt;N172),"超过收汇期限仍未销售","尚未销售"),IF(ROUND(M172,2)&gt;=ROUND(L172,2),"已售部分已收汇",IF(AND(ISNUMBER(N172),TODAY()&gt;N172),"超期未收汇","有回款待收汇"))))</f>
        <v/>
      </c>
      <c r="P172" s="34" t="str">
        <f aca="false">IF($A172="","",SUMIFS(④退税核算!$H$4:$H$303,④退税核算!$A$4:$A$303,$A172))</f>
        <v/>
      </c>
      <c r="Q172" s="34" t="str">
        <f aca="false">IF($A172="","",SUMIFS(④退税核算!$H$4:$H$303,④退税核算!$A$4:$A$303,$A172,④退税核算!$D$4:$D$303,"未售-海外仓预退（HWC-YT）"))</f>
        <v/>
      </c>
      <c r="R172" s="30" t="str">
        <f aca="false">IF($A172="","",IF(COUNTIFS(④退税核算!$A$4:$A$303,$A172,④退税核算!$D$4:$D$303,"未售-海外仓预退（HWC-YT）",④退税核算!$I$4:$I$303,"&gt;0")=0,"",_xlfn.MINIFS(④退税核算!$J$4:$J$303,④退税核算!$A$4:$A$303,$A172,④退税核算!$D$4:$D$303,"未售-海外仓预退（HWC-YT）")))</f>
        <v/>
      </c>
      <c r="S172" s="35" t="str">
        <f aca="false">IF($A172="","",IF(COUNTIFS(④退税核算!$A$4:$A$303,$A172,④退税核算!$D$4:$D$303,"未售-海外仓预退（HWC-YT）")=0,"不涉及",IF(COUNTIFS(④退税核算!$A$4:$A$303,$A172,④退税核算!$S$4:$S$303,"已逾期*")&gt;0,"已逾期",IF(COUNTIFS(④退税核算!$A$4:$A$303,$A172,④退税核算!$S$4:$S$303,"临近*")&gt;0,"临近截止",IF(COUNTIFS(④退税核算!$A$4:$A$303,$A172,④退税核算!$S$4:$S$303,"待*")&gt;0,"待核算","已核算")))))</f>
        <v/>
      </c>
      <c r="T172" s="35" t="str">
        <f aca="false">IF($A172="","",IFERROR(INDEX(⑥单证留存!$P$4:$P$203,MATCH(①出口报关!B169,⑥单证留存!$A$4:$A$203,0)),"未登记"))</f>
        <v/>
      </c>
      <c r="U172" s="36" t="str">
        <f aca="false">IF($A172="","",IF(IF(OR(O172="超期未收汇",O172="超过收汇期限仍未销售")," 收汇超期","")&amp;IF(S172="已逾期"," 核算逾期","")&amp;IF(S172="临近截止"," 核算临近截止","")&amp;IF(LEFT(T172,1)="缺"," 单证"&amp;T172,"")&amp;IF(T172="未登记"," 单证未登记","")&amp;IF(AND(ISNUMBER(G172),N(G172)&lt;&gt;0)," 入仓差异"&amp;G172,"")="","正常",SUBSTITUTE(TRIM(IF(OR(O172="超期未收汇",O172="超过收汇期限仍未销售")," 收汇超期","")&amp;IF(S172="已逾期"," 核算逾期","")&amp;IF(S172="临近截止"," 核算临近截止","")&amp;IF(LEFT(T172,1)="缺"," 单证"&amp;T172,"")&amp;IF(T172="未登记"," 单证未登记","")&amp;IF(AND(ISNUMBER(G172),N(G172)&lt;&gt;0)," 入仓差异"&amp;G172,""))," ","、")))</f>
        <v/>
      </c>
    </row>
    <row r="173" customFormat="false" ht="21.75" hidden="false" customHeight="true" outlineLevel="0" collapsed="false">
      <c r="A173" s="29" t="str">
        <f aca="false">IF(①出口报关!A170="","",①出口报关!A170)</f>
        <v/>
      </c>
      <c r="B173" s="29" t="str">
        <f aca="false">IF($A173="","",①出口报关!I170)</f>
        <v/>
      </c>
      <c r="C173" s="29" t="str">
        <f aca="false">IF($A173="","",①出口报关!J170)</f>
        <v/>
      </c>
      <c r="D173" s="30" t="str">
        <f aca="false">IF($A173="","",IF(①出口报关!D170="","",①出口报关!D170))</f>
        <v/>
      </c>
      <c r="E173" s="31" t="str">
        <f aca="false">IF($A173="","",N(①出口报关!L170))</f>
        <v/>
      </c>
      <c r="F173" s="31" t="str">
        <f aca="false">IF($A173="","",IF(①出口报关!Y170="","未签收",①出口报关!Y170))</f>
        <v/>
      </c>
      <c r="G173" s="32" t="str">
        <f aca="false">IF(OR($A173="",NOT(ISNUMBER(F173))),"",F173-E173)</f>
        <v/>
      </c>
      <c r="H173" s="31" t="str">
        <f aca="false">IF($A173="","",SUMIFS(②销售核销!$I$4:$I$603,②销售核销!$E$4:$E$603,$A173))</f>
        <v/>
      </c>
      <c r="I173" s="31" t="str">
        <f aca="false">IF($A173="","",SUMIFS(⑤库存异常!$E$4:$E$203,⑤库存异常!$B$4:$B$203,$A173))</f>
        <v/>
      </c>
      <c r="J173" s="31" t="str">
        <f aca="false">IF($A173="","",IF(ISNUMBER(F173),F173,E173)-H173-I173)</f>
        <v/>
      </c>
      <c r="K173" s="33" t="str">
        <f aca="false">IF(OR($A173="",N(E173)=0),"",H173/E173)</f>
        <v/>
      </c>
      <c r="L173" s="34" t="str">
        <f aca="false">IF($A173="","",SUMIFS(②销售核销!$L$4:$L$603,②销售核销!$E$4:$E$603,$A173))</f>
        <v/>
      </c>
      <c r="M173" s="34" t="str">
        <f aca="false">IF($A173="","",SUMIFS(②销售核销!$L$4:$L$603,②销售核销!$E$4:$E$603,$A173,②销售核销!$M$4:$M$603,"已收汇"))</f>
        <v/>
      </c>
      <c r="N173" s="30" t="str">
        <f aca="false">IF(ISNUMBER(D173),DATE(YEAR(D173)+1,4,30),"")</f>
        <v/>
      </c>
      <c r="O173" s="35" t="str">
        <f aca="true">IF($A173="","",IF(N(H173)=0,IF(AND(ISNUMBER(N173),TODAY()&gt;N173),"超过收汇期限仍未销售","尚未销售"),IF(ROUND(M173,2)&gt;=ROUND(L173,2),"已售部分已收汇",IF(AND(ISNUMBER(N173),TODAY()&gt;N173),"超期未收汇","有回款待收汇"))))</f>
        <v/>
      </c>
      <c r="P173" s="34" t="str">
        <f aca="false">IF($A173="","",SUMIFS(④退税核算!$H$4:$H$303,④退税核算!$A$4:$A$303,$A173))</f>
        <v/>
      </c>
      <c r="Q173" s="34" t="str">
        <f aca="false">IF($A173="","",SUMIFS(④退税核算!$H$4:$H$303,④退税核算!$A$4:$A$303,$A173,④退税核算!$D$4:$D$303,"未售-海外仓预退（HWC-YT）"))</f>
        <v/>
      </c>
      <c r="R173" s="30" t="str">
        <f aca="false">IF($A173="","",IF(COUNTIFS(④退税核算!$A$4:$A$303,$A173,④退税核算!$D$4:$D$303,"未售-海外仓预退（HWC-YT）",④退税核算!$I$4:$I$303,"&gt;0")=0,"",_xlfn.MINIFS(④退税核算!$J$4:$J$303,④退税核算!$A$4:$A$303,$A173,④退税核算!$D$4:$D$303,"未售-海外仓预退（HWC-YT）")))</f>
        <v/>
      </c>
      <c r="S173" s="35" t="str">
        <f aca="false">IF($A173="","",IF(COUNTIFS(④退税核算!$A$4:$A$303,$A173,④退税核算!$D$4:$D$303,"未售-海外仓预退（HWC-YT）")=0,"不涉及",IF(COUNTIFS(④退税核算!$A$4:$A$303,$A173,④退税核算!$S$4:$S$303,"已逾期*")&gt;0,"已逾期",IF(COUNTIFS(④退税核算!$A$4:$A$303,$A173,④退税核算!$S$4:$S$303,"临近*")&gt;0,"临近截止",IF(COUNTIFS(④退税核算!$A$4:$A$303,$A173,④退税核算!$S$4:$S$303,"待*")&gt;0,"待核算","已核算")))))</f>
        <v/>
      </c>
      <c r="T173" s="35" t="str">
        <f aca="false">IF($A173="","",IFERROR(INDEX(⑥单证留存!$P$4:$P$203,MATCH(①出口报关!B170,⑥单证留存!$A$4:$A$203,0)),"未登记"))</f>
        <v/>
      </c>
      <c r="U173" s="36" t="str">
        <f aca="false">IF($A173="","",IF(IF(OR(O173="超期未收汇",O173="超过收汇期限仍未销售")," 收汇超期","")&amp;IF(S173="已逾期"," 核算逾期","")&amp;IF(S173="临近截止"," 核算临近截止","")&amp;IF(LEFT(T173,1)="缺"," 单证"&amp;T173,"")&amp;IF(T173="未登记"," 单证未登记","")&amp;IF(AND(ISNUMBER(G173),N(G173)&lt;&gt;0)," 入仓差异"&amp;G173,"")="","正常",SUBSTITUTE(TRIM(IF(OR(O173="超期未收汇",O173="超过收汇期限仍未销售")," 收汇超期","")&amp;IF(S173="已逾期"," 核算逾期","")&amp;IF(S173="临近截止"," 核算临近截止","")&amp;IF(LEFT(T173,1)="缺"," 单证"&amp;T173,"")&amp;IF(T173="未登记"," 单证未登记","")&amp;IF(AND(ISNUMBER(G173),N(G173)&lt;&gt;0)," 入仓差异"&amp;G173,""))," ","、")))</f>
        <v/>
      </c>
    </row>
    <row r="174" customFormat="false" ht="21.75" hidden="false" customHeight="true" outlineLevel="0" collapsed="false">
      <c r="A174" s="29" t="str">
        <f aca="false">IF(①出口报关!A171="","",①出口报关!A171)</f>
        <v/>
      </c>
      <c r="B174" s="29" t="str">
        <f aca="false">IF($A174="","",①出口报关!I171)</f>
        <v/>
      </c>
      <c r="C174" s="29" t="str">
        <f aca="false">IF($A174="","",①出口报关!J171)</f>
        <v/>
      </c>
      <c r="D174" s="30" t="str">
        <f aca="false">IF($A174="","",IF(①出口报关!D171="","",①出口报关!D171))</f>
        <v/>
      </c>
      <c r="E174" s="31" t="str">
        <f aca="false">IF($A174="","",N(①出口报关!L171))</f>
        <v/>
      </c>
      <c r="F174" s="31" t="str">
        <f aca="false">IF($A174="","",IF(①出口报关!Y171="","未签收",①出口报关!Y171))</f>
        <v/>
      </c>
      <c r="G174" s="32" t="str">
        <f aca="false">IF(OR($A174="",NOT(ISNUMBER(F174))),"",F174-E174)</f>
        <v/>
      </c>
      <c r="H174" s="31" t="str">
        <f aca="false">IF($A174="","",SUMIFS(②销售核销!$I$4:$I$603,②销售核销!$E$4:$E$603,$A174))</f>
        <v/>
      </c>
      <c r="I174" s="31" t="str">
        <f aca="false">IF($A174="","",SUMIFS(⑤库存异常!$E$4:$E$203,⑤库存异常!$B$4:$B$203,$A174))</f>
        <v/>
      </c>
      <c r="J174" s="31" t="str">
        <f aca="false">IF($A174="","",IF(ISNUMBER(F174),F174,E174)-H174-I174)</f>
        <v/>
      </c>
      <c r="K174" s="33" t="str">
        <f aca="false">IF(OR($A174="",N(E174)=0),"",H174/E174)</f>
        <v/>
      </c>
      <c r="L174" s="34" t="str">
        <f aca="false">IF($A174="","",SUMIFS(②销售核销!$L$4:$L$603,②销售核销!$E$4:$E$603,$A174))</f>
        <v/>
      </c>
      <c r="M174" s="34" t="str">
        <f aca="false">IF($A174="","",SUMIFS(②销售核销!$L$4:$L$603,②销售核销!$E$4:$E$603,$A174,②销售核销!$M$4:$M$603,"已收汇"))</f>
        <v/>
      </c>
      <c r="N174" s="30" t="str">
        <f aca="false">IF(ISNUMBER(D174),DATE(YEAR(D174)+1,4,30),"")</f>
        <v/>
      </c>
      <c r="O174" s="35" t="str">
        <f aca="true">IF($A174="","",IF(N(H174)=0,IF(AND(ISNUMBER(N174),TODAY()&gt;N174),"超过收汇期限仍未销售","尚未销售"),IF(ROUND(M174,2)&gt;=ROUND(L174,2),"已售部分已收汇",IF(AND(ISNUMBER(N174),TODAY()&gt;N174),"超期未收汇","有回款待收汇"))))</f>
        <v/>
      </c>
      <c r="P174" s="34" t="str">
        <f aca="false">IF($A174="","",SUMIFS(④退税核算!$H$4:$H$303,④退税核算!$A$4:$A$303,$A174))</f>
        <v/>
      </c>
      <c r="Q174" s="34" t="str">
        <f aca="false">IF($A174="","",SUMIFS(④退税核算!$H$4:$H$303,④退税核算!$A$4:$A$303,$A174,④退税核算!$D$4:$D$303,"未售-海外仓预退（HWC-YT）"))</f>
        <v/>
      </c>
      <c r="R174" s="30" t="str">
        <f aca="false">IF($A174="","",IF(COUNTIFS(④退税核算!$A$4:$A$303,$A174,④退税核算!$D$4:$D$303,"未售-海外仓预退（HWC-YT）",④退税核算!$I$4:$I$303,"&gt;0")=0,"",_xlfn.MINIFS(④退税核算!$J$4:$J$303,④退税核算!$A$4:$A$303,$A174,④退税核算!$D$4:$D$303,"未售-海外仓预退（HWC-YT）")))</f>
        <v/>
      </c>
      <c r="S174" s="35" t="str">
        <f aca="false">IF($A174="","",IF(COUNTIFS(④退税核算!$A$4:$A$303,$A174,④退税核算!$D$4:$D$303,"未售-海外仓预退（HWC-YT）")=0,"不涉及",IF(COUNTIFS(④退税核算!$A$4:$A$303,$A174,④退税核算!$S$4:$S$303,"已逾期*")&gt;0,"已逾期",IF(COUNTIFS(④退税核算!$A$4:$A$303,$A174,④退税核算!$S$4:$S$303,"临近*")&gt;0,"临近截止",IF(COUNTIFS(④退税核算!$A$4:$A$303,$A174,④退税核算!$S$4:$S$303,"待*")&gt;0,"待核算","已核算")))))</f>
        <v/>
      </c>
      <c r="T174" s="35" t="str">
        <f aca="false">IF($A174="","",IFERROR(INDEX(⑥单证留存!$P$4:$P$203,MATCH(①出口报关!B171,⑥单证留存!$A$4:$A$203,0)),"未登记"))</f>
        <v/>
      </c>
      <c r="U174" s="36" t="str">
        <f aca="false">IF($A174="","",IF(IF(OR(O174="超期未收汇",O174="超过收汇期限仍未销售")," 收汇超期","")&amp;IF(S174="已逾期"," 核算逾期","")&amp;IF(S174="临近截止"," 核算临近截止","")&amp;IF(LEFT(T174,1)="缺"," 单证"&amp;T174,"")&amp;IF(T174="未登记"," 单证未登记","")&amp;IF(AND(ISNUMBER(G174),N(G174)&lt;&gt;0)," 入仓差异"&amp;G174,"")="","正常",SUBSTITUTE(TRIM(IF(OR(O174="超期未收汇",O174="超过收汇期限仍未销售")," 收汇超期","")&amp;IF(S174="已逾期"," 核算逾期","")&amp;IF(S174="临近截止"," 核算临近截止","")&amp;IF(LEFT(T174,1)="缺"," 单证"&amp;T174,"")&amp;IF(T174="未登记"," 单证未登记","")&amp;IF(AND(ISNUMBER(G174),N(G174)&lt;&gt;0)," 入仓差异"&amp;G174,""))," ","、")))</f>
        <v/>
      </c>
    </row>
    <row r="175" customFormat="false" ht="21.75" hidden="false" customHeight="true" outlineLevel="0" collapsed="false">
      <c r="A175" s="29" t="str">
        <f aca="false">IF(①出口报关!A172="","",①出口报关!A172)</f>
        <v/>
      </c>
      <c r="B175" s="29" t="str">
        <f aca="false">IF($A175="","",①出口报关!I172)</f>
        <v/>
      </c>
      <c r="C175" s="29" t="str">
        <f aca="false">IF($A175="","",①出口报关!J172)</f>
        <v/>
      </c>
      <c r="D175" s="30" t="str">
        <f aca="false">IF($A175="","",IF(①出口报关!D172="","",①出口报关!D172))</f>
        <v/>
      </c>
      <c r="E175" s="31" t="str">
        <f aca="false">IF($A175="","",N(①出口报关!L172))</f>
        <v/>
      </c>
      <c r="F175" s="31" t="str">
        <f aca="false">IF($A175="","",IF(①出口报关!Y172="","未签收",①出口报关!Y172))</f>
        <v/>
      </c>
      <c r="G175" s="32" t="str">
        <f aca="false">IF(OR($A175="",NOT(ISNUMBER(F175))),"",F175-E175)</f>
        <v/>
      </c>
      <c r="H175" s="31" t="str">
        <f aca="false">IF($A175="","",SUMIFS(②销售核销!$I$4:$I$603,②销售核销!$E$4:$E$603,$A175))</f>
        <v/>
      </c>
      <c r="I175" s="31" t="str">
        <f aca="false">IF($A175="","",SUMIFS(⑤库存异常!$E$4:$E$203,⑤库存异常!$B$4:$B$203,$A175))</f>
        <v/>
      </c>
      <c r="J175" s="31" t="str">
        <f aca="false">IF($A175="","",IF(ISNUMBER(F175),F175,E175)-H175-I175)</f>
        <v/>
      </c>
      <c r="K175" s="33" t="str">
        <f aca="false">IF(OR($A175="",N(E175)=0),"",H175/E175)</f>
        <v/>
      </c>
      <c r="L175" s="34" t="str">
        <f aca="false">IF($A175="","",SUMIFS(②销售核销!$L$4:$L$603,②销售核销!$E$4:$E$603,$A175))</f>
        <v/>
      </c>
      <c r="M175" s="34" t="str">
        <f aca="false">IF($A175="","",SUMIFS(②销售核销!$L$4:$L$603,②销售核销!$E$4:$E$603,$A175,②销售核销!$M$4:$M$603,"已收汇"))</f>
        <v/>
      </c>
      <c r="N175" s="30" t="str">
        <f aca="false">IF(ISNUMBER(D175),DATE(YEAR(D175)+1,4,30),"")</f>
        <v/>
      </c>
      <c r="O175" s="35" t="str">
        <f aca="true">IF($A175="","",IF(N(H175)=0,IF(AND(ISNUMBER(N175),TODAY()&gt;N175),"超过收汇期限仍未销售","尚未销售"),IF(ROUND(M175,2)&gt;=ROUND(L175,2),"已售部分已收汇",IF(AND(ISNUMBER(N175),TODAY()&gt;N175),"超期未收汇","有回款待收汇"))))</f>
        <v/>
      </c>
      <c r="P175" s="34" t="str">
        <f aca="false">IF($A175="","",SUMIFS(④退税核算!$H$4:$H$303,④退税核算!$A$4:$A$303,$A175))</f>
        <v/>
      </c>
      <c r="Q175" s="34" t="str">
        <f aca="false">IF($A175="","",SUMIFS(④退税核算!$H$4:$H$303,④退税核算!$A$4:$A$303,$A175,④退税核算!$D$4:$D$303,"未售-海外仓预退（HWC-YT）"))</f>
        <v/>
      </c>
      <c r="R175" s="30" t="str">
        <f aca="false">IF($A175="","",IF(COUNTIFS(④退税核算!$A$4:$A$303,$A175,④退税核算!$D$4:$D$303,"未售-海外仓预退（HWC-YT）",④退税核算!$I$4:$I$303,"&gt;0")=0,"",_xlfn.MINIFS(④退税核算!$J$4:$J$303,④退税核算!$A$4:$A$303,$A175,④退税核算!$D$4:$D$303,"未售-海外仓预退（HWC-YT）")))</f>
        <v/>
      </c>
      <c r="S175" s="35" t="str">
        <f aca="false">IF($A175="","",IF(COUNTIFS(④退税核算!$A$4:$A$303,$A175,④退税核算!$D$4:$D$303,"未售-海外仓预退（HWC-YT）")=0,"不涉及",IF(COUNTIFS(④退税核算!$A$4:$A$303,$A175,④退税核算!$S$4:$S$303,"已逾期*")&gt;0,"已逾期",IF(COUNTIFS(④退税核算!$A$4:$A$303,$A175,④退税核算!$S$4:$S$303,"临近*")&gt;0,"临近截止",IF(COUNTIFS(④退税核算!$A$4:$A$303,$A175,④退税核算!$S$4:$S$303,"待*")&gt;0,"待核算","已核算")))))</f>
        <v/>
      </c>
      <c r="T175" s="35" t="str">
        <f aca="false">IF($A175="","",IFERROR(INDEX(⑥单证留存!$P$4:$P$203,MATCH(①出口报关!B172,⑥单证留存!$A$4:$A$203,0)),"未登记"))</f>
        <v/>
      </c>
      <c r="U175" s="36" t="str">
        <f aca="false">IF($A175="","",IF(IF(OR(O175="超期未收汇",O175="超过收汇期限仍未销售")," 收汇超期","")&amp;IF(S175="已逾期"," 核算逾期","")&amp;IF(S175="临近截止"," 核算临近截止","")&amp;IF(LEFT(T175,1)="缺"," 单证"&amp;T175,"")&amp;IF(T175="未登记"," 单证未登记","")&amp;IF(AND(ISNUMBER(G175),N(G175)&lt;&gt;0)," 入仓差异"&amp;G175,"")="","正常",SUBSTITUTE(TRIM(IF(OR(O175="超期未收汇",O175="超过收汇期限仍未销售")," 收汇超期","")&amp;IF(S175="已逾期"," 核算逾期","")&amp;IF(S175="临近截止"," 核算临近截止","")&amp;IF(LEFT(T175,1)="缺"," 单证"&amp;T175,"")&amp;IF(T175="未登记"," 单证未登记","")&amp;IF(AND(ISNUMBER(G175),N(G175)&lt;&gt;0)," 入仓差异"&amp;G175,""))," ","、")))</f>
        <v/>
      </c>
    </row>
    <row r="176" customFormat="false" ht="21.75" hidden="false" customHeight="true" outlineLevel="0" collapsed="false">
      <c r="A176" s="29" t="str">
        <f aca="false">IF(①出口报关!A173="","",①出口报关!A173)</f>
        <v/>
      </c>
      <c r="B176" s="29" t="str">
        <f aca="false">IF($A176="","",①出口报关!I173)</f>
        <v/>
      </c>
      <c r="C176" s="29" t="str">
        <f aca="false">IF($A176="","",①出口报关!J173)</f>
        <v/>
      </c>
      <c r="D176" s="30" t="str">
        <f aca="false">IF($A176="","",IF(①出口报关!D173="","",①出口报关!D173))</f>
        <v/>
      </c>
      <c r="E176" s="31" t="str">
        <f aca="false">IF($A176="","",N(①出口报关!L173))</f>
        <v/>
      </c>
      <c r="F176" s="31" t="str">
        <f aca="false">IF($A176="","",IF(①出口报关!Y173="","未签收",①出口报关!Y173))</f>
        <v/>
      </c>
      <c r="G176" s="32" t="str">
        <f aca="false">IF(OR($A176="",NOT(ISNUMBER(F176))),"",F176-E176)</f>
        <v/>
      </c>
      <c r="H176" s="31" t="str">
        <f aca="false">IF($A176="","",SUMIFS(②销售核销!$I$4:$I$603,②销售核销!$E$4:$E$603,$A176))</f>
        <v/>
      </c>
      <c r="I176" s="31" t="str">
        <f aca="false">IF($A176="","",SUMIFS(⑤库存异常!$E$4:$E$203,⑤库存异常!$B$4:$B$203,$A176))</f>
        <v/>
      </c>
      <c r="J176" s="31" t="str">
        <f aca="false">IF($A176="","",IF(ISNUMBER(F176),F176,E176)-H176-I176)</f>
        <v/>
      </c>
      <c r="K176" s="33" t="str">
        <f aca="false">IF(OR($A176="",N(E176)=0),"",H176/E176)</f>
        <v/>
      </c>
      <c r="L176" s="34" t="str">
        <f aca="false">IF($A176="","",SUMIFS(②销售核销!$L$4:$L$603,②销售核销!$E$4:$E$603,$A176))</f>
        <v/>
      </c>
      <c r="M176" s="34" t="str">
        <f aca="false">IF($A176="","",SUMIFS(②销售核销!$L$4:$L$603,②销售核销!$E$4:$E$603,$A176,②销售核销!$M$4:$M$603,"已收汇"))</f>
        <v/>
      </c>
      <c r="N176" s="30" t="str">
        <f aca="false">IF(ISNUMBER(D176),DATE(YEAR(D176)+1,4,30),"")</f>
        <v/>
      </c>
      <c r="O176" s="35" t="str">
        <f aca="true">IF($A176="","",IF(N(H176)=0,IF(AND(ISNUMBER(N176),TODAY()&gt;N176),"超过收汇期限仍未销售","尚未销售"),IF(ROUND(M176,2)&gt;=ROUND(L176,2),"已售部分已收汇",IF(AND(ISNUMBER(N176),TODAY()&gt;N176),"超期未收汇","有回款待收汇"))))</f>
        <v/>
      </c>
      <c r="P176" s="34" t="str">
        <f aca="false">IF($A176="","",SUMIFS(④退税核算!$H$4:$H$303,④退税核算!$A$4:$A$303,$A176))</f>
        <v/>
      </c>
      <c r="Q176" s="34" t="str">
        <f aca="false">IF($A176="","",SUMIFS(④退税核算!$H$4:$H$303,④退税核算!$A$4:$A$303,$A176,④退税核算!$D$4:$D$303,"未售-海外仓预退（HWC-YT）"))</f>
        <v/>
      </c>
      <c r="R176" s="30" t="str">
        <f aca="false">IF($A176="","",IF(COUNTIFS(④退税核算!$A$4:$A$303,$A176,④退税核算!$D$4:$D$303,"未售-海外仓预退（HWC-YT）",④退税核算!$I$4:$I$303,"&gt;0")=0,"",_xlfn.MINIFS(④退税核算!$J$4:$J$303,④退税核算!$A$4:$A$303,$A176,④退税核算!$D$4:$D$303,"未售-海外仓预退（HWC-YT）")))</f>
        <v/>
      </c>
      <c r="S176" s="35" t="str">
        <f aca="false">IF($A176="","",IF(COUNTIFS(④退税核算!$A$4:$A$303,$A176,④退税核算!$D$4:$D$303,"未售-海外仓预退（HWC-YT）")=0,"不涉及",IF(COUNTIFS(④退税核算!$A$4:$A$303,$A176,④退税核算!$S$4:$S$303,"已逾期*")&gt;0,"已逾期",IF(COUNTIFS(④退税核算!$A$4:$A$303,$A176,④退税核算!$S$4:$S$303,"临近*")&gt;0,"临近截止",IF(COUNTIFS(④退税核算!$A$4:$A$303,$A176,④退税核算!$S$4:$S$303,"待*")&gt;0,"待核算","已核算")))))</f>
        <v/>
      </c>
      <c r="T176" s="35" t="str">
        <f aca="false">IF($A176="","",IFERROR(INDEX(⑥单证留存!$P$4:$P$203,MATCH(①出口报关!B173,⑥单证留存!$A$4:$A$203,0)),"未登记"))</f>
        <v/>
      </c>
      <c r="U176" s="36" t="str">
        <f aca="false">IF($A176="","",IF(IF(OR(O176="超期未收汇",O176="超过收汇期限仍未销售")," 收汇超期","")&amp;IF(S176="已逾期"," 核算逾期","")&amp;IF(S176="临近截止"," 核算临近截止","")&amp;IF(LEFT(T176,1)="缺"," 单证"&amp;T176,"")&amp;IF(T176="未登记"," 单证未登记","")&amp;IF(AND(ISNUMBER(G176),N(G176)&lt;&gt;0)," 入仓差异"&amp;G176,"")="","正常",SUBSTITUTE(TRIM(IF(OR(O176="超期未收汇",O176="超过收汇期限仍未销售")," 收汇超期","")&amp;IF(S176="已逾期"," 核算逾期","")&amp;IF(S176="临近截止"," 核算临近截止","")&amp;IF(LEFT(T176,1)="缺"," 单证"&amp;T176,"")&amp;IF(T176="未登记"," 单证未登记","")&amp;IF(AND(ISNUMBER(G176),N(G176)&lt;&gt;0)," 入仓差异"&amp;G176,""))," ","、")))</f>
        <v/>
      </c>
    </row>
    <row r="177" customFormat="false" ht="21.75" hidden="false" customHeight="true" outlineLevel="0" collapsed="false">
      <c r="A177" s="29" t="str">
        <f aca="false">IF(①出口报关!A174="","",①出口报关!A174)</f>
        <v/>
      </c>
      <c r="B177" s="29" t="str">
        <f aca="false">IF($A177="","",①出口报关!I174)</f>
        <v/>
      </c>
      <c r="C177" s="29" t="str">
        <f aca="false">IF($A177="","",①出口报关!J174)</f>
        <v/>
      </c>
      <c r="D177" s="30" t="str">
        <f aca="false">IF($A177="","",IF(①出口报关!D174="","",①出口报关!D174))</f>
        <v/>
      </c>
      <c r="E177" s="31" t="str">
        <f aca="false">IF($A177="","",N(①出口报关!L174))</f>
        <v/>
      </c>
      <c r="F177" s="31" t="str">
        <f aca="false">IF($A177="","",IF(①出口报关!Y174="","未签收",①出口报关!Y174))</f>
        <v/>
      </c>
      <c r="G177" s="32" t="str">
        <f aca="false">IF(OR($A177="",NOT(ISNUMBER(F177))),"",F177-E177)</f>
        <v/>
      </c>
      <c r="H177" s="31" t="str">
        <f aca="false">IF($A177="","",SUMIFS(②销售核销!$I$4:$I$603,②销售核销!$E$4:$E$603,$A177))</f>
        <v/>
      </c>
      <c r="I177" s="31" t="str">
        <f aca="false">IF($A177="","",SUMIFS(⑤库存异常!$E$4:$E$203,⑤库存异常!$B$4:$B$203,$A177))</f>
        <v/>
      </c>
      <c r="J177" s="31" t="str">
        <f aca="false">IF($A177="","",IF(ISNUMBER(F177),F177,E177)-H177-I177)</f>
        <v/>
      </c>
      <c r="K177" s="33" t="str">
        <f aca="false">IF(OR($A177="",N(E177)=0),"",H177/E177)</f>
        <v/>
      </c>
      <c r="L177" s="34" t="str">
        <f aca="false">IF($A177="","",SUMIFS(②销售核销!$L$4:$L$603,②销售核销!$E$4:$E$603,$A177))</f>
        <v/>
      </c>
      <c r="M177" s="34" t="str">
        <f aca="false">IF($A177="","",SUMIFS(②销售核销!$L$4:$L$603,②销售核销!$E$4:$E$603,$A177,②销售核销!$M$4:$M$603,"已收汇"))</f>
        <v/>
      </c>
      <c r="N177" s="30" t="str">
        <f aca="false">IF(ISNUMBER(D177),DATE(YEAR(D177)+1,4,30),"")</f>
        <v/>
      </c>
      <c r="O177" s="35" t="str">
        <f aca="true">IF($A177="","",IF(N(H177)=0,IF(AND(ISNUMBER(N177),TODAY()&gt;N177),"超过收汇期限仍未销售","尚未销售"),IF(ROUND(M177,2)&gt;=ROUND(L177,2),"已售部分已收汇",IF(AND(ISNUMBER(N177),TODAY()&gt;N177),"超期未收汇","有回款待收汇"))))</f>
        <v/>
      </c>
      <c r="P177" s="34" t="str">
        <f aca="false">IF($A177="","",SUMIFS(④退税核算!$H$4:$H$303,④退税核算!$A$4:$A$303,$A177))</f>
        <v/>
      </c>
      <c r="Q177" s="34" t="str">
        <f aca="false">IF($A177="","",SUMIFS(④退税核算!$H$4:$H$303,④退税核算!$A$4:$A$303,$A177,④退税核算!$D$4:$D$303,"未售-海外仓预退（HWC-YT）"))</f>
        <v/>
      </c>
      <c r="R177" s="30" t="str">
        <f aca="false">IF($A177="","",IF(COUNTIFS(④退税核算!$A$4:$A$303,$A177,④退税核算!$D$4:$D$303,"未售-海外仓预退（HWC-YT）",④退税核算!$I$4:$I$303,"&gt;0")=0,"",_xlfn.MINIFS(④退税核算!$J$4:$J$303,④退税核算!$A$4:$A$303,$A177,④退税核算!$D$4:$D$303,"未售-海外仓预退（HWC-YT）")))</f>
        <v/>
      </c>
      <c r="S177" s="35" t="str">
        <f aca="false">IF($A177="","",IF(COUNTIFS(④退税核算!$A$4:$A$303,$A177,④退税核算!$D$4:$D$303,"未售-海外仓预退（HWC-YT）")=0,"不涉及",IF(COUNTIFS(④退税核算!$A$4:$A$303,$A177,④退税核算!$S$4:$S$303,"已逾期*")&gt;0,"已逾期",IF(COUNTIFS(④退税核算!$A$4:$A$303,$A177,④退税核算!$S$4:$S$303,"临近*")&gt;0,"临近截止",IF(COUNTIFS(④退税核算!$A$4:$A$303,$A177,④退税核算!$S$4:$S$303,"待*")&gt;0,"待核算","已核算")))))</f>
        <v/>
      </c>
      <c r="T177" s="35" t="str">
        <f aca="false">IF($A177="","",IFERROR(INDEX(⑥单证留存!$P$4:$P$203,MATCH(①出口报关!B174,⑥单证留存!$A$4:$A$203,0)),"未登记"))</f>
        <v/>
      </c>
      <c r="U177" s="36" t="str">
        <f aca="false">IF($A177="","",IF(IF(OR(O177="超期未收汇",O177="超过收汇期限仍未销售")," 收汇超期","")&amp;IF(S177="已逾期"," 核算逾期","")&amp;IF(S177="临近截止"," 核算临近截止","")&amp;IF(LEFT(T177,1)="缺"," 单证"&amp;T177,"")&amp;IF(T177="未登记"," 单证未登记","")&amp;IF(AND(ISNUMBER(G177),N(G177)&lt;&gt;0)," 入仓差异"&amp;G177,"")="","正常",SUBSTITUTE(TRIM(IF(OR(O177="超期未收汇",O177="超过收汇期限仍未销售")," 收汇超期","")&amp;IF(S177="已逾期"," 核算逾期","")&amp;IF(S177="临近截止"," 核算临近截止","")&amp;IF(LEFT(T177,1)="缺"," 单证"&amp;T177,"")&amp;IF(T177="未登记"," 单证未登记","")&amp;IF(AND(ISNUMBER(G177),N(G177)&lt;&gt;0)," 入仓差异"&amp;G177,""))," ","、")))</f>
        <v/>
      </c>
    </row>
    <row r="178" customFormat="false" ht="21.75" hidden="false" customHeight="true" outlineLevel="0" collapsed="false">
      <c r="A178" s="29" t="str">
        <f aca="false">IF(①出口报关!A175="","",①出口报关!A175)</f>
        <v/>
      </c>
      <c r="B178" s="29" t="str">
        <f aca="false">IF($A178="","",①出口报关!I175)</f>
        <v/>
      </c>
      <c r="C178" s="29" t="str">
        <f aca="false">IF($A178="","",①出口报关!J175)</f>
        <v/>
      </c>
      <c r="D178" s="30" t="str">
        <f aca="false">IF($A178="","",IF(①出口报关!D175="","",①出口报关!D175))</f>
        <v/>
      </c>
      <c r="E178" s="31" t="str">
        <f aca="false">IF($A178="","",N(①出口报关!L175))</f>
        <v/>
      </c>
      <c r="F178" s="31" t="str">
        <f aca="false">IF($A178="","",IF(①出口报关!Y175="","未签收",①出口报关!Y175))</f>
        <v/>
      </c>
      <c r="G178" s="32" t="str">
        <f aca="false">IF(OR($A178="",NOT(ISNUMBER(F178))),"",F178-E178)</f>
        <v/>
      </c>
      <c r="H178" s="31" t="str">
        <f aca="false">IF($A178="","",SUMIFS(②销售核销!$I$4:$I$603,②销售核销!$E$4:$E$603,$A178))</f>
        <v/>
      </c>
      <c r="I178" s="31" t="str">
        <f aca="false">IF($A178="","",SUMIFS(⑤库存异常!$E$4:$E$203,⑤库存异常!$B$4:$B$203,$A178))</f>
        <v/>
      </c>
      <c r="J178" s="31" t="str">
        <f aca="false">IF($A178="","",IF(ISNUMBER(F178),F178,E178)-H178-I178)</f>
        <v/>
      </c>
      <c r="K178" s="33" t="str">
        <f aca="false">IF(OR($A178="",N(E178)=0),"",H178/E178)</f>
        <v/>
      </c>
      <c r="L178" s="34" t="str">
        <f aca="false">IF($A178="","",SUMIFS(②销售核销!$L$4:$L$603,②销售核销!$E$4:$E$603,$A178))</f>
        <v/>
      </c>
      <c r="M178" s="34" t="str">
        <f aca="false">IF($A178="","",SUMIFS(②销售核销!$L$4:$L$603,②销售核销!$E$4:$E$603,$A178,②销售核销!$M$4:$M$603,"已收汇"))</f>
        <v/>
      </c>
      <c r="N178" s="30" t="str">
        <f aca="false">IF(ISNUMBER(D178),DATE(YEAR(D178)+1,4,30),"")</f>
        <v/>
      </c>
      <c r="O178" s="35" t="str">
        <f aca="true">IF($A178="","",IF(N(H178)=0,IF(AND(ISNUMBER(N178),TODAY()&gt;N178),"超过收汇期限仍未销售","尚未销售"),IF(ROUND(M178,2)&gt;=ROUND(L178,2),"已售部分已收汇",IF(AND(ISNUMBER(N178),TODAY()&gt;N178),"超期未收汇","有回款待收汇"))))</f>
        <v/>
      </c>
      <c r="P178" s="34" t="str">
        <f aca="false">IF($A178="","",SUMIFS(④退税核算!$H$4:$H$303,④退税核算!$A$4:$A$303,$A178))</f>
        <v/>
      </c>
      <c r="Q178" s="34" t="str">
        <f aca="false">IF($A178="","",SUMIFS(④退税核算!$H$4:$H$303,④退税核算!$A$4:$A$303,$A178,④退税核算!$D$4:$D$303,"未售-海外仓预退（HWC-YT）"))</f>
        <v/>
      </c>
      <c r="R178" s="30" t="str">
        <f aca="false">IF($A178="","",IF(COUNTIFS(④退税核算!$A$4:$A$303,$A178,④退税核算!$D$4:$D$303,"未售-海外仓预退（HWC-YT）",④退税核算!$I$4:$I$303,"&gt;0")=0,"",_xlfn.MINIFS(④退税核算!$J$4:$J$303,④退税核算!$A$4:$A$303,$A178,④退税核算!$D$4:$D$303,"未售-海外仓预退（HWC-YT）")))</f>
        <v/>
      </c>
      <c r="S178" s="35" t="str">
        <f aca="false">IF($A178="","",IF(COUNTIFS(④退税核算!$A$4:$A$303,$A178,④退税核算!$D$4:$D$303,"未售-海外仓预退（HWC-YT）")=0,"不涉及",IF(COUNTIFS(④退税核算!$A$4:$A$303,$A178,④退税核算!$S$4:$S$303,"已逾期*")&gt;0,"已逾期",IF(COUNTIFS(④退税核算!$A$4:$A$303,$A178,④退税核算!$S$4:$S$303,"临近*")&gt;0,"临近截止",IF(COUNTIFS(④退税核算!$A$4:$A$303,$A178,④退税核算!$S$4:$S$303,"待*")&gt;0,"待核算","已核算")))))</f>
        <v/>
      </c>
      <c r="T178" s="35" t="str">
        <f aca="false">IF($A178="","",IFERROR(INDEX(⑥单证留存!$P$4:$P$203,MATCH(①出口报关!B175,⑥单证留存!$A$4:$A$203,0)),"未登记"))</f>
        <v/>
      </c>
      <c r="U178" s="36" t="str">
        <f aca="false">IF($A178="","",IF(IF(OR(O178="超期未收汇",O178="超过收汇期限仍未销售")," 收汇超期","")&amp;IF(S178="已逾期"," 核算逾期","")&amp;IF(S178="临近截止"," 核算临近截止","")&amp;IF(LEFT(T178,1)="缺"," 单证"&amp;T178,"")&amp;IF(T178="未登记"," 单证未登记","")&amp;IF(AND(ISNUMBER(G178),N(G178)&lt;&gt;0)," 入仓差异"&amp;G178,"")="","正常",SUBSTITUTE(TRIM(IF(OR(O178="超期未收汇",O178="超过收汇期限仍未销售")," 收汇超期","")&amp;IF(S178="已逾期"," 核算逾期","")&amp;IF(S178="临近截止"," 核算临近截止","")&amp;IF(LEFT(T178,1)="缺"," 单证"&amp;T178,"")&amp;IF(T178="未登记"," 单证未登记","")&amp;IF(AND(ISNUMBER(G178),N(G178)&lt;&gt;0)," 入仓差异"&amp;G178,""))," ","、")))</f>
        <v/>
      </c>
    </row>
    <row r="179" customFormat="false" ht="21.75" hidden="false" customHeight="true" outlineLevel="0" collapsed="false">
      <c r="A179" s="29" t="str">
        <f aca="false">IF(①出口报关!A176="","",①出口报关!A176)</f>
        <v/>
      </c>
      <c r="B179" s="29" t="str">
        <f aca="false">IF($A179="","",①出口报关!I176)</f>
        <v/>
      </c>
      <c r="C179" s="29" t="str">
        <f aca="false">IF($A179="","",①出口报关!J176)</f>
        <v/>
      </c>
      <c r="D179" s="30" t="str">
        <f aca="false">IF($A179="","",IF(①出口报关!D176="","",①出口报关!D176))</f>
        <v/>
      </c>
      <c r="E179" s="31" t="str">
        <f aca="false">IF($A179="","",N(①出口报关!L176))</f>
        <v/>
      </c>
      <c r="F179" s="31" t="str">
        <f aca="false">IF($A179="","",IF(①出口报关!Y176="","未签收",①出口报关!Y176))</f>
        <v/>
      </c>
      <c r="G179" s="32" t="str">
        <f aca="false">IF(OR($A179="",NOT(ISNUMBER(F179))),"",F179-E179)</f>
        <v/>
      </c>
      <c r="H179" s="31" t="str">
        <f aca="false">IF($A179="","",SUMIFS(②销售核销!$I$4:$I$603,②销售核销!$E$4:$E$603,$A179))</f>
        <v/>
      </c>
      <c r="I179" s="31" t="str">
        <f aca="false">IF($A179="","",SUMIFS(⑤库存异常!$E$4:$E$203,⑤库存异常!$B$4:$B$203,$A179))</f>
        <v/>
      </c>
      <c r="J179" s="31" t="str">
        <f aca="false">IF($A179="","",IF(ISNUMBER(F179),F179,E179)-H179-I179)</f>
        <v/>
      </c>
      <c r="K179" s="33" t="str">
        <f aca="false">IF(OR($A179="",N(E179)=0),"",H179/E179)</f>
        <v/>
      </c>
      <c r="L179" s="34" t="str">
        <f aca="false">IF($A179="","",SUMIFS(②销售核销!$L$4:$L$603,②销售核销!$E$4:$E$603,$A179))</f>
        <v/>
      </c>
      <c r="M179" s="34" t="str">
        <f aca="false">IF($A179="","",SUMIFS(②销售核销!$L$4:$L$603,②销售核销!$E$4:$E$603,$A179,②销售核销!$M$4:$M$603,"已收汇"))</f>
        <v/>
      </c>
      <c r="N179" s="30" t="str">
        <f aca="false">IF(ISNUMBER(D179),DATE(YEAR(D179)+1,4,30),"")</f>
        <v/>
      </c>
      <c r="O179" s="35" t="str">
        <f aca="true">IF($A179="","",IF(N(H179)=0,IF(AND(ISNUMBER(N179),TODAY()&gt;N179),"超过收汇期限仍未销售","尚未销售"),IF(ROUND(M179,2)&gt;=ROUND(L179,2),"已售部分已收汇",IF(AND(ISNUMBER(N179),TODAY()&gt;N179),"超期未收汇","有回款待收汇"))))</f>
        <v/>
      </c>
      <c r="P179" s="34" t="str">
        <f aca="false">IF($A179="","",SUMIFS(④退税核算!$H$4:$H$303,④退税核算!$A$4:$A$303,$A179))</f>
        <v/>
      </c>
      <c r="Q179" s="34" t="str">
        <f aca="false">IF($A179="","",SUMIFS(④退税核算!$H$4:$H$303,④退税核算!$A$4:$A$303,$A179,④退税核算!$D$4:$D$303,"未售-海外仓预退（HWC-YT）"))</f>
        <v/>
      </c>
      <c r="R179" s="30" t="str">
        <f aca="false">IF($A179="","",IF(COUNTIFS(④退税核算!$A$4:$A$303,$A179,④退税核算!$D$4:$D$303,"未售-海外仓预退（HWC-YT）",④退税核算!$I$4:$I$303,"&gt;0")=0,"",_xlfn.MINIFS(④退税核算!$J$4:$J$303,④退税核算!$A$4:$A$303,$A179,④退税核算!$D$4:$D$303,"未售-海外仓预退（HWC-YT）")))</f>
        <v/>
      </c>
      <c r="S179" s="35" t="str">
        <f aca="false">IF($A179="","",IF(COUNTIFS(④退税核算!$A$4:$A$303,$A179,④退税核算!$D$4:$D$303,"未售-海外仓预退（HWC-YT）")=0,"不涉及",IF(COUNTIFS(④退税核算!$A$4:$A$303,$A179,④退税核算!$S$4:$S$303,"已逾期*")&gt;0,"已逾期",IF(COUNTIFS(④退税核算!$A$4:$A$303,$A179,④退税核算!$S$4:$S$303,"临近*")&gt;0,"临近截止",IF(COUNTIFS(④退税核算!$A$4:$A$303,$A179,④退税核算!$S$4:$S$303,"待*")&gt;0,"待核算","已核算")))))</f>
        <v/>
      </c>
      <c r="T179" s="35" t="str">
        <f aca="false">IF($A179="","",IFERROR(INDEX(⑥单证留存!$P$4:$P$203,MATCH(①出口报关!B176,⑥单证留存!$A$4:$A$203,0)),"未登记"))</f>
        <v/>
      </c>
      <c r="U179" s="36" t="str">
        <f aca="false">IF($A179="","",IF(IF(OR(O179="超期未收汇",O179="超过收汇期限仍未销售")," 收汇超期","")&amp;IF(S179="已逾期"," 核算逾期","")&amp;IF(S179="临近截止"," 核算临近截止","")&amp;IF(LEFT(T179,1)="缺"," 单证"&amp;T179,"")&amp;IF(T179="未登记"," 单证未登记","")&amp;IF(AND(ISNUMBER(G179),N(G179)&lt;&gt;0)," 入仓差异"&amp;G179,"")="","正常",SUBSTITUTE(TRIM(IF(OR(O179="超期未收汇",O179="超过收汇期限仍未销售")," 收汇超期","")&amp;IF(S179="已逾期"," 核算逾期","")&amp;IF(S179="临近截止"," 核算临近截止","")&amp;IF(LEFT(T179,1)="缺"," 单证"&amp;T179,"")&amp;IF(T179="未登记"," 单证未登记","")&amp;IF(AND(ISNUMBER(G179),N(G179)&lt;&gt;0)," 入仓差异"&amp;G179,""))," ","、")))</f>
        <v/>
      </c>
    </row>
    <row r="180" customFormat="false" ht="21.75" hidden="false" customHeight="true" outlineLevel="0" collapsed="false">
      <c r="A180" s="29" t="str">
        <f aca="false">IF(①出口报关!A177="","",①出口报关!A177)</f>
        <v/>
      </c>
      <c r="B180" s="29" t="str">
        <f aca="false">IF($A180="","",①出口报关!I177)</f>
        <v/>
      </c>
      <c r="C180" s="29" t="str">
        <f aca="false">IF($A180="","",①出口报关!J177)</f>
        <v/>
      </c>
      <c r="D180" s="30" t="str">
        <f aca="false">IF($A180="","",IF(①出口报关!D177="","",①出口报关!D177))</f>
        <v/>
      </c>
      <c r="E180" s="31" t="str">
        <f aca="false">IF($A180="","",N(①出口报关!L177))</f>
        <v/>
      </c>
      <c r="F180" s="31" t="str">
        <f aca="false">IF($A180="","",IF(①出口报关!Y177="","未签收",①出口报关!Y177))</f>
        <v/>
      </c>
      <c r="G180" s="32" t="str">
        <f aca="false">IF(OR($A180="",NOT(ISNUMBER(F180))),"",F180-E180)</f>
        <v/>
      </c>
      <c r="H180" s="31" t="str">
        <f aca="false">IF($A180="","",SUMIFS(②销售核销!$I$4:$I$603,②销售核销!$E$4:$E$603,$A180))</f>
        <v/>
      </c>
      <c r="I180" s="31" t="str">
        <f aca="false">IF($A180="","",SUMIFS(⑤库存异常!$E$4:$E$203,⑤库存异常!$B$4:$B$203,$A180))</f>
        <v/>
      </c>
      <c r="J180" s="31" t="str">
        <f aca="false">IF($A180="","",IF(ISNUMBER(F180),F180,E180)-H180-I180)</f>
        <v/>
      </c>
      <c r="K180" s="33" t="str">
        <f aca="false">IF(OR($A180="",N(E180)=0),"",H180/E180)</f>
        <v/>
      </c>
      <c r="L180" s="34" t="str">
        <f aca="false">IF($A180="","",SUMIFS(②销售核销!$L$4:$L$603,②销售核销!$E$4:$E$603,$A180))</f>
        <v/>
      </c>
      <c r="M180" s="34" t="str">
        <f aca="false">IF($A180="","",SUMIFS(②销售核销!$L$4:$L$603,②销售核销!$E$4:$E$603,$A180,②销售核销!$M$4:$M$603,"已收汇"))</f>
        <v/>
      </c>
      <c r="N180" s="30" t="str">
        <f aca="false">IF(ISNUMBER(D180),DATE(YEAR(D180)+1,4,30),"")</f>
        <v/>
      </c>
      <c r="O180" s="35" t="str">
        <f aca="true">IF($A180="","",IF(N(H180)=0,IF(AND(ISNUMBER(N180),TODAY()&gt;N180),"超过收汇期限仍未销售","尚未销售"),IF(ROUND(M180,2)&gt;=ROUND(L180,2),"已售部分已收汇",IF(AND(ISNUMBER(N180),TODAY()&gt;N180),"超期未收汇","有回款待收汇"))))</f>
        <v/>
      </c>
      <c r="P180" s="34" t="str">
        <f aca="false">IF($A180="","",SUMIFS(④退税核算!$H$4:$H$303,④退税核算!$A$4:$A$303,$A180))</f>
        <v/>
      </c>
      <c r="Q180" s="34" t="str">
        <f aca="false">IF($A180="","",SUMIFS(④退税核算!$H$4:$H$303,④退税核算!$A$4:$A$303,$A180,④退税核算!$D$4:$D$303,"未售-海外仓预退（HWC-YT）"))</f>
        <v/>
      </c>
      <c r="R180" s="30" t="str">
        <f aca="false">IF($A180="","",IF(COUNTIFS(④退税核算!$A$4:$A$303,$A180,④退税核算!$D$4:$D$303,"未售-海外仓预退（HWC-YT）",④退税核算!$I$4:$I$303,"&gt;0")=0,"",_xlfn.MINIFS(④退税核算!$J$4:$J$303,④退税核算!$A$4:$A$303,$A180,④退税核算!$D$4:$D$303,"未售-海外仓预退（HWC-YT）")))</f>
        <v/>
      </c>
      <c r="S180" s="35" t="str">
        <f aca="false">IF($A180="","",IF(COUNTIFS(④退税核算!$A$4:$A$303,$A180,④退税核算!$D$4:$D$303,"未售-海外仓预退（HWC-YT）")=0,"不涉及",IF(COUNTIFS(④退税核算!$A$4:$A$303,$A180,④退税核算!$S$4:$S$303,"已逾期*")&gt;0,"已逾期",IF(COUNTIFS(④退税核算!$A$4:$A$303,$A180,④退税核算!$S$4:$S$303,"临近*")&gt;0,"临近截止",IF(COUNTIFS(④退税核算!$A$4:$A$303,$A180,④退税核算!$S$4:$S$303,"待*")&gt;0,"待核算","已核算")))))</f>
        <v/>
      </c>
      <c r="T180" s="35" t="str">
        <f aca="false">IF($A180="","",IFERROR(INDEX(⑥单证留存!$P$4:$P$203,MATCH(①出口报关!B177,⑥单证留存!$A$4:$A$203,0)),"未登记"))</f>
        <v/>
      </c>
      <c r="U180" s="36" t="str">
        <f aca="false">IF($A180="","",IF(IF(OR(O180="超期未收汇",O180="超过收汇期限仍未销售")," 收汇超期","")&amp;IF(S180="已逾期"," 核算逾期","")&amp;IF(S180="临近截止"," 核算临近截止","")&amp;IF(LEFT(T180,1)="缺"," 单证"&amp;T180,"")&amp;IF(T180="未登记"," 单证未登记","")&amp;IF(AND(ISNUMBER(G180),N(G180)&lt;&gt;0)," 入仓差异"&amp;G180,"")="","正常",SUBSTITUTE(TRIM(IF(OR(O180="超期未收汇",O180="超过收汇期限仍未销售")," 收汇超期","")&amp;IF(S180="已逾期"," 核算逾期","")&amp;IF(S180="临近截止"," 核算临近截止","")&amp;IF(LEFT(T180,1)="缺"," 单证"&amp;T180,"")&amp;IF(T180="未登记"," 单证未登记","")&amp;IF(AND(ISNUMBER(G180),N(G180)&lt;&gt;0)," 入仓差异"&amp;G180,""))," ","、")))</f>
        <v/>
      </c>
    </row>
    <row r="181" customFormat="false" ht="21.75" hidden="false" customHeight="true" outlineLevel="0" collapsed="false">
      <c r="A181" s="29" t="str">
        <f aca="false">IF(①出口报关!A178="","",①出口报关!A178)</f>
        <v/>
      </c>
      <c r="B181" s="29" t="str">
        <f aca="false">IF($A181="","",①出口报关!I178)</f>
        <v/>
      </c>
      <c r="C181" s="29" t="str">
        <f aca="false">IF($A181="","",①出口报关!J178)</f>
        <v/>
      </c>
      <c r="D181" s="30" t="str">
        <f aca="false">IF($A181="","",IF(①出口报关!D178="","",①出口报关!D178))</f>
        <v/>
      </c>
      <c r="E181" s="31" t="str">
        <f aca="false">IF($A181="","",N(①出口报关!L178))</f>
        <v/>
      </c>
      <c r="F181" s="31" t="str">
        <f aca="false">IF($A181="","",IF(①出口报关!Y178="","未签收",①出口报关!Y178))</f>
        <v/>
      </c>
      <c r="G181" s="32" t="str">
        <f aca="false">IF(OR($A181="",NOT(ISNUMBER(F181))),"",F181-E181)</f>
        <v/>
      </c>
      <c r="H181" s="31" t="str">
        <f aca="false">IF($A181="","",SUMIFS(②销售核销!$I$4:$I$603,②销售核销!$E$4:$E$603,$A181))</f>
        <v/>
      </c>
      <c r="I181" s="31" t="str">
        <f aca="false">IF($A181="","",SUMIFS(⑤库存异常!$E$4:$E$203,⑤库存异常!$B$4:$B$203,$A181))</f>
        <v/>
      </c>
      <c r="J181" s="31" t="str">
        <f aca="false">IF($A181="","",IF(ISNUMBER(F181),F181,E181)-H181-I181)</f>
        <v/>
      </c>
      <c r="K181" s="33" t="str">
        <f aca="false">IF(OR($A181="",N(E181)=0),"",H181/E181)</f>
        <v/>
      </c>
      <c r="L181" s="34" t="str">
        <f aca="false">IF($A181="","",SUMIFS(②销售核销!$L$4:$L$603,②销售核销!$E$4:$E$603,$A181))</f>
        <v/>
      </c>
      <c r="M181" s="34" t="str">
        <f aca="false">IF($A181="","",SUMIFS(②销售核销!$L$4:$L$603,②销售核销!$E$4:$E$603,$A181,②销售核销!$M$4:$M$603,"已收汇"))</f>
        <v/>
      </c>
      <c r="N181" s="30" t="str">
        <f aca="false">IF(ISNUMBER(D181),DATE(YEAR(D181)+1,4,30),"")</f>
        <v/>
      </c>
      <c r="O181" s="35" t="str">
        <f aca="true">IF($A181="","",IF(N(H181)=0,IF(AND(ISNUMBER(N181),TODAY()&gt;N181),"超过收汇期限仍未销售","尚未销售"),IF(ROUND(M181,2)&gt;=ROUND(L181,2),"已售部分已收汇",IF(AND(ISNUMBER(N181),TODAY()&gt;N181),"超期未收汇","有回款待收汇"))))</f>
        <v/>
      </c>
      <c r="P181" s="34" t="str">
        <f aca="false">IF($A181="","",SUMIFS(④退税核算!$H$4:$H$303,④退税核算!$A$4:$A$303,$A181))</f>
        <v/>
      </c>
      <c r="Q181" s="34" t="str">
        <f aca="false">IF($A181="","",SUMIFS(④退税核算!$H$4:$H$303,④退税核算!$A$4:$A$303,$A181,④退税核算!$D$4:$D$303,"未售-海外仓预退（HWC-YT）"))</f>
        <v/>
      </c>
      <c r="R181" s="30" t="str">
        <f aca="false">IF($A181="","",IF(COUNTIFS(④退税核算!$A$4:$A$303,$A181,④退税核算!$D$4:$D$303,"未售-海外仓预退（HWC-YT）",④退税核算!$I$4:$I$303,"&gt;0")=0,"",_xlfn.MINIFS(④退税核算!$J$4:$J$303,④退税核算!$A$4:$A$303,$A181,④退税核算!$D$4:$D$303,"未售-海外仓预退（HWC-YT）")))</f>
        <v/>
      </c>
      <c r="S181" s="35" t="str">
        <f aca="false">IF($A181="","",IF(COUNTIFS(④退税核算!$A$4:$A$303,$A181,④退税核算!$D$4:$D$303,"未售-海外仓预退（HWC-YT）")=0,"不涉及",IF(COUNTIFS(④退税核算!$A$4:$A$303,$A181,④退税核算!$S$4:$S$303,"已逾期*")&gt;0,"已逾期",IF(COUNTIFS(④退税核算!$A$4:$A$303,$A181,④退税核算!$S$4:$S$303,"临近*")&gt;0,"临近截止",IF(COUNTIFS(④退税核算!$A$4:$A$303,$A181,④退税核算!$S$4:$S$303,"待*")&gt;0,"待核算","已核算")))))</f>
        <v/>
      </c>
      <c r="T181" s="35" t="str">
        <f aca="false">IF($A181="","",IFERROR(INDEX(⑥单证留存!$P$4:$P$203,MATCH(①出口报关!B178,⑥单证留存!$A$4:$A$203,0)),"未登记"))</f>
        <v/>
      </c>
      <c r="U181" s="36" t="str">
        <f aca="false">IF($A181="","",IF(IF(OR(O181="超期未收汇",O181="超过收汇期限仍未销售")," 收汇超期","")&amp;IF(S181="已逾期"," 核算逾期","")&amp;IF(S181="临近截止"," 核算临近截止","")&amp;IF(LEFT(T181,1)="缺"," 单证"&amp;T181,"")&amp;IF(T181="未登记"," 单证未登记","")&amp;IF(AND(ISNUMBER(G181),N(G181)&lt;&gt;0)," 入仓差异"&amp;G181,"")="","正常",SUBSTITUTE(TRIM(IF(OR(O181="超期未收汇",O181="超过收汇期限仍未销售")," 收汇超期","")&amp;IF(S181="已逾期"," 核算逾期","")&amp;IF(S181="临近截止"," 核算临近截止","")&amp;IF(LEFT(T181,1)="缺"," 单证"&amp;T181,"")&amp;IF(T181="未登记"," 单证未登记","")&amp;IF(AND(ISNUMBER(G181),N(G181)&lt;&gt;0)," 入仓差异"&amp;G181,""))," ","、")))</f>
        <v/>
      </c>
    </row>
    <row r="182" customFormat="false" ht="21.75" hidden="false" customHeight="true" outlineLevel="0" collapsed="false">
      <c r="A182" s="29" t="str">
        <f aca="false">IF(①出口报关!A179="","",①出口报关!A179)</f>
        <v/>
      </c>
      <c r="B182" s="29" t="str">
        <f aca="false">IF($A182="","",①出口报关!I179)</f>
        <v/>
      </c>
      <c r="C182" s="29" t="str">
        <f aca="false">IF($A182="","",①出口报关!J179)</f>
        <v/>
      </c>
      <c r="D182" s="30" t="str">
        <f aca="false">IF($A182="","",IF(①出口报关!D179="","",①出口报关!D179))</f>
        <v/>
      </c>
      <c r="E182" s="31" t="str">
        <f aca="false">IF($A182="","",N(①出口报关!L179))</f>
        <v/>
      </c>
      <c r="F182" s="31" t="str">
        <f aca="false">IF($A182="","",IF(①出口报关!Y179="","未签收",①出口报关!Y179))</f>
        <v/>
      </c>
      <c r="G182" s="32" t="str">
        <f aca="false">IF(OR($A182="",NOT(ISNUMBER(F182))),"",F182-E182)</f>
        <v/>
      </c>
      <c r="H182" s="31" t="str">
        <f aca="false">IF($A182="","",SUMIFS(②销售核销!$I$4:$I$603,②销售核销!$E$4:$E$603,$A182))</f>
        <v/>
      </c>
      <c r="I182" s="31" t="str">
        <f aca="false">IF($A182="","",SUMIFS(⑤库存异常!$E$4:$E$203,⑤库存异常!$B$4:$B$203,$A182))</f>
        <v/>
      </c>
      <c r="J182" s="31" t="str">
        <f aca="false">IF($A182="","",IF(ISNUMBER(F182),F182,E182)-H182-I182)</f>
        <v/>
      </c>
      <c r="K182" s="33" t="str">
        <f aca="false">IF(OR($A182="",N(E182)=0),"",H182/E182)</f>
        <v/>
      </c>
      <c r="L182" s="34" t="str">
        <f aca="false">IF($A182="","",SUMIFS(②销售核销!$L$4:$L$603,②销售核销!$E$4:$E$603,$A182))</f>
        <v/>
      </c>
      <c r="M182" s="34" t="str">
        <f aca="false">IF($A182="","",SUMIFS(②销售核销!$L$4:$L$603,②销售核销!$E$4:$E$603,$A182,②销售核销!$M$4:$M$603,"已收汇"))</f>
        <v/>
      </c>
      <c r="N182" s="30" t="str">
        <f aca="false">IF(ISNUMBER(D182),DATE(YEAR(D182)+1,4,30),"")</f>
        <v/>
      </c>
      <c r="O182" s="35" t="str">
        <f aca="true">IF($A182="","",IF(N(H182)=0,IF(AND(ISNUMBER(N182),TODAY()&gt;N182),"超过收汇期限仍未销售","尚未销售"),IF(ROUND(M182,2)&gt;=ROUND(L182,2),"已售部分已收汇",IF(AND(ISNUMBER(N182),TODAY()&gt;N182),"超期未收汇","有回款待收汇"))))</f>
        <v/>
      </c>
      <c r="P182" s="34" t="str">
        <f aca="false">IF($A182="","",SUMIFS(④退税核算!$H$4:$H$303,④退税核算!$A$4:$A$303,$A182))</f>
        <v/>
      </c>
      <c r="Q182" s="34" t="str">
        <f aca="false">IF($A182="","",SUMIFS(④退税核算!$H$4:$H$303,④退税核算!$A$4:$A$303,$A182,④退税核算!$D$4:$D$303,"未售-海外仓预退（HWC-YT）"))</f>
        <v/>
      </c>
      <c r="R182" s="30" t="str">
        <f aca="false">IF($A182="","",IF(COUNTIFS(④退税核算!$A$4:$A$303,$A182,④退税核算!$D$4:$D$303,"未售-海外仓预退（HWC-YT）",④退税核算!$I$4:$I$303,"&gt;0")=0,"",_xlfn.MINIFS(④退税核算!$J$4:$J$303,④退税核算!$A$4:$A$303,$A182,④退税核算!$D$4:$D$303,"未售-海外仓预退（HWC-YT）")))</f>
        <v/>
      </c>
      <c r="S182" s="35" t="str">
        <f aca="false">IF($A182="","",IF(COUNTIFS(④退税核算!$A$4:$A$303,$A182,④退税核算!$D$4:$D$303,"未售-海外仓预退（HWC-YT）")=0,"不涉及",IF(COUNTIFS(④退税核算!$A$4:$A$303,$A182,④退税核算!$S$4:$S$303,"已逾期*")&gt;0,"已逾期",IF(COUNTIFS(④退税核算!$A$4:$A$303,$A182,④退税核算!$S$4:$S$303,"临近*")&gt;0,"临近截止",IF(COUNTIFS(④退税核算!$A$4:$A$303,$A182,④退税核算!$S$4:$S$303,"待*")&gt;0,"待核算","已核算")))))</f>
        <v/>
      </c>
      <c r="T182" s="35" t="str">
        <f aca="false">IF($A182="","",IFERROR(INDEX(⑥单证留存!$P$4:$P$203,MATCH(①出口报关!B179,⑥单证留存!$A$4:$A$203,0)),"未登记"))</f>
        <v/>
      </c>
      <c r="U182" s="36" t="str">
        <f aca="false">IF($A182="","",IF(IF(OR(O182="超期未收汇",O182="超过收汇期限仍未销售")," 收汇超期","")&amp;IF(S182="已逾期"," 核算逾期","")&amp;IF(S182="临近截止"," 核算临近截止","")&amp;IF(LEFT(T182,1)="缺"," 单证"&amp;T182,"")&amp;IF(T182="未登记"," 单证未登记","")&amp;IF(AND(ISNUMBER(G182),N(G182)&lt;&gt;0)," 入仓差异"&amp;G182,"")="","正常",SUBSTITUTE(TRIM(IF(OR(O182="超期未收汇",O182="超过收汇期限仍未销售")," 收汇超期","")&amp;IF(S182="已逾期"," 核算逾期","")&amp;IF(S182="临近截止"," 核算临近截止","")&amp;IF(LEFT(T182,1)="缺"," 单证"&amp;T182,"")&amp;IF(T182="未登记"," 单证未登记","")&amp;IF(AND(ISNUMBER(G182),N(G182)&lt;&gt;0)," 入仓差异"&amp;G182,""))," ","、")))</f>
        <v/>
      </c>
    </row>
    <row r="183" customFormat="false" ht="21.75" hidden="false" customHeight="true" outlineLevel="0" collapsed="false">
      <c r="A183" s="29" t="str">
        <f aca="false">IF(①出口报关!A180="","",①出口报关!A180)</f>
        <v/>
      </c>
      <c r="B183" s="29" t="str">
        <f aca="false">IF($A183="","",①出口报关!I180)</f>
        <v/>
      </c>
      <c r="C183" s="29" t="str">
        <f aca="false">IF($A183="","",①出口报关!J180)</f>
        <v/>
      </c>
      <c r="D183" s="30" t="str">
        <f aca="false">IF($A183="","",IF(①出口报关!D180="","",①出口报关!D180))</f>
        <v/>
      </c>
      <c r="E183" s="31" t="str">
        <f aca="false">IF($A183="","",N(①出口报关!L180))</f>
        <v/>
      </c>
      <c r="F183" s="31" t="str">
        <f aca="false">IF($A183="","",IF(①出口报关!Y180="","未签收",①出口报关!Y180))</f>
        <v/>
      </c>
      <c r="G183" s="32" t="str">
        <f aca="false">IF(OR($A183="",NOT(ISNUMBER(F183))),"",F183-E183)</f>
        <v/>
      </c>
      <c r="H183" s="31" t="str">
        <f aca="false">IF($A183="","",SUMIFS(②销售核销!$I$4:$I$603,②销售核销!$E$4:$E$603,$A183))</f>
        <v/>
      </c>
      <c r="I183" s="31" t="str">
        <f aca="false">IF($A183="","",SUMIFS(⑤库存异常!$E$4:$E$203,⑤库存异常!$B$4:$B$203,$A183))</f>
        <v/>
      </c>
      <c r="J183" s="31" t="str">
        <f aca="false">IF($A183="","",IF(ISNUMBER(F183),F183,E183)-H183-I183)</f>
        <v/>
      </c>
      <c r="K183" s="33" t="str">
        <f aca="false">IF(OR($A183="",N(E183)=0),"",H183/E183)</f>
        <v/>
      </c>
      <c r="L183" s="34" t="str">
        <f aca="false">IF($A183="","",SUMIFS(②销售核销!$L$4:$L$603,②销售核销!$E$4:$E$603,$A183))</f>
        <v/>
      </c>
      <c r="M183" s="34" t="str">
        <f aca="false">IF($A183="","",SUMIFS(②销售核销!$L$4:$L$603,②销售核销!$E$4:$E$603,$A183,②销售核销!$M$4:$M$603,"已收汇"))</f>
        <v/>
      </c>
      <c r="N183" s="30" t="str">
        <f aca="false">IF(ISNUMBER(D183),DATE(YEAR(D183)+1,4,30),"")</f>
        <v/>
      </c>
      <c r="O183" s="35" t="str">
        <f aca="true">IF($A183="","",IF(N(H183)=0,IF(AND(ISNUMBER(N183),TODAY()&gt;N183),"超过收汇期限仍未销售","尚未销售"),IF(ROUND(M183,2)&gt;=ROUND(L183,2),"已售部分已收汇",IF(AND(ISNUMBER(N183),TODAY()&gt;N183),"超期未收汇","有回款待收汇"))))</f>
        <v/>
      </c>
      <c r="P183" s="34" t="str">
        <f aca="false">IF($A183="","",SUMIFS(④退税核算!$H$4:$H$303,④退税核算!$A$4:$A$303,$A183))</f>
        <v/>
      </c>
      <c r="Q183" s="34" t="str">
        <f aca="false">IF($A183="","",SUMIFS(④退税核算!$H$4:$H$303,④退税核算!$A$4:$A$303,$A183,④退税核算!$D$4:$D$303,"未售-海外仓预退（HWC-YT）"))</f>
        <v/>
      </c>
      <c r="R183" s="30" t="str">
        <f aca="false">IF($A183="","",IF(COUNTIFS(④退税核算!$A$4:$A$303,$A183,④退税核算!$D$4:$D$303,"未售-海外仓预退（HWC-YT）",④退税核算!$I$4:$I$303,"&gt;0")=0,"",_xlfn.MINIFS(④退税核算!$J$4:$J$303,④退税核算!$A$4:$A$303,$A183,④退税核算!$D$4:$D$303,"未售-海外仓预退（HWC-YT）")))</f>
        <v/>
      </c>
      <c r="S183" s="35" t="str">
        <f aca="false">IF($A183="","",IF(COUNTIFS(④退税核算!$A$4:$A$303,$A183,④退税核算!$D$4:$D$303,"未售-海外仓预退（HWC-YT）")=0,"不涉及",IF(COUNTIFS(④退税核算!$A$4:$A$303,$A183,④退税核算!$S$4:$S$303,"已逾期*")&gt;0,"已逾期",IF(COUNTIFS(④退税核算!$A$4:$A$303,$A183,④退税核算!$S$4:$S$303,"临近*")&gt;0,"临近截止",IF(COUNTIFS(④退税核算!$A$4:$A$303,$A183,④退税核算!$S$4:$S$303,"待*")&gt;0,"待核算","已核算")))))</f>
        <v/>
      </c>
      <c r="T183" s="35" t="str">
        <f aca="false">IF($A183="","",IFERROR(INDEX(⑥单证留存!$P$4:$P$203,MATCH(①出口报关!B180,⑥单证留存!$A$4:$A$203,0)),"未登记"))</f>
        <v/>
      </c>
      <c r="U183" s="36" t="str">
        <f aca="false">IF($A183="","",IF(IF(OR(O183="超期未收汇",O183="超过收汇期限仍未销售")," 收汇超期","")&amp;IF(S183="已逾期"," 核算逾期","")&amp;IF(S183="临近截止"," 核算临近截止","")&amp;IF(LEFT(T183,1)="缺"," 单证"&amp;T183,"")&amp;IF(T183="未登记"," 单证未登记","")&amp;IF(AND(ISNUMBER(G183),N(G183)&lt;&gt;0)," 入仓差异"&amp;G183,"")="","正常",SUBSTITUTE(TRIM(IF(OR(O183="超期未收汇",O183="超过收汇期限仍未销售")," 收汇超期","")&amp;IF(S183="已逾期"," 核算逾期","")&amp;IF(S183="临近截止"," 核算临近截止","")&amp;IF(LEFT(T183,1)="缺"," 单证"&amp;T183,"")&amp;IF(T183="未登记"," 单证未登记","")&amp;IF(AND(ISNUMBER(G183),N(G183)&lt;&gt;0)," 入仓差异"&amp;G183,""))," ","、")))</f>
        <v/>
      </c>
    </row>
    <row r="184" customFormat="false" ht="21.75" hidden="false" customHeight="true" outlineLevel="0" collapsed="false">
      <c r="A184" s="29" t="str">
        <f aca="false">IF(①出口报关!A181="","",①出口报关!A181)</f>
        <v/>
      </c>
      <c r="B184" s="29" t="str">
        <f aca="false">IF($A184="","",①出口报关!I181)</f>
        <v/>
      </c>
      <c r="C184" s="29" t="str">
        <f aca="false">IF($A184="","",①出口报关!J181)</f>
        <v/>
      </c>
      <c r="D184" s="30" t="str">
        <f aca="false">IF($A184="","",IF(①出口报关!D181="","",①出口报关!D181))</f>
        <v/>
      </c>
      <c r="E184" s="31" t="str">
        <f aca="false">IF($A184="","",N(①出口报关!L181))</f>
        <v/>
      </c>
      <c r="F184" s="31" t="str">
        <f aca="false">IF($A184="","",IF(①出口报关!Y181="","未签收",①出口报关!Y181))</f>
        <v/>
      </c>
      <c r="G184" s="32" t="str">
        <f aca="false">IF(OR($A184="",NOT(ISNUMBER(F184))),"",F184-E184)</f>
        <v/>
      </c>
      <c r="H184" s="31" t="str">
        <f aca="false">IF($A184="","",SUMIFS(②销售核销!$I$4:$I$603,②销售核销!$E$4:$E$603,$A184))</f>
        <v/>
      </c>
      <c r="I184" s="31" t="str">
        <f aca="false">IF($A184="","",SUMIFS(⑤库存异常!$E$4:$E$203,⑤库存异常!$B$4:$B$203,$A184))</f>
        <v/>
      </c>
      <c r="J184" s="31" t="str">
        <f aca="false">IF($A184="","",IF(ISNUMBER(F184),F184,E184)-H184-I184)</f>
        <v/>
      </c>
      <c r="K184" s="33" t="str">
        <f aca="false">IF(OR($A184="",N(E184)=0),"",H184/E184)</f>
        <v/>
      </c>
      <c r="L184" s="34" t="str">
        <f aca="false">IF($A184="","",SUMIFS(②销售核销!$L$4:$L$603,②销售核销!$E$4:$E$603,$A184))</f>
        <v/>
      </c>
      <c r="M184" s="34" t="str">
        <f aca="false">IF($A184="","",SUMIFS(②销售核销!$L$4:$L$603,②销售核销!$E$4:$E$603,$A184,②销售核销!$M$4:$M$603,"已收汇"))</f>
        <v/>
      </c>
      <c r="N184" s="30" t="str">
        <f aca="false">IF(ISNUMBER(D184),DATE(YEAR(D184)+1,4,30),"")</f>
        <v/>
      </c>
      <c r="O184" s="35" t="str">
        <f aca="true">IF($A184="","",IF(N(H184)=0,IF(AND(ISNUMBER(N184),TODAY()&gt;N184),"超过收汇期限仍未销售","尚未销售"),IF(ROUND(M184,2)&gt;=ROUND(L184,2),"已售部分已收汇",IF(AND(ISNUMBER(N184),TODAY()&gt;N184),"超期未收汇","有回款待收汇"))))</f>
        <v/>
      </c>
      <c r="P184" s="34" t="str">
        <f aca="false">IF($A184="","",SUMIFS(④退税核算!$H$4:$H$303,④退税核算!$A$4:$A$303,$A184))</f>
        <v/>
      </c>
      <c r="Q184" s="34" t="str">
        <f aca="false">IF($A184="","",SUMIFS(④退税核算!$H$4:$H$303,④退税核算!$A$4:$A$303,$A184,④退税核算!$D$4:$D$303,"未售-海外仓预退（HWC-YT）"))</f>
        <v/>
      </c>
      <c r="R184" s="30" t="str">
        <f aca="false">IF($A184="","",IF(COUNTIFS(④退税核算!$A$4:$A$303,$A184,④退税核算!$D$4:$D$303,"未售-海外仓预退（HWC-YT）",④退税核算!$I$4:$I$303,"&gt;0")=0,"",_xlfn.MINIFS(④退税核算!$J$4:$J$303,④退税核算!$A$4:$A$303,$A184,④退税核算!$D$4:$D$303,"未售-海外仓预退（HWC-YT）")))</f>
        <v/>
      </c>
      <c r="S184" s="35" t="str">
        <f aca="false">IF($A184="","",IF(COUNTIFS(④退税核算!$A$4:$A$303,$A184,④退税核算!$D$4:$D$303,"未售-海外仓预退（HWC-YT）")=0,"不涉及",IF(COUNTIFS(④退税核算!$A$4:$A$303,$A184,④退税核算!$S$4:$S$303,"已逾期*")&gt;0,"已逾期",IF(COUNTIFS(④退税核算!$A$4:$A$303,$A184,④退税核算!$S$4:$S$303,"临近*")&gt;0,"临近截止",IF(COUNTIFS(④退税核算!$A$4:$A$303,$A184,④退税核算!$S$4:$S$303,"待*")&gt;0,"待核算","已核算")))))</f>
        <v/>
      </c>
      <c r="T184" s="35" t="str">
        <f aca="false">IF($A184="","",IFERROR(INDEX(⑥单证留存!$P$4:$P$203,MATCH(①出口报关!B181,⑥单证留存!$A$4:$A$203,0)),"未登记"))</f>
        <v/>
      </c>
      <c r="U184" s="36" t="str">
        <f aca="false">IF($A184="","",IF(IF(OR(O184="超期未收汇",O184="超过收汇期限仍未销售")," 收汇超期","")&amp;IF(S184="已逾期"," 核算逾期","")&amp;IF(S184="临近截止"," 核算临近截止","")&amp;IF(LEFT(T184,1)="缺"," 单证"&amp;T184,"")&amp;IF(T184="未登记"," 单证未登记","")&amp;IF(AND(ISNUMBER(G184),N(G184)&lt;&gt;0)," 入仓差异"&amp;G184,"")="","正常",SUBSTITUTE(TRIM(IF(OR(O184="超期未收汇",O184="超过收汇期限仍未销售")," 收汇超期","")&amp;IF(S184="已逾期"," 核算逾期","")&amp;IF(S184="临近截止"," 核算临近截止","")&amp;IF(LEFT(T184,1)="缺"," 单证"&amp;T184,"")&amp;IF(T184="未登记"," 单证未登记","")&amp;IF(AND(ISNUMBER(G184),N(G184)&lt;&gt;0)," 入仓差异"&amp;G184,""))," ","、")))</f>
        <v/>
      </c>
    </row>
    <row r="185" customFormat="false" ht="21.75" hidden="false" customHeight="true" outlineLevel="0" collapsed="false">
      <c r="A185" s="29" t="str">
        <f aca="false">IF(①出口报关!A182="","",①出口报关!A182)</f>
        <v/>
      </c>
      <c r="B185" s="29" t="str">
        <f aca="false">IF($A185="","",①出口报关!I182)</f>
        <v/>
      </c>
      <c r="C185" s="29" t="str">
        <f aca="false">IF($A185="","",①出口报关!J182)</f>
        <v/>
      </c>
      <c r="D185" s="30" t="str">
        <f aca="false">IF($A185="","",IF(①出口报关!D182="","",①出口报关!D182))</f>
        <v/>
      </c>
      <c r="E185" s="31" t="str">
        <f aca="false">IF($A185="","",N(①出口报关!L182))</f>
        <v/>
      </c>
      <c r="F185" s="31" t="str">
        <f aca="false">IF($A185="","",IF(①出口报关!Y182="","未签收",①出口报关!Y182))</f>
        <v/>
      </c>
      <c r="G185" s="32" t="str">
        <f aca="false">IF(OR($A185="",NOT(ISNUMBER(F185))),"",F185-E185)</f>
        <v/>
      </c>
      <c r="H185" s="31" t="str">
        <f aca="false">IF($A185="","",SUMIFS(②销售核销!$I$4:$I$603,②销售核销!$E$4:$E$603,$A185))</f>
        <v/>
      </c>
      <c r="I185" s="31" t="str">
        <f aca="false">IF($A185="","",SUMIFS(⑤库存异常!$E$4:$E$203,⑤库存异常!$B$4:$B$203,$A185))</f>
        <v/>
      </c>
      <c r="J185" s="31" t="str">
        <f aca="false">IF($A185="","",IF(ISNUMBER(F185),F185,E185)-H185-I185)</f>
        <v/>
      </c>
      <c r="K185" s="33" t="str">
        <f aca="false">IF(OR($A185="",N(E185)=0),"",H185/E185)</f>
        <v/>
      </c>
      <c r="L185" s="34" t="str">
        <f aca="false">IF($A185="","",SUMIFS(②销售核销!$L$4:$L$603,②销售核销!$E$4:$E$603,$A185))</f>
        <v/>
      </c>
      <c r="M185" s="34" t="str">
        <f aca="false">IF($A185="","",SUMIFS(②销售核销!$L$4:$L$603,②销售核销!$E$4:$E$603,$A185,②销售核销!$M$4:$M$603,"已收汇"))</f>
        <v/>
      </c>
      <c r="N185" s="30" t="str">
        <f aca="false">IF(ISNUMBER(D185),DATE(YEAR(D185)+1,4,30),"")</f>
        <v/>
      </c>
      <c r="O185" s="35" t="str">
        <f aca="true">IF($A185="","",IF(N(H185)=0,IF(AND(ISNUMBER(N185),TODAY()&gt;N185),"超过收汇期限仍未销售","尚未销售"),IF(ROUND(M185,2)&gt;=ROUND(L185,2),"已售部分已收汇",IF(AND(ISNUMBER(N185),TODAY()&gt;N185),"超期未收汇","有回款待收汇"))))</f>
        <v/>
      </c>
      <c r="P185" s="34" t="str">
        <f aca="false">IF($A185="","",SUMIFS(④退税核算!$H$4:$H$303,④退税核算!$A$4:$A$303,$A185))</f>
        <v/>
      </c>
      <c r="Q185" s="34" t="str">
        <f aca="false">IF($A185="","",SUMIFS(④退税核算!$H$4:$H$303,④退税核算!$A$4:$A$303,$A185,④退税核算!$D$4:$D$303,"未售-海外仓预退（HWC-YT）"))</f>
        <v/>
      </c>
      <c r="R185" s="30" t="str">
        <f aca="false">IF($A185="","",IF(COUNTIFS(④退税核算!$A$4:$A$303,$A185,④退税核算!$D$4:$D$303,"未售-海外仓预退（HWC-YT）",④退税核算!$I$4:$I$303,"&gt;0")=0,"",_xlfn.MINIFS(④退税核算!$J$4:$J$303,④退税核算!$A$4:$A$303,$A185,④退税核算!$D$4:$D$303,"未售-海外仓预退（HWC-YT）")))</f>
        <v/>
      </c>
      <c r="S185" s="35" t="str">
        <f aca="false">IF($A185="","",IF(COUNTIFS(④退税核算!$A$4:$A$303,$A185,④退税核算!$D$4:$D$303,"未售-海外仓预退（HWC-YT）")=0,"不涉及",IF(COUNTIFS(④退税核算!$A$4:$A$303,$A185,④退税核算!$S$4:$S$303,"已逾期*")&gt;0,"已逾期",IF(COUNTIFS(④退税核算!$A$4:$A$303,$A185,④退税核算!$S$4:$S$303,"临近*")&gt;0,"临近截止",IF(COUNTIFS(④退税核算!$A$4:$A$303,$A185,④退税核算!$S$4:$S$303,"待*")&gt;0,"待核算","已核算")))))</f>
        <v/>
      </c>
      <c r="T185" s="35" t="str">
        <f aca="false">IF($A185="","",IFERROR(INDEX(⑥单证留存!$P$4:$P$203,MATCH(①出口报关!B182,⑥单证留存!$A$4:$A$203,0)),"未登记"))</f>
        <v/>
      </c>
      <c r="U185" s="36" t="str">
        <f aca="false">IF($A185="","",IF(IF(OR(O185="超期未收汇",O185="超过收汇期限仍未销售")," 收汇超期","")&amp;IF(S185="已逾期"," 核算逾期","")&amp;IF(S185="临近截止"," 核算临近截止","")&amp;IF(LEFT(T185,1)="缺"," 单证"&amp;T185,"")&amp;IF(T185="未登记"," 单证未登记","")&amp;IF(AND(ISNUMBER(G185),N(G185)&lt;&gt;0)," 入仓差异"&amp;G185,"")="","正常",SUBSTITUTE(TRIM(IF(OR(O185="超期未收汇",O185="超过收汇期限仍未销售")," 收汇超期","")&amp;IF(S185="已逾期"," 核算逾期","")&amp;IF(S185="临近截止"," 核算临近截止","")&amp;IF(LEFT(T185,1)="缺"," 单证"&amp;T185,"")&amp;IF(T185="未登记"," 单证未登记","")&amp;IF(AND(ISNUMBER(G185),N(G185)&lt;&gt;0)," 入仓差异"&amp;G185,""))," ","、")))</f>
        <v/>
      </c>
    </row>
    <row r="186" customFormat="false" ht="21.75" hidden="false" customHeight="true" outlineLevel="0" collapsed="false">
      <c r="A186" s="29" t="str">
        <f aca="false">IF(①出口报关!A183="","",①出口报关!A183)</f>
        <v/>
      </c>
      <c r="B186" s="29" t="str">
        <f aca="false">IF($A186="","",①出口报关!I183)</f>
        <v/>
      </c>
      <c r="C186" s="29" t="str">
        <f aca="false">IF($A186="","",①出口报关!J183)</f>
        <v/>
      </c>
      <c r="D186" s="30" t="str">
        <f aca="false">IF($A186="","",IF(①出口报关!D183="","",①出口报关!D183))</f>
        <v/>
      </c>
      <c r="E186" s="31" t="str">
        <f aca="false">IF($A186="","",N(①出口报关!L183))</f>
        <v/>
      </c>
      <c r="F186" s="31" t="str">
        <f aca="false">IF($A186="","",IF(①出口报关!Y183="","未签收",①出口报关!Y183))</f>
        <v/>
      </c>
      <c r="G186" s="32" t="str">
        <f aca="false">IF(OR($A186="",NOT(ISNUMBER(F186))),"",F186-E186)</f>
        <v/>
      </c>
      <c r="H186" s="31" t="str">
        <f aca="false">IF($A186="","",SUMIFS(②销售核销!$I$4:$I$603,②销售核销!$E$4:$E$603,$A186))</f>
        <v/>
      </c>
      <c r="I186" s="31" t="str">
        <f aca="false">IF($A186="","",SUMIFS(⑤库存异常!$E$4:$E$203,⑤库存异常!$B$4:$B$203,$A186))</f>
        <v/>
      </c>
      <c r="J186" s="31" t="str">
        <f aca="false">IF($A186="","",IF(ISNUMBER(F186),F186,E186)-H186-I186)</f>
        <v/>
      </c>
      <c r="K186" s="33" t="str">
        <f aca="false">IF(OR($A186="",N(E186)=0),"",H186/E186)</f>
        <v/>
      </c>
      <c r="L186" s="34" t="str">
        <f aca="false">IF($A186="","",SUMIFS(②销售核销!$L$4:$L$603,②销售核销!$E$4:$E$603,$A186))</f>
        <v/>
      </c>
      <c r="M186" s="34" t="str">
        <f aca="false">IF($A186="","",SUMIFS(②销售核销!$L$4:$L$603,②销售核销!$E$4:$E$603,$A186,②销售核销!$M$4:$M$603,"已收汇"))</f>
        <v/>
      </c>
      <c r="N186" s="30" t="str">
        <f aca="false">IF(ISNUMBER(D186),DATE(YEAR(D186)+1,4,30),"")</f>
        <v/>
      </c>
      <c r="O186" s="35" t="str">
        <f aca="true">IF($A186="","",IF(N(H186)=0,IF(AND(ISNUMBER(N186),TODAY()&gt;N186),"超过收汇期限仍未销售","尚未销售"),IF(ROUND(M186,2)&gt;=ROUND(L186,2),"已售部分已收汇",IF(AND(ISNUMBER(N186),TODAY()&gt;N186),"超期未收汇","有回款待收汇"))))</f>
        <v/>
      </c>
      <c r="P186" s="34" t="str">
        <f aca="false">IF($A186="","",SUMIFS(④退税核算!$H$4:$H$303,④退税核算!$A$4:$A$303,$A186))</f>
        <v/>
      </c>
      <c r="Q186" s="34" t="str">
        <f aca="false">IF($A186="","",SUMIFS(④退税核算!$H$4:$H$303,④退税核算!$A$4:$A$303,$A186,④退税核算!$D$4:$D$303,"未售-海外仓预退（HWC-YT）"))</f>
        <v/>
      </c>
      <c r="R186" s="30" t="str">
        <f aca="false">IF($A186="","",IF(COUNTIFS(④退税核算!$A$4:$A$303,$A186,④退税核算!$D$4:$D$303,"未售-海外仓预退（HWC-YT）",④退税核算!$I$4:$I$303,"&gt;0")=0,"",_xlfn.MINIFS(④退税核算!$J$4:$J$303,④退税核算!$A$4:$A$303,$A186,④退税核算!$D$4:$D$303,"未售-海外仓预退（HWC-YT）")))</f>
        <v/>
      </c>
      <c r="S186" s="35" t="str">
        <f aca="false">IF($A186="","",IF(COUNTIFS(④退税核算!$A$4:$A$303,$A186,④退税核算!$D$4:$D$303,"未售-海外仓预退（HWC-YT）")=0,"不涉及",IF(COUNTIFS(④退税核算!$A$4:$A$303,$A186,④退税核算!$S$4:$S$303,"已逾期*")&gt;0,"已逾期",IF(COUNTIFS(④退税核算!$A$4:$A$303,$A186,④退税核算!$S$4:$S$303,"临近*")&gt;0,"临近截止",IF(COUNTIFS(④退税核算!$A$4:$A$303,$A186,④退税核算!$S$4:$S$303,"待*")&gt;0,"待核算","已核算")))))</f>
        <v/>
      </c>
      <c r="T186" s="35" t="str">
        <f aca="false">IF($A186="","",IFERROR(INDEX(⑥单证留存!$P$4:$P$203,MATCH(①出口报关!B183,⑥单证留存!$A$4:$A$203,0)),"未登记"))</f>
        <v/>
      </c>
      <c r="U186" s="36" t="str">
        <f aca="false">IF($A186="","",IF(IF(OR(O186="超期未收汇",O186="超过收汇期限仍未销售")," 收汇超期","")&amp;IF(S186="已逾期"," 核算逾期","")&amp;IF(S186="临近截止"," 核算临近截止","")&amp;IF(LEFT(T186,1)="缺"," 单证"&amp;T186,"")&amp;IF(T186="未登记"," 单证未登记","")&amp;IF(AND(ISNUMBER(G186),N(G186)&lt;&gt;0)," 入仓差异"&amp;G186,"")="","正常",SUBSTITUTE(TRIM(IF(OR(O186="超期未收汇",O186="超过收汇期限仍未销售")," 收汇超期","")&amp;IF(S186="已逾期"," 核算逾期","")&amp;IF(S186="临近截止"," 核算临近截止","")&amp;IF(LEFT(T186,1)="缺"," 单证"&amp;T186,"")&amp;IF(T186="未登记"," 单证未登记","")&amp;IF(AND(ISNUMBER(G186),N(G186)&lt;&gt;0)," 入仓差异"&amp;G186,""))," ","、")))</f>
        <v/>
      </c>
    </row>
    <row r="187" customFormat="false" ht="21.75" hidden="false" customHeight="true" outlineLevel="0" collapsed="false">
      <c r="A187" s="29" t="str">
        <f aca="false">IF(①出口报关!A184="","",①出口报关!A184)</f>
        <v/>
      </c>
      <c r="B187" s="29" t="str">
        <f aca="false">IF($A187="","",①出口报关!I184)</f>
        <v/>
      </c>
      <c r="C187" s="29" t="str">
        <f aca="false">IF($A187="","",①出口报关!J184)</f>
        <v/>
      </c>
      <c r="D187" s="30" t="str">
        <f aca="false">IF($A187="","",IF(①出口报关!D184="","",①出口报关!D184))</f>
        <v/>
      </c>
      <c r="E187" s="31" t="str">
        <f aca="false">IF($A187="","",N(①出口报关!L184))</f>
        <v/>
      </c>
      <c r="F187" s="31" t="str">
        <f aca="false">IF($A187="","",IF(①出口报关!Y184="","未签收",①出口报关!Y184))</f>
        <v/>
      </c>
      <c r="G187" s="32" t="str">
        <f aca="false">IF(OR($A187="",NOT(ISNUMBER(F187))),"",F187-E187)</f>
        <v/>
      </c>
      <c r="H187" s="31" t="str">
        <f aca="false">IF($A187="","",SUMIFS(②销售核销!$I$4:$I$603,②销售核销!$E$4:$E$603,$A187))</f>
        <v/>
      </c>
      <c r="I187" s="31" t="str">
        <f aca="false">IF($A187="","",SUMIFS(⑤库存异常!$E$4:$E$203,⑤库存异常!$B$4:$B$203,$A187))</f>
        <v/>
      </c>
      <c r="J187" s="31" t="str">
        <f aca="false">IF($A187="","",IF(ISNUMBER(F187),F187,E187)-H187-I187)</f>
        <v/>
      </c>
      <c r="K187" s="33" t="str">
        <f aca="false">IF(OR($A187="",N(E187)=0),"",H187/E187)</f>
        <v/>
      </c>
      <c r="L187" s="34" t="str">
        <f aca="false">IF($A187="","",SUMIFS(②销售核销!$L$4:$L$603,②销售核销!$E$4:$E$603,$A187))</f>
        <v/>
      </c>
      <c r="M187" s="34" t="str">
        <f aca="false">IF($A187="","",SUMIFS(②销售核销!$L$4:$L$603,②销售核销!$E$4:$E$603,$A187,②销售核销!$M$4:$M$603,"已收汇"))</f>
        <v/>
      </c>
      <c r="N187" s="30" t="str">
        <f aca="false">IF(ISNUMBER(D187),DATE(YEAR(D187)+1,4,30),"")</f>
        <v/>
      </c>
      <c r="O187" s="35" t="str">
        <f aca="true">IF($A187="","",IF(N(H187)=0,IF(AND(ISNUMBER(N187),TODAY()&gt;N187),"超过收汇期限仍未销售","尚未销售"),IF(ROUND(M187,2)&gt;=ROUND(L187,2),"已售部分已收汇",IF(AND(ISNUMBER(N187),TODAY()&gt;N187),"超期未收汇","有回款待收汇"))))</f>
        <v/>
      </c>
      <c r="P187" s="34" t="str">
        <f aca="false">IF($A187="","",SUMIFS(④退税核算!$H$4:$H$303,④退税核算!$A$4:$A$303,$A187))</f>
        <v/>
      </c>
      <c r="Q187" s="34" t="str">
        <f aca="false">IF($A187="","",SUMIFS(④退税核算!$H$4:$H$303,④退税核算!$A$4:$A$303,$A187,④退税核算!$D$4:$D$303,"未售-海外仓预退（HWC-YT）"))</f>
        <v/>
      </c>
      <c r="R187" s="30" t="str">
        <f aca="false">IF($A187="","",IF(COUNTIFS(④退税核算!$A$4:$A$303,$A187,④退税核算!$D$4:$D$303,"未售-海外仓预退（HWC-YT）",④退税核算!$I$4:$I$303,"&gt;0")=0,"",_xlfn.MINIFS(④退税核算!$J$4:$J$303,④退税核算!$A$4:$A$303,$A187,④退税核算!$D$4:$D$303,"未售-海外仓预退（HWC-YT）")))</f>
        <v/>
      </c>
      <c r="S187" s="35" t="str">
        <f aca="false">IF($A187="","",IF(COUNTIFS(④退税核算!$A$4:$A$303,$A187,④退税核算!$D$4:$D$303,"未售-海外仓预退（HWC-YT）")=0,"不涉及",IF(COUNTIFS(④退税核算!$A$4:$A$303,$A187,④退税核算!$S$4:$S$303,"已逾期*")&gt;0,"已逾期",IF(COUNTIFS(④退税核算!$A$4:$A$303,$A187,④退税核算!$S$4:$S$303,"临近*")&gt;0,"临近截止",IF(COUNTIFS(④退税核算!$A$4:$A$303,$A187,④退税核算!$S$4:$S$303,"待*")&gt;0,"待核算","已核算")))))</f>
        <v/>
      </c>
      <c r="T187" s="35" t="str">
        <f aca="false">IF($A187="","",IFERROR(INDEX(⑥单证留存!$P$4:$P$203,MATCH(①出口报关!B184,⑥单证留存!$A$4:$A$203,0)),"未登记"))</f>
        <v/>
      </c>
      <c r="U187" s="36" t="str">
        <f aca="false">IF($A187="","",IF(IF(OR(O187="超期未收汇",O187="超过收汇期限仍未销售")," 收汇超期","")&amp;IF(S187="已逾期"," 核算逾期","")&amp;IF(S187="临近截止"," 核算临近截止","")&amp;IF(LEFT(T187,1)="缺"," 单证"&amp;T187,"")&amp;IF(T187="未登记"," 单证未登记","")&amp;IF(AND(ISNUMBER(G187),N(G187)&lt;&gt;0)," 入仓差异"&amp;G187,"")="","正常",SUBSTITUTE(TRIM(IF(OR(O187="超期未收汇",O187="超过收汇期限仍未销售")," 收汇超期","")&amp;IF(S187="已逾期"," 核算逾期","")&amp;IF(S187="临近截止"," 核算临近截止","")&amp;IF(LEFT(T187,1)="缺"," 单证"&amp;T187,"")&amp;IF(T187="未登记"," 单证未登记","")&amp;IF(AND(ISNUMBER(G187),N(G187)&lt;&gt;0)," 入仓差异"&amp;G187,""))," ","、")))</f>
        <v/>
      </c>
    </row>
    <row r="188" customFormat="false" ht="21.75" hidden="false" customHeight="true" outlineLevel="0" collapsed="false">
      <c r="A188" s="29" t="str">
        <f aca="false">IF(①出口报关!A185="","",①出口报关!A185)</f>
        <v/>
      </c>
      <c r="B188" s="29" t="str">
        <f aca="false">IF($A188="","",①出口报关!I185)</f>
        <v/>
      </c>
      <c r="C188" s="29" t="str">
        <f aca="false">IF($A188="","",①出口报关!J185)</f>
        <v/>
      </c>
      <c r="D188" s="30" t="str">
        <f aca="false">IF($A188="","",IF(①出口报关!D185="","",①出口报关!D185))</f>
        <v/>
      </c>
      <c r="E188" s="31" t="str">
        <f aca="false">IF($A188="","",N(①出口报关!L185))</f>
        <v/>
      </c>
      <c r="F188" s="31" t="str">
        <f aca="false">IF($A188="","",IF(①出口报关!Y185="","未签收",①出口报关!Y185))</f>
        <v/>
      </c>
      <c r="G188" s="32" t="str">
        <f aca="false">IF(OR($A188="",NOT(ISNUMBER(F188))),"",F188-E188)</f>
        <v/>
      </c>
      <c r="H188" s="31" t="str">
        <f aca="false">IF($A188="","",SUMIFS(②销售核销!$I$4:$I$603,②销售核销!$E$4:$E$603,$A188))</f>
        <v/>
      </c>
      <c r="I188" s="31" t="str">
        <f aca="false">IF($A188="","",SUMIFS(⑤库存异常!$E$4:$E$203,⑤库存异常!$B$4:$B$203,$A188))</f>
        <v/>
      </c>
      <c r="J188" s="31" t="str">
        <f aca="false">IF($A188="","",IF(ISNUMBER(F188),F188,E188)-H188-I188)</f>
        <v/>
      </c>
      <c r="K188" s="33" t="str">
        <f aca="false">IF(OR($A188="",N(E188)=0),"",H188/E188)</f>
        <v/>
      </c>
      <c r="L188" s="34" t="str">
        <f aca="false">IF($A188="","",SUMIFS(②销售核销!$L$4:$L$603,②销售核销!$E$4:$E$603,$A188))</f>
        <v/>
      </c>
      <c r="M188" s="34" t="str">
        <f aca="false">IF($A188="","",SUMIFS(②销售核销!$L$4:$L$603,②销售核销!$E$4:$E$603,$A188,②销售核销!$M$4:$M$603,"已收汇"))</f>
        <v/>
      </c>
      <c r="N188" s="30" t="str">
        <f aca="false">IF(ISNUMBER(D188),DATE(YEAR(D188)+1,4,30),"")</f>
        <v/>
      </c>
      <c r="O188" s="35" t="str">
        <f aca="true">IF($A188="","",IF(N(H188)=0,IF(AND(ISNUMBER(N188),TODAY()&gt;N188),"超过收汇期限仍未销售","尚未销售"),IF(ROUND(M188,2)&gt;=ROUND(L188,2),"已售部分已收汇",IF(AND(ISNUMBER(N188),TODAY()&gt;N188),"超期未收汇","有回款待收汇"))))</f>
        <v/>
      </c>
      <c r="P188" s="34" t="str">
        <f aca="false">IF($A188="","",SUMIFS(④退税核算!$H$4:$H$303,④退税核算!$A$4:$A$303,$A188))</f>
        <v/>
      </c>
      <c r="Q188" s="34" t="str">
        <f aca="false">IF($A188="","",SUMIFS(④退税核算!$H$4:$H$303,④退税核算!$A$4:$A$303,$A188,④退税核算!$D$4:$D$303,"未售-海外仓预退（HWC-YT）"))</f>
        <v/>
      </c>
      <c r="R188" s="30" t="str">
        <f aca="false">IF($A188="","",IF(COUNTIFS(④退税核算!$A$4:$A$303,$A188,④退税核算!$D$4:$D$303,"未售-海外仓预退（HWC-YT）",④退税核算!$I$4:$I$303,"&gt;0")=0,"",_xlfn.MINIFS(④退税核算!$J$4:$J$303,④退税核算!$A$4:$A$303,$A188,④退税核算!$D$4:$D$303,"未售-海外仓预退（HWC-YT）")))</f>
        <v/>
      </c>
      <c r="S188" s="35" t="str">
        <f aca="false">IF($A188="","",IF(COUNTIFS(④退税核算!$A$4:$A$303,$A188,④退税核算!$D$4:$D$303,"未售-海外仓预退（HWC-YT）")=0,"不涉及",IF(COUNTIFS(④退税核算!$A$4:$A$303,$A188,④退税核算!$S$4:$S$303,"已逾期*")&gt;0,"已逾期",IF(COUNTIFS(④退税核算!$A$4:$A$303,$A188,④退税核算!$S$4:$S$303,"临近*")&gt;0,"临近截止",IF(COUNTIFS(④退税核算!$A$4:$A$303,$A188,④退税核算!$S$4:$S$303,"待*")&gt;0,"待核算","已核算")))))</f>
        <v/>
      </c>
      <c r="T188" s="35" t="str">
        <f aca="false">IF($A188="","",IFERROR(INDEX(⑥单证留存!$P$4:$P$203,MATCH(①出口报关!B185,⑥单证留存!$A$4:$A$203,0)),"未登记"))</f>
        <v/>
      </c>
      <c r="U188" s="36" t="str">
        <f aca="false">IF($A188="","",IF(IF(OR(O188="超期未收汇",O188="超过收汇期限仍未销售")," 收汇超期","")&amp;IF(S188="已逾期"," 核算逾期","")&amp;IF(S188="临近截止"," 核算临近截止","")&amp;IF(LEFT(T188,1)="缺"," 单证"&amp;T188,"")&amp;IF(T188="未登记"," 单证未登记","")&amp;IF(AND(ISNUMBER(G188),N(G188)&lt;&gt;0)," 入仓差异"&amp;G188,"")="","正常",SUBSTITUTE(TRIM(IF(OR(O188="超期未收汇",O188="超过收汇期限仍未销售")," 收汇超期","")&amp;IF(S188="已逾期"," 核算逾期","")&amp;IF(S188="临近截止"," 核算临近截止","")&amp;IF(LEFT(T188,1)="缺"," 单证"&amp;T188,"")&amp;IF(T188="未登记"," 单证未登记","")&amp;IF(AND(ISNUMBER(G188),N(G188)&lt;&gt;0)," 入仓差异"&amp;G188,""))," ","、")))</f>
        <v/>
      </c>
    </row>
    <row r="189" customFormat="false" ht="21.75" hidden="false" customHeight="true" outlineLevel="0" collapsed="false">
      <c r="A189" s="29" t="str">
        <f aca="false">IF(①出口报关!A186="","",①出口报关!A186)</f>
        <v/>
      </c>
      <c r="B189" s="29" t="str">
        <f aca="false">IF($A189="","",①出口报关!I186)</f>
        <v/>
      </c>
      <c r="C189" s="29" t="str">
        <f aca="false">IF($A189="","",①出口报关!J186)</f>
        <v/>
      </c>
      <c r="D189" s="30" t="str">
        <f aca="false">IF($A189="","",IF(①出口报关!D186="","",①出口报关!D186))</f>
        <v/>
      </c>
      <c r="E189" s="31" t="str">
        <f aca="false">IF($A189="","",N(①出口报关!L186))</f>
        <v/>
      </c>
      <c r="F189" s="31" t="str">
        <f aca="false">IF($A189="","",IF(①出口报关!Y186="","未签收",①出口报关!Y186))</f>
        <v/>
      </c>
      <c r="G189" s="32" t="str">
        <f aca="false">IF(OR($A189="",NOT(ISNUMBER(F189))),"",F189-E189)</f>
        <v/>
      </c>
      <c r="H189" s="31" t="str">
        <f aca="false">IF($A189="","",SUMIFS(②销售核销!$I$4:$I$603,②销售核销!$E$4:$E$603,$A189))</f>
        <v/>
      </c>
      <c r="I189" s="31" t="str">
        <f aca="false">IF($A189="","",SUMIFS(⑤库存异常!$E$4:$E$203,⑤库存异常!$B$4:$B$203,$A189))</f>
        <v/>
      </c>
      <c r="J189" s="31" t="str">
        <f aca="false">IF($A189="","",IF(ISNUMBER(F189),F189,E189)-H189-I189)</f>
        <v/>
      </c>
      <c r="K189" s="33" t="str">
        <f aca="false">IF(OR($A189="",N(E189)=0),"",H189/E189)</f>
        <v/>
      </c>
      <c r="L189" s="34" t="str">
        <f aca="false">IF($A189="","",SUMIFS(②销售核销!$L$4:$L$603,②销售核销!$E$4:$E$603,$A189))</f>
        <v/>
      </c>
      <c r="M189" s="34" t="str">
        <f aca="false">IF($A189="","",SUMIFS(②销售核销!$L$4:$L$603,②销售核销!$E$4:$E$603,$A189,②销售核销!$M$4:$M$603,"已收汇"))</f>
        <v/>
      </c>
      <c r="N189" s="30" t="str">
        <f aca="false">IF(ISNUMBER(D189),DATE(YEAR(D189)+1,4,30),"")</f>
        <v/>
      </c>
      <c r="O189" s="35" t="str">
        <f aca="true">IF($A189="","",IF(N(H189)=0,IF(AND(ISNUMBER(N189),TODAY()&gt;N189),"超过收汇期限仍未销售","尚未销售"),IF(ROUND(M189,2)&gt;=ROUND(L189,2),"已售部分已收汇",IF(AND(ISNUMBER(N189),TODAY()&gt;N189),"超期未收汇","有回款待收汇"))))</f>
        <v/>
      </c>
      <c r="P189" s="34" t="str">
        <f aca="false">IF($A189="","",SUMIFS(④退税核算!$H$4:$H$303,④退税核算!$A$4:$A$303,$A189))</f>
        <v/>
      </c>
      <c r="Q189" s="34" t="str">
        <f aca="false">IF($A189="","",SUMIFS(④退税核算!$H$4:$H$303,④退税核算!$A$4:$A$303,$A189,④退税核算!$D$4:$D$303,"未售-海外仓预退（HWC-YT）"))</f>
        <v/>
      </c>
      <c r="R189" s="30" t="str">
        <f aca="false">IF($A189="","",IF(COUNTIFS(④退税核算!$A$4:$A$303,$A189,④退税核算!$D$4:$D$303,"未售-海外仓预退（HWC-YT）",④退税核算!$I$4:$I$303,"&gt;0")=0,"",_xlfn.MINIFS(④退税核算!$J$4:$J$303,④退税核算!$A$4:$A$303,$A189,④退税核算!$D$4:$D$303,"未售-海外仓预退（HWC-YT）")))</f>
        <v/>
      </c>
      <c r="S189" s="35" t="str">
        <f aca="false">IF($A189="","",IF(COUNTIFS(④退税核算!$A$4:$A$303,$A189,④退税核算!$D$4:$D$303,"未售-海外仓预退（HWC-YT）")=0,"不涉及",IF(COUNTIFS(④退税核算!$A$4:$A$303,$A189,④退税核算!$S$4:$S$303,"已逾期*")&gt;0,"已逾期",IF(COUNTIFS(④退税核算!$A$4:$A$303,$A189,④退税核算!$S$4:$S$303,"临近*")&gt;0,"临近截止",IF(COUNTIFS(④退税核算!$A$4:$A$303,$A189,④退税核算!$S$4:$S$303,"待*")&gt;0,"待核算","已核算")))))</f>
        <v/>
      </c>
      <c r="T189" s="35" t="str">
        <f aca="false">IF($A189="","",IFERROR(INDEX(⑥单证留存!$P$4:$P$203,MATCH(①出口报关!B186,⑥单证留存!$A$4:$A$203,0)),"未登记"))</f>
        <v/>
      </c>
      <c r="U189" s="36" t="str">
        <f aca="false">IF($A189="","",IF(IF(OR(O189="超期未收汇",O189="超过收汇期限仍未销售")," 收汇超期","")&amp;IF(S189="已逾期"," 核算逾期","")&amp;IF(S189="临近截止"," 核算临近截止","")&amp;IF(LEFT(T189,1)="缺"," 单证"&amp;T189,"")&amp;IF(T189="未登记"," 单证未登记","")&amp;IF(AND(ISNUMBER(G189),N(G189)&lt;&gt;0)," 入仓差异"&amp;G189,"")="","正常",SUBSTITUTE(TRIM(IF(OR(O189="超期未收汇",O189="超过收汇期限仍未销售")," 收汇超期","")&amp;IF(S189="已逾期"," 核算逾期","")&amp;IF(S189="临近截止"," 核算临近截止","")&amp;IF(LEFT(T189,1)="缺"," 单证"&amp;T189,"")&amp;IF(T189="未登记"," 单证未登记","")&amp;IF(AND(ISNUMBER(G189),N(G189)&lt;&gt;0)," 入仓差异"&amp;G189,""))," ","、")))</f>
        <v/>
      </c>
    </row>
    <row r="190" customFormat="false" ht="21.75" hidden="false" customHeight="true" outlineLevel="0" collapsed="false">
      <c r="A190" s="29" t="str">
        <f aca="false">IF(①出口报关!A187="","",①出口报关!A187)</f>
        <v/>
      </c>
      <c r="B190" s="29" t="str">
        <f aca="false">IF($A190="","",①出口报关!I187)</f>
        <v/>
      </c>
      <c r="C190" s="29" t="str">
        <f aca="false">IF($A190="","",①出口报关!J187)</f>
        <v/>
      </c>
      <c r="D190" s="30" t="str">
        <f aca="false">IF($A190="","",IF(①出口报关!D187="","",①出口报关!D187))</f>
        <v/>
      </c>
      <c r="E190" s="31" t="str">
        <f aca="false">IF($A190="","",N(①出口报关!L187))</f>
        <v/>
      </c>
      <c r="F190" s="31" t="str">
        <f aca="false">IF($A190="","",IF(①出口报关!Y187="","未签收",①出口报关!Y187))</f>
        <v/>
      </c>
      <c r="G190" s="32" t="str">
        <f aca="false">IF(OR($A190="",NOT(ISNUMBER(F190))),"",F190-E190)</f>
        <v/>
      </c>
      <c r="H190" s="31" t="str">
        <f aca="false">IF($A190="","",SUMIFS(②销售核销!$I$4:$I$603,②销售核销!$E$4:$E$603,$A190))</f>
        <v/>
      </c>
      <c r="I190" s="31" t="str">
        <f aca="false">IF($A190="","",SUMIFS(⑤库存异常!$E$4:$E$203,⑤库存异常!$B$4:$B$203,$A190))</f>
        <v/>
      </c>
      <c r="J190" s="31" t="str">
        <f aca="false">IF($A190="","",IF(ISNUMBER(F190),F190,E190)-H190-I190)</f>
        <v/>
      </c>
      <c r="K190" s="33" t="str">
        <f aca="false">IF(OR($A190="",N(E190)=0),"",H190/E190)</f>
        <v/>
      </c>
      <c r="L190" s="34" t="str">
        <f aca="false">IF($A190="","",SUMIFS(②销售核销!$L$4:$L$603,②销售核销!$E$4:$E$603,$A190))</f>
        <v/>
      </c>
      <c r="M190" s="34" t="str">
        <f aca="false">IF($A190="","",SUMIFS(②销售核销!$L$4:$L$603,②销售核销!$E$4:$E$603,$A190,②销售核销!$M$4:$M$603,"已收汇"))</f>
        <v/>
      </c>
      <c r="N190" s="30" t="str">
        <f aca="false">IF(ISNUMBER(D190),DATE(YEAR(D190)+1,4,30),"")</f>
        <v/>
      </c>
      <c r="O190" s="35" t="str">
        <f aca="true">IF($A190="","",IF(N(H190)=0,IF(AND(ISNUMBER(N190),TODAY()&gt;N190),"超过收汇期限仍未销售","尚未销售"),IF(ROUND(M190,2)&gt;=ROUND(L190,2),"已售部分已收汇",IF(AND(ISNUMBER(N190),TODAY()&gt;N190),"超期未收汇","有回款待收汇"))))</f>
        <v/>
      </c>
      <c r="P190" s="34" t="str">
        <f aca="false">IF($A190="","",SUMIFS(④退税核算!$H$4:$H$303,④退税核算!$A$4:$A$303,$A190))</f>
        <v/>
      </c>
      <c r="Q190" s="34" t="str">
        <f aca="false">IF($A190="","",SUMIFS(④退税核算!$H$4:$H$303,④退税核算!$A$4:$A$303,$A190,④退税核算!$D$4:$D$303,"未售-海外仓预退（HWC-YT）"))</f>
        <v/>
      </c>
      <c r="R190" s="30" t="str">
        <f aca="false">IF($A190="","",IF(COUNTIFS(④退税核算!$A$4:$A$303,$A190,④退税核算!$D$4:$D$303,"未售-海外仓预退（HWC-YT）",④退税核算!$I$4:$I$303,"&gt;0")=0,"",_xlfn.MINIFS(④退税核算!$J$4:$J$303,④退税核算!$A$4:$A$303,$A190,④退税核算!$D$4:$D$303,"未售-海外仓预退（HWC-YT）")))</f>
        <v/>
      </c>
      <c r="S190" s="35" t="str">
        <f aca="false">IF($A190="","",IF(COUNTIFS(④退税核算!$A$4:$A$303,$A190,④退税核算!$D$4:$D$303,"未售-海外仓预退（HWC-YT）")=0,"不涉及",IF(COUNTIFS(④退税核算!$A$4:$A$303,$A190,④退税核算!$S$4:$S$303,"已逾期*")&gt;0,"已逾期",IF(COUNTIFS(④退税核算!$A$4:$A$303,$A190,④退税核算!$S$4:$S$303,"临近*")&gt;0,"临近截止",IF(COUNTIFS(④退税核算!$A$4:$A$303,$A190,④退税核算!$S$4:$S$303,"待*")&gt;0,"待核算","已核算")))))</f>
        <v/>
      </c>
      <c r="T190" s="35" t="str">
        <f aca="false">IF($A190="","",IFERROR(INDEX(⑥单证留存!$P$4:$P$203,MATCH(①出口报关!B187,⑥单证留存!$A$4:$A$203,0)),"未登记"))</f>
        <v/>
      </c>
      <c r="U190" s="36" t="str">
        <f aca="false">IF($A190="","",IF(IF(OR(O190="超期未收汇",O190="超过收汇期限仍未销售")," 收汇超期","")&amp;IF(S190="已逾期"," 核算逾期","")&amp;IF(S190="临近截止"," 核算临近截止","")&amp;IF(LEFT(T190,1)="缺"," 单证"&amp;T190,"")&amp;IF(T190="未登记"," 单证未登记","")&amp;IF(AND(ISNUMBER(G190),N(G190)&lt;&gt;0)," 入仓差异"&amp;G190,"")="","正常",SUBSTITUTE(TRIM(IF(OR(O190="超期未收汇",O190="超过收汇期限仍未销售")," 收汇超期","")&amp;IF(S190="已逾期"," 核算逾期","")&amp;IF(S190="临近截止"," 核算临近截止","")&amp;IF(LEFT(T190,1)="缺"," 单证"&amp;T190,"")&amp;IF(T190="未登记"," 单证未登记","")&amp;IF(AND(ISNUMBER(G190),N(G190)&lt;&gt;0)," 入仓差异"&amp;G190,""))," ","、")))</f>
        <v/>
      </c>
    </row>
    <row r="191" customFormat="false" ht="21.75" hidden="false" customHeight="true" outlineLevel="0" collapsed="false">
      <c r="A191" s="29" t="str">
        <f aca="false">IF(①出口报关!A188="","",①出口报关!A188)</f>
        <v/>
      </c>
      <c r="B191" s="29" t="str">
        <f aca="false">IF($A191="","",①出口报关!I188)</f>
        <v/>
      </c>
      <c r="C191" s="29" t="str">
        <f aca="false">IF($A191="","",①出口报关!J188)</f>
        <v/>
      </c>
      <c r="D191" s="30" t="str">
        <f aca="false">IF($A191="","",IF(①出口报关!D188="","",①出口报关!D188))</f>
        <v/>
      </c>
      <c r="E191" s="31" t="str">
        <f aca="false">IF($A191="","",N(①出口报关!L188))</f>
        <v/>
      </c>
      <c r="F191" s="31" t="str">
        <f aca="false">IF($A191="","",IF(①出口报关!Y188="","未签收",①出口报关!Y188))</f>
        <v/>
      </c>
      <c r="G191" s="32" t="str">
        <f aca="false">IF(OR($A191="",NOT(ISNUMBER(F191))),"",F191-E191)</f>
        <v/>
      </c>
      <c r="H191" s="31" t="str">
        <f aca="false">IF($A191="","",SUMIFS(②销售核销!$I$4:$I$603,②销售核销!$E$4:$E$603,$A191))</f>
        <v/>
      </c>
      <c r="I191" s="31" t="str">
        <f aca="false">IF($A191="","",SUMIFS(⑤库存异常!$E$4:$E$203,⑤库存异常!$B$4:$B$203,$A191))</f>
        <v/>
      </c>
      <c r="J191" s="31" t="str">
        <f aca="false">IF($A191="","",IF(ISNUMBER(F191),F191,E191)-H191-I191)</f>
        <v/>
      </c>
      <c r="K191" s="33" t="str">
        <f aca="false">IF(OR($A191="",N(E191)=0),"",H191/E191)</f>
        <v/>
      </c>
      <c r="L191" s="34" t="str">
        <f aca="false">IF($A191="","",SUMIFS(②销售核销!$L$4:$L$603,②销售核销!$E$4:$E$603,$A191))</f>
        <v/>
      </c>
      <c r="M191" s="34" t="str">
        <f aca="false">IF($A191="","",SUMIFS(②销售核销!$L$4:$L$603,②销售核销!$E$4:$E$603,$A191,②销售核销!$M$4:$M$603,"已收汇"))</f>
        <v/>
      </c>
      <c r="N191" s="30" t="str">
        <f aca="false">IF(ISNUMBER(D191),DATE(YEAR(D191)+1,4,30),"")</f>
        <v/>
      </c>
      <c r="O191" s="35" t="str">
        <f aca="true">IF($A191="","",IF(N(H191)=0,IF(AND(ISNUMBER(N191),TODAY()&gt;N191),"超过收汇期限仍未销售","尚未销售"),IF(ROUND(M191,2)&gt;=ROUND(L191,2),"已售部分已收汇",IF(AND(ISNUMBER(N191),TODAY()&gt;N191),"超期未收汇","有回款待收汇"))))</f>
        <v/>
      </c>
      <c r="P191" s="34" t="str">
        <f aca="false">IF($A191="","",SUMIFS(④退税核算!$H$4:$H$303,④退税核算!$A$4:$A$303,$A191))</f>
        <v/>
      </c>
      <c r="Q191" s="34" t="str">
        <f aca="false">IF($A191="","",SUMIFS(④退税核算!$H$4:$H$303,④退税核算!$A$4:$A$303,$A191,④退税核算!$D$4:$D$303,"未售-海外仓预退（HWC-YT）"))</f>
        <v/>
      </c>
      <c r="R191" s="30" t="str">
        <f aca="false">IF($A191="","",IF(COUNTIFS(④退税核算!$A$4:$A$303,$A191,④退税核算!$D$4:$D$303,"未售-海外仓预退（HWC-YT）",④退税核算!$I$4:$I$303,"&gt;0")=0,"",_xlfn.MINIFS(④退税核算!$J$4:$J$303,④退税核算!$A$4:$A$303,$A191,④退税核算!$D$4:$D$303,"未售-海外仓预退（HWC-YT）")))</f>
        <v/>
      </c>
      <c r="S191" s="35" t="str">
        <f aca="false">IF($A191="","",IF(COUNTIFS(④退税核算!$A$4:$A$303,$A191,④退税核算!$D$4:$D$303,"未售-海外仓预退（HWC-YT）")=0,"不涉及",IF(COUNTIFS(④退税核算!$A$4:$A$303,$A191,④退税核算!$S$4:$S$303,"已逾期*")&gt;0,"已逾期",IF(COUNTIFS(④退税核算!$A$4:$A$303,$A191,④退税核算!$S$4:$S$303,"临近*")&gt;0,"临近截止",IF(COUNTIFS(④退税核算!$A$4:$A$303,$A191,④退税核算!$S$4:$S$303,"待*")&gt;0,"待核算","已核算")))))</f>
        <v/>
      </c>
      <c r="T191" s="35" t="str">
        <f aca="false">IF($A191="","",IFERROR(INDEX(⑥单证留存!$P$4:$P$203,MATCH(①出口报关!B188,⑥单证留存!$A$4:$A$203,0)),"未登记"))</f>
        <v/>
      </c>
      <c r="U191" s="36" t="str">
        <f aca="false">IF($A191="","",IF(IF(OR(O191="超期未收汇",O191="超过收汇期限仍未销售")," 收汇超期","")&amp;IF(S191="已逾期"," 核算逾期","")&amp;IF(S191="临近截止"," 核算临近截止","")&amp;IF(LEFT(T191,1)="缺"," 单证"&amp;T191,"")&amp;IF(T191="未登记"," 单证未登记","")&amp;IF(AND(ISNUMBER(G191),N(G191)&lt;&gt;0)," 入仓差异"&amp;G191,"")="","正常",SUBSTITUTE(TRIM(IF(OR(O191="超期未收汇",O191="超过收汇期限仍未销售")," 收汇超期","")&amp;IF(S191="已逾期"," 核算逾期","")&amp;IF(S191="临近截止"," 核算临近截止","")&amp;IF(LEFT(T191,1)="缺"," 单证"&amp;T191,"")&amp;IF(T191="未登记"," 单证未登记","")&amp;IF(AND(ISNUMBER(G191),N(G191)&lt;&gt;0)," 入仓差异"&amp;G191,""))," ","、")))</f>
        <v/>
      </c>
    </row>
    <row r="192" customFormat="false" ht="21.75" hidden="false" customHeight="true" outlineLevel="0" collapsed="false">
      <c r="A192" s="29" t="str">
        <f aca="false">IF(①出口报关!A189="","",①出口报关!A189)</f>
        <v/>
      </c>
      <c r="B192" s="29" t="str">
        <f aca="false">IF($A192="","",①出口报关!I189)</f>
        <v/>
      </c>
      <c r="C192" s="29" t="str">
        <f aca="false">IF($A192="","",①出口报关!J189)</f>
        <v/>
      </c>
      <c r="D192" s="30" t="str">
        <f aca="false">IF($A192="","",IF(①出口报关!D189="","",①出口报关!D189))</f>
        <v/>
      </c>
      <c r="E192" s="31" t="str">
        <f aca="false">IF($A192="","",N(①出口报关!L189))</f>
        <v/>
      </c>
      <c r="F192" s="31" t="str">
        <f aca="false">IF($A192="","",IF(①出口报关!Y189="","未签收",①出口报关!Y189))</f>
        <v/>
      </c>
      <c r="G192" s="32" t="str">
        <f aca="false">IF(OR($A192="",NOT(ISNUMBER(F192))),"",F192-E192)</f>
        <v/>
      </c>
      <c r="H192" s="31" t="str">
        <f aca="false">IF($A192="","",SUMIFS(②销售核销!$I$4:$I$603,②销售核销!$E$4:$E$603,$A192))</f>
        <v/>
      </c>
      <c r="I192" s="31" t="str">
        <f aca="false">IF($A192="","",SUMIFS(⑤库存异常!$E$4:$E$203,⑤库存异常!$B$4:$B$203,$A192))</f>
        <v/>
      </c>
      <c r="J192" s="31" t="str">
        <f aca="false">IF($A192="","",IF(ISNUMBER(F192),F192,E192)-H192-I192)</f>
        <v/>
      </c>
      <c r="K192" s="33" t="str">
        <f aca="false">IF(OR($A192="",N(E192)=0),"",H192/E192)</f>
        <v/>
      </c>
      <c r="L192" s="34" t="str">
        <f aca="false">IF($A192="","",SUMIFS(②销售核销!$L$4:$L$603,②销售核销!$E$4:$E$603,$A192))</f>
        <v/>
      </c>
      <c r="M192" s="34" t="str">
        <f aca="false">IF($A192="","",SUMIFS(②销售核销!$L$4:$L$603,②销售核销!$E$4:$E$603,$A192,②销售核销!$M$4:$M$603,"已收汇"))</f>
        <v/>
      </c>
      <c r="N192" s="30" t="str">
        <f aca="false">IF(ISNUMBER(D192),DATE(YEAR(D192)+1,4,30),"")</f>
        <v/>
      </c>
      <c r="O192" s="35" t="str">
        <f aca="true">IF($A192="","",IF(N(H192)=0,IF(AND(ISNUMBER(N192),TODAY()&gt;N192),"超过收汇期限仍未销售","尚未销售"),IF(ROUND(M192,2)&gt;=ROUND(L192,2),"已售部分已收汇",IF(AND(ISNUMBER(N192),TODAY()&gt;N192),"超期未收汇","有回款待收汇"))))</f>
        <v/>
      </c>
      <c r="P192" s="34" t="str">
        <f aca="false">IF($A192="","",SUMIFS(④退税核算!$H$4:$H$303,④退税核算!$A$4:$A$303,$A192))</f>
        <v/>
      </c>
      <c r="Q192" s="34" t="str">
        <f aca="false">IF($A192="","",SUMIFS(④退税核算!$H$4:$H$303,④退税核算!$A$4:$A$303,$A192,④退税核算!$D$4:$D$303,"未售-海外仓预退（HWC-YT）"))</f>
        <v/>
      </c>
      <c r="R192" s="30" t="str">
        <f aca="false">IF($A192="","",IF(COUNTIFS(④退税核算!$A$4:$A$303,$A192,④退税核算!$D$4:$D$303,"未售-海外仓预退（HWC-YT）",④退税核算!$I$4:$I$303,"&gt;0")=0,"",_xlfn.MINIFS(④退税核算!$J$4:$J$303,④退税核算!$A$4:$A$303,$A192,④退税核算!$D$4:$D$303,"未售-海外仓预退（HWC-YT）")))</f>
        <v/>
      </c>
      <c r="S192" s="35" t="str">
        <f aca="false">IF($A192="","",IF(COUNTIFS(④退税核算!$A$4:$A$303,$A192,④退税核算!$D$4:$D$303,"未售-海外仓预退（HWC-YT）")=0,"不涉及",IF(COUNTIFS(④退税核算!$A$4:$A$303,$A192,④退税核算!$S$4:$S$303,"已逾期*")&gt;0,"已逾期",IF(COUNTIFS(④退税核算!$A$4:$A$303,$A192,④退税核算!$S$4:$S$303,"临近*")&gt;0,"临近截止",IF(COUNTIFS(④退税核算!$A$4:$A$303,$A192,④退税核算!$S$4:$S$303,"待*")&gt;0,"待核算","已核算")))))</f>
        <v/>
      </c>
      <c r="T192" s="35" t="str">
        <f aca="false">IF($A192="","",IFERROR(INDEX(⑥单证留存!$P$4:$P$203,MATCH(①出口报关!B189,⑥单证留存!$A$4:$A$203,0)),"未登记"))</f>
        <v/>
      </c>
      <c r="U192" s="36" t="str">
        <f aca="false">IF($A192="","",IF(IF(OR(O192="超期未收汇",O192="超过收汇期限仍未销售")," 收汇超期","")&amp;IF(S192="已逾期"," 核算逾期","")&amp;IF(S192="临近截止"," 核算临近截止","")&amp;IF(LEFT(T192,1)="缺"," 单证"&amp;T192,"")&amp;IF(T192="未登记"," 单证未登记","")&amp;IF(AND(ISNUMBER(G192),N(G192)&lt;&gt;0)," 入仓差异"&amp;G192,"")="","正常",SUBSTITUTE(TRIM(IF(OR(O192="超期未收汇",O192="超过收汇期限仍未销售")," 收汇超期","")&amp;IF(S192="已逾期"," 核算逾期","")&amp;IF(S192="临近截止"," 核算临近截止","")&amp;IF(LEFT(T192,1)="缺"," 单证"&amp;T192,"")&amp;IF(T192="未登记"," 单证未登记","")&amp;IF(AND(ISNUMBER(G192),N(G192)&lt;&gt;0)," 入仓差异"&amp;G192,""))," ","、")))</f>
        <v/>
      </c>
    </row>
    <row r="193" customFormat="false" ht="21.75" hidden="false" customHeight="true" outlineLevel="0" collapsed="false">
      <c r="A193" s="29" t="str">
        <f aca="false">IF(①出口报关!A190="","",①出口报关!A190)</f>
        <v/>
      </c>
      <c r="B193" s="29" t="str">
        <f aca="false">IF($A193="","",①出口报关!I190)</f>
        <v/>
      </c>
      <c r="C193" s="29" t="str">
        <f aca="false">IF($A193="","",①出口报关!J190)</f>
        <v/>
      </c>
      <c r="D193" s="30" t="str">
        <f aca="false">IF($A193="","",IF(①出口报关!D190="","",①出口报关!D190))</f>
        <v/>
      </c>
      <c r="E193" s="31" t="str">
        <f aca="false">IF($A193="","",N(①出口报关!L190))</f>
        <v/>
      </c>
      <c r="F193" s="31" t="str">
        <f aca="false">IF($A193="","",IF(①出口报关!Y190="","未签收",①出口报关!Y190))</f>
        <v/>
      </c>
      <c r="G193" s="32" t="str">
        <f aca="false">IF(OR($A193="",NOT(ISNUMBER(F193))),"",F193-E193)</f>
        <v/>
      </c>
      <c r="H193" s="31" t="str">
        <f aca="false">IF($A193="","",SUMIFS(②销售核销!$I$4:$I$603,②销售核销!$E$4:$E$603,$A193))</f>
        <v/>
      </c>
      <c r="I193" s="31" t="str">
        <f aca="false">IF($A193="","",SUMIFS(⑤库存异常!$E$4:$E$203,⑤库存异常!$B$4:$B$203,$A193))</f>
        <v/>
      </c>
      <c r="J193" s="31" t="str">
        <f aca="false">IF($A193="","",IF(ISNUMBER(F193),F193,E193)-H193-I193)</f>
        <v/>
      </c>
      <c r="K193" s="33" t="str">
        <f aca="false">IF(OR($A193="",N(E193)=0),"",H193/E193)</f>
        <v/>
      </c>
      <c r="L193" s="34" t="str">
        <f aca="false">IF($A193="","",SUMIFS(②销售核销!$L$4:$L$603,②销售核销!$E$4:$E$603,$A193))</f>
        <v/>
      </c>
      <c r="M193" s="34" t="str">
        <f aca="false">IF($A193="","",SUMIFS(②销售核销!$L$4:$L$603,②销售核销!$E$4:$E$603,$A193,②销售核销!$M$4:$M$603,"已收汇"))</f>
        <v/>
      </c>
      <c r="N193" s="30" t="str">
        <f aca="false">IF(ISNUMBER(D193),DATE(YEAR(D193)+1,4,30),"")</f>
        <v/>
      </c>
      <c r="O193" s="35" t="str">
        <f aca="true">IF($A193="","",IF(N(H193)=0,IF(AND(ISNUMBER(N193),TODAY()&gt;N193),"超过收汇期限仍未销售","尚未销售"),IF(ROUND(M193,2)&gt;=ROUND(L193,2),"已售部分已收汇",IF(AND(ISNUMBER(N193),TODAY()&gt;N193),"超期未收汇","有回款待收汇"))))</f>
        <v/>
      </c>
      <c r="P193" s="34" t="str">
        <f aca="false">IF($A193="","",SUMIFS(④退税核算!$H$4:$H$303,④退税核算!$A$4:$A$303,$A193))</f>
        <v/>
      </c>
      <c r="Q193" s="34" t="str">
        <f aca="false">IF($A193="","",SUMIFS(④退税核算!$H$4:$H$303,④退税核算!$A$4:$A$303,$A193,④退税核算!$D$4:$D$303,"未售-海外仓预退（HWC-YT）"))</f>
        <v/>
      </c>
      <c r="R193" s="30" t="str">
        <f aca="false">IF($A193="","",IF(COUNTIFS(④退税核算!$A$4:$A$303,$A193,④退税核算!$D$4:$D$303,"未售-海外仓预退（HWC-YT）",④退税核算!$I$4:$I$303,"&gt;0")=0,"",_xlfn.MINIFS(④退税核算!$J$4:$J$303,④退税核算!$A$4:$A$303,$A193,④退税核算!$D$4:$D$303,"未售-海外仓预退（HWC-YT）")))</f>
        <v/>
      </c>
      <c r="S193" s="35" t="str">
        <f aca="false">IF($A193="","",IF(COUNTIFS(④退税核算!$A$4:$A$303,$A193,④退税核算!$D$4:$D$303,"未售-海外仓预退（HWC-YT）")=0,"不涉及",IF(COUNTIFS(④退税核算!$A$4:$A$303,$A193,④退税核算!$S$4:$S$303,"已逾期*")&gt;0,"已逾期",IF(COUNTIFS(④退税核算!$A$4:$A$303,$A193,④退税核算!$S$4:$S$303,"临近*")&gt;0,"临近截止",IF(COUNTIFS(④退税核算!$A$4:$A$303,$A193,④退税核算!$S$4:$S$303,"待*")&gt;0,"待核算","已核算")))))</f>
        <v/>
      </c>
      <c r="T193" s="35" t="str">
        <f aca="false">IF($A193="","",IFERROR(INDEX(⑥单证留存!$P$4:$P$203,MATCH(①出口报关!B190,⑥单证留存!$A$4:$A$203,0)),"未登记"))</f>
        <v/>
      </c>
      <c r="U193" s="36" t="str">
        <f aca="false">IF($A193="","",IF(IF(OR(O193="超期未收汇",O193="超过收汇期限仍未销售")," 收汇超期","")&amp;IF(S193="已逾期"," 核算逾期","")&amp;IF(S193="临近截止"," 核算临近截止","")&amp;IF(LEFT(T193,1)="缺"," 单证"&amp;T193,"")&amp;IF(T193="未登记"," 单证未登记","")&amp;IF(AND(ISNUMBER(G193),N(G193)&lt;&gt;0)," 入仓差异"&amp;G193,"")="","正常",SUBSTITUTE(TRIM(IF(OR(O193="超期未收汇",O193="超过收汇期限仍未销售")," 收汇超期","")&amp;IF(S193="已逾期"," 核算逾期","")&amp;IF(S193="临近截止"," 核算临近截止","")&amp;IF(LEFT(T193,1)="缺"," 单证"&amp;T193,"")&amp;IF(T193="未登记"," 单证未登记","")&amp;IF(AND(ISNUMBER(G193),N(G193)&lt;&gt;0)," 入仓差异"&amp;G193,""))," ","、")))</f>
        <v/>
      </c>
    </row>
    <row r="194" customFormat="false" ht="21.75" hidden="false" customHeight="true" outlineLevel="0" collapsed="false">
      <c r="A194" s="29" t="str">
        <f aca="false">IF(①出口报关!A191="","",①出口报关!A191)</f>
        <v/>
      </c>
      <c r="B194" s="29" t="str">
        <f aca="false">IF($A194="","",①出口报关!I191)</f>
        <v/>
      </c>
      <c r="C194" s="29" t="str">
        <f aca="false">IF($A194="","",①出口报关!J191)</f>
        <v/>
      </c>
      <c r="D194" s="30" t="str">
        <f aca="false">IF($A194="","",IF(①出口报关!D191="","",①出口报关!D191))</f>
        <v/>
      </c>
      <c r="E194" s="31" t="str">
        <f aca="false">IF($A194="","",N(①出口报关!L191))</f>
        <v/>
      </c>
      <c r="F194" s="31" t="str">
        <f aca="false">IF($A194="","",IF(①出口报关!Y191="","未签收",①出口报关!Y191))</f>
        <v/>
      </c>
      <c r="G194" s="32" t="str">
        <f aca="false">IF(OR($A194="",NOT(ISNUMBER(F194))),"",F194-E194)</f>
        <v/>
      </c>
      <c r="H194" s="31" t="str">
        <f aca="false">IF($A194="","",SUMIFS(②销售核销!$I$4:$I$603,②销售核销!$E$4:$E$603,$A194))</f>
        <v/>
      </c>
      <c r="I194" s="31" t="str">
        <f aca="false">IF($A194="","",SUMIFS(⑤库存异常!$E$4:$E$203,⑤库存异常!$B$4:$B$203,$A194))</f>
        <v/>
      </c>
      <c r="J194" s="31" t="str">
        <f aca="false">IF($A194="","",IF(ISNUMBER(F194),F194,E194)-H194-I194)</f>
        <v/>
      </c>
      <c r="K194" s="33" t="str">
        <f aca="false">IF(OR($A194="",N(E194)=0),"",H194/E194)</f>
        <v/>
      </c>
      <c r="L194" s="34" t="str">
        <f aca="false">IF($A194="","",SUMIFS(②销售核销!$L$4:$L$603,②销售核销!$E$4:$E$603,$A194))</f>
        <v/>
      </c>
      <c r="M194" s="34" t="str">
        <f aca="false">IF($A194="","",SUMIFS(②销售核销!$L$4:$L$603,②销售核销!$E$4:$E$603,$A194,②销售核销!$M$4:$M$603,"已收汇"))</f>
        <v/>
      </c>
      <c r="N194" s="30" t="str">
        <f aca="false">IF(ISNUMBER(D194),DATE(YEAR(D194)+1,4,30),"")</f>
        <v/>
      </c>
      <c r="O194" s="35" t="str">
        <f aca="true">IF($A194="","",IF(N(H194)=0,IF(AND(ISNUMBER(N194),TODAY()&gt;N194),"超过收汇期限仍未销售","尚未销售"),IF(ROUND(M194,2)&gt;=ROUND(L194,2),"已售部分已收汇",IF(AND(ISNUMBER(N194),TODAY()&gt;N194),"超期未收汇","有回款待收汇"))))</f>
        <v/>
      </c>
      <c r="P194" s="34" t="str">
        <f aca="false">IF($A194="","",SUMIFS(④退税核算!$H$4:$H$303,④退税核算!$A$4:$A$303,$A194))</f>
        <v/>
      </c>
      <c r="Q194" s="34" t="str">
        <f aca="false">IF($A194="","",SUMIFS(④退税核算!$H$4:$H$303,④退税核算!$A$4:$A$303,$A194,④退税核算!$D$4:$D$303,"未售-海外仓预退（HWC-YT）"))</f>
        <v/>
      </c>
      <c r="R194" s="30" t="str">
        <f aca="false">IF($A194="","",IF(COUNTIFS(④退税核算!$A$4:$A$303,$A194,④退税核算!$D$4:$D$303,"未售-海外仓预退（HWC-YT）",④退税核算!$I$4:$I$303,"&gt;0")=0,"",_xlfn.MINIFS(④退税核算!$J$4:$J$303,④退税核算!$A$4:$A$303,$A194,④退税核算!$D$4:$D$303,"未售-海外仓预退（HWC-YT）")))</f>
        <v/>
      </c>
      <c r="S194" s="35" t="str">
        <f aca="false">IF($A194="","",IF(COUNTIFS(④退税核算!$A$4:$A$303,$A194,④退税核算!$D$4:$D$303,"未售-海外仓预退（HWC-YT）")=0,"不涉及",IF(COUNTIFS(④退税核算!$A$4:$A$303,$A194,④退税核算!$S$4:$S$303,"已逾期*")&gt;0,"已逾期",IF(COUNTIFS(④退税核算!$A$4:$A$303,$A194,④退税核算!$S$4:$S$303,"临近*")&gt;0,"临近截止",IF(COUNTIFS(④退税核算!$A$4:$A$303,$A194,④退税核算!$S$4:$S$303,"待*")&gt;0,"待核算","已核算")))))</f>
        <v/>
      </c>
      <c r="T194" s="35" t="str">
        <f aca="false">IF($A194="","",IFERROR(INDEX(⑥单证留存!$P$4:$P$203,MATCH(①出口报关!B191,⑥单证留存!$A$4:$A$203,0)),"未登记"))</f>
        <v/>
      </c>
      <c r="U194" s="36" t="str">
        <f aca="false">IF($A194="","",IF(IF(OR(O194="超期未收汇",O194="超过收汇期限仍未销售")," 收汇超期","")&amp;IF(S194="已逾期"," 核算逾期","")&amp;IF(S194="临近截止"," 核算临近截止","")&amp;IF(LEFT(T194,1)="缺"," 单证"&amp;T194,"")&amp;IF(T194="未登记"," 单证未登记","")&amp;IF(AND(ISNUMBER(G194),N(G194)&lt;&gt;0)," 入仓差异"&amp;G194,"")="","正常",SUBSTITUTE(TRIM(IF(OR(O194="超期未收汇",O194="超过收汇期限仍未销售")," 收汇超期","")&amp;IF(S194="已逾期"," 核算逾期","")&amp;IF(S194="临近截止"," 核算临近截止","")&amp;IF(LEFT(T194,1)="缺"," 单证"&amp;T194,"")&amp;IF(T194="未登记"," 单证未登记","")&amp;IF(AND(ISNUMBER(G194),N(G194)&lt;&gt;0)," 入仓差异"&amp;G194,""))," ","、")))</f>
        <v/>
      </c>
    </row>
    <row r="195" customFormat="false" ht="21.75" hidden="false" customHeight="true" outlineLevel="0" collapsed="false">
      <c r="A195" s="29" t="str">
        <f aca="false">IF(①出口报关!A192="","",①出口报关!A192)</f>
        <v/>
      </c>
      <c r="B195" s="29" t="str">
        <f aca="false">IF($A195="","",①出口报关!I192)</f>
        <v/>
      </c>
      <c r="C195" s="29" t="str">
        <f aca="false">IF($A195="","",①出口报关!J192)</f>
        <v/>
      </c>
      <c r="D195" s="30" t="str">
        <f aca="false">IF($A195="","",IF(①出口报关!D192="","",①出口报关!D192))</f>
        <v/>
      </c>
      <c r="E195" s="31" t="str">
        <f aca="false">IF($A195="","",N(①出口报关!L192))</f>
        <v/>
      </c>
      <c r="F195" s="31" t="str">
        <f aca="false">IF($A195="","",IF(①出口报关!Y192="","未签收",①出口报关!Y192))</f>
        <v/>
      </c>
      <c r="G195" s="32" t="str">
        <f aca="false">IF(OR($A195="",NOT(ISNUMBER(F195))),"",F195-E195)</f>
        <v/>
      </c>
      <c r="H195" s="31" t="str">
        <f aca="false">IF($A195="","",SUMIFS(②销售核销!$I$4:$I$603,②销售核销!$E$4:$E$603,$A195))</f>
        <v/>
      </c>
      <c r="I195" s="31" t="str">
        <f aca="false">IF($A195="","",SUMIFS(⑤库存异常!$E$4:$E$203,⑤库存异常!$B$4:$B$203,$A195))</f>
        <v/>
      </c>
      <c r="J195" s="31" t="str">
        <f aca="false">IF($A195="","",IF(ISNUMBER(F195),F195,E195)-H195-I195)</f>
        <v/>
      </c>
      <c r="K195" s="33" t="str">
        <f aca="false">IF(OR($A195="",N(E195)=0),"",H195/E195)</f>
        <v/>
      </c>
      <c r="L195" s="34" t="str">
        <f aca="false">IF($A195="","",SUMIFS(②销售核销!$L$4:$L$603,②销售核销!$E$4:$E$603,$A195))</f>
        <v/>
      </c>
      <c r="M195" s="34" t="str">
        <f aca="false">IF($A195="","",SUMIFS(②销售核销!$L$4:$L$603,②销售核销!$E$4:$E$603,$A195,②销售核销!$M$4:$M$603,"已收汇"))</f>
        <v/>
      </c>
      <c r="N195" s="30" t="str">
        <f aca="false">IF(ISNUMBER(D195),DATE(YEAR(D195)+1,4,30),"")</f>
        <v/>
      </c>
      <c r="O195" s="35" t="str">
        <f aca="true">IF($A195="","",IF(N(H195)=0,IF(AND(ISNUMBER(N195),TODAY()&gt;N195),"超过收汇期限仍未销售","尚未销售"),IF(ROUND(M195,2)&gt;=ROUND(L195,2),"已售部分已收汇",IF(AND(ISNUMBER(N195),TODAY()&gt;N195),"超期未收汇","有回款待收汇"))))</f>
        <v/>
      </c>
      <c r="P195" s="34" t="str">
        <f aca="false">IF($A195="","",SUMIFS(④退税核算!$H$4:$H$303,④退税核算!$A$4:$A$303,$A195))</f>
        <v/>
      </c>
      <c r="Q195" s="34" t="str">
        <f aca="false">IF($A195="","",SUMIFS(④退税核算!$H$4:$H$303,④退税核算!$A$4:$A$303,$A195,④退税核算!$D$4:$D$303,"未售-海外仓预退（HWC-YT）"))</f>
        <v/>
      </c>
      <c r="R195" s="30" t="str">
        <f aca="false">IF($A195="","",IF(COUNTIFS(④退税核算!$A$4:$A$303,$A195,④退税核算!$D$4:$D$303,"未售-海外仓预退（HWC-YT）",④退税核算!$I$4:$I$303,"&gt;0")=0,"",_xlfn.MINIFS(④退税核算!$J$4:$J$303,④退税核算!$A$4:$A$303,$A195,④退税核算!$D$4:$D$303,"未售-海外仓预退（HWC-YT）")))</f>
        <v/>
      </c>
      <c r="S195" s="35" t="str">
        <f aca="false">IF($A195="","",IF(COUNTIFS(④退税核算!$A$4:$A$303,$A195,④退税核算!$D$4:$D$303,"未售-海外仓预退（HWC-YT）")=0,"不涉及",IF(COUNTIFS(④退税核算!$A$4:$A$303,$A195,④退税核算!$S$4:$S$303,"已逾期*")&gt;0,"已逾期",IF(COUNTIFS(④退税核算!$A$4:$A$303,$A195,④退税核算!$S$4:$S$303,"临近*")&gt;0,"临近截止",IF(COUNTIFS(④退税核算!$A$4:$A$303,$A195,④退税核算!$S$4:$S$303,"待*")&gt;0,"待核算","已核算")))))</f>
        <v/>
      </c>
      <c r="T195" s="35" t="str">
        <f aca="false">IF($A195="","",IFERROR(INDEX(⑥单证留存!$P$4:$P$203,MATCH(①出口报关!B192,⑥单证留存!$A$4:$A$203,0)),"未登记"))</f>
        <v/>
      </c>
      <c r="U195" s="36" t="str">
        <f aca="false">IF($A195="","",IF(IF(OR(O195="超期未收汇",O195="超过收汇期限仍未销售")," 收汇超期","")&amp;IF(S195="已逾期"," 核算逾期","")&amp;IF(S195="临近截止"," 核算临近截止","")&amp;IF(LEFT(T195,1)="缺"," 单证"&amp;T195,"")&amp;IF(T195="未登记"," 单证未登记","")&amp;IF(AND(ISNUMBER(G195),N(G195)&lt;&gt;0)," 入仓差异"&amp;G195,"")="","正常",SUBSTITUTE(TRIM(IF(OR(O195="超期未收汇",O195="超过收汇期限仍未销售")," 收汇超期","")&amp;IF(S195="已逾期"," 核算逾期","")&amp;IF(S195="临近截止"," 核算临近截止","")&amp;IF(LEFT(T195,1)="缺"," 单证"&amp;T195,"")&amp;IF(T195="未登记"," 单证未登记","")&amp;IF(AND(ISNUMBER(G195),N(G195)&lt;&gt;0)," 入仓差异"&amp;G195,""))," ","、")))</f>
        <v/>
      </c>
    </row>
    <row r="196" customFormat="false" ht="21.75" hidden="false" customHeight="true" outlineLevel="0" collapsed="false">
      <c r="A196" s="29" t="str">
        <f aca="false">IF(①出口报关!A193="","",①出口报关!A193)</f>
        <v/>
      </c>
      <c r="B196" s="29" t="str">
        <f aca="false">IF($A196="","",①出口报关!I193)</f>
        <v/>
      </c>
      <c r="C196" s="29" t="str">
        <f aca="false">IF($A196="","",①出口报关!J193)</f>
        <v/>
      </c>
      <c r="D196" s="30" t="str">
        <f aca="false">IF($A196="","",IF(①出口报关!D193="","",①出口报关!D193))</f>
        <v/>
      </c>
      <c r="E196" s="31" t="str">
        <f aca="false">IF($A196="","",N(①出口报关!L193))</f>
        <v/>
      </c>
      <c r="F196" s="31" t="str">
        <f aca="false">IF($A196="","",IF(①出口报关!Y193="","未签收",①出口报关!Y193))</f>
        <v/>
      </c>
      <c r="G196" s="32" t="str">
        <f aca="false">IF(OR($A196="",NOT(ISNUMBER(F196))),"",F196-E196)</f>
        <v/>
      </c>
      <c r="H196" s="31" t="str">
        <f aca="false">IF($A196="","",SUMIFS(②销售核销!$I$4:$I$603,②销售核销!$E$4:$E$603,$A196))</f>
        <v/>
      </c>
      <c r="I196" s="31" t="str">
        <f aca="false">IF($A196="","",SUMIFS(⑤库存异常!$E$4:$E$203,⑤库存异常!$B$4:$B$203,$A196))</f>
        <v/>
      </c>
      <c r="J196" s="31" t="str">
        <f aca="false">IF($A196="","",IF(ISNUMBER(F196),F196,E196)-H196-I196)</f>
        <v/>
      </c>
      <c r="K196" s="33" t="str">
        <f aca="false">IF(OR($A196="",N(E196)=0),"",H196/E196)</f>
        <v/>
      </c>
      <c r="L196" s="34" t="str">
        <f aca="false">IF($A196="","",SUMIFS(②销售核销!$L$4:$L$603,②销售核销!$E$4:$E$603,$A196))</f>
        <v/>
      </c>
      <c r="M196" s="34" t="str">
        <f aca="false">IF($A196="","",SUMIFS(②销售核销!$L$4:$L$603,②销售核销!$E$4:$E$603,$A196,②销售核销!$M$4:$M$603,"已收汇"))</f>
        <v/>
      </c>
      <c r="N196" s="30" t="str">
        <f aca="false">IF(ISNUMBER(D196),DATE(YEAR(D196)+1,4,30),"")</f>
        <v/>
      </c>
      <c r="O196" s="35" t="str">
        <f aca="true">IF($A196="","",IF(N(H196)=0,IF(AND(ISNUMBER(N196),TODAY()&gt;N196),"超过收汇期限仍未销售","尚未销售"),IF(ROUND(M196,2)&gt;=ROUND(L196,2),"已售部分已收汇",IF(AND(ISNUMBER(N196),TODAY()&gt;N196),"超期未收汇","有回款待收汇"))))</f>
        <v/>
      </c>
      <c r="P196" s="34" t="str">
        <f aca="false">IF($A196="","",SUMIFS(④退税核算!$H$4:$H$303,④退税核算!$A$4:$A$303,$A196))</f>
        <v/>
      </c>
      <c r="Q196" s="34" t="str">
        <f aca="false">IF($A196="","",SUMIFS(④退税核算!$H$4:$H$303,④退税核算!$A$4:$A$303,$A196,④退税核算!$D$4:$D$303,"未售-海外仓预退（HWC-YT）"))</f>
        <v/>
      </c>
      <c r="R196" s="30" t="str">
        <f aca="false">IF($A196="","",IF(COUNTIFS(④退税核算!$A$4:$A$303,$A196,④退税核算!$D$4:$D$303,"未售-海外仓预退（HWC-YT）",④退税核算!$I$4:$I$303,"&gt;0")=0,"",_xlfn.MINIFS(④退税核算!$J$4:$J$303,④退税核算!$A$4:$A$303,$A196,④退税核算!$D$4:$D$303,"未售-海外仓预退（HWC-YT）")))</f>
        <v/>
      </c>
      <c r="S196" s="35" t="str">
        <f aca="false">IF($A196="","",IF(COUNTIFS(④退税核算!$A$4:$A$303,$A196,④退税核算!$D$4:$D$303,"未售-海外仓预退（HWC-YT）")=0,"不涉及",IF(COUNTIFS(④退税核算!$A$4:$A$303,$A196,④退税核算!$S$4:$S$303,"已逾期*")&gt;0,"已逾期",IF(COUNTIFS(④退税核算!$A$4:$A$303,$A196,④退税核算!$S$4:$S$303,"临近*")&gt;0,"临近截止",IF(COUNTIFS(④退税核算!$A$4:$A$303,$A196,④退税核算!$S$4:$S$303,"待*")&gt;0,"待核算","已核算")))))</f>
        <v/>
      </c>
      <c r="T196" s="35" t="str">
        <f aca="false">IF($A196="","",IFERROR(INDEX(⑥单证留存!$P$4:$P$203,MATCH(①出口报关!B193,⑥单证留存!$A$4:$A$203,0)),"未登记"))</f>
        <v/>
      </c>
      <c r="U196" s="36" t="str">
        <f aca="false">IF($A196="","",IF(IF(OR(O196="超期未收汇",O196="超过收汇期限仍未销售")," 收汇超期","")&amp;IF(S196="已逾期"," 核算逾期","")&amp;IF(S196="临近截止"," 核算临近截止","")&amp;IF(LEFT(T196,1)="缺"," 单证"&amp;T196,"")&amp;IF(T196="未登记"," 单证未登记","")&amp;IF(AND(ISNUMBER(G196),N(G196)&lt;&gt;0)," 入仓差异"&amp;G196,"")="","正常",SUBSTITUTE(TRIM(IF(OR(O196="超期未收汇",O196="超过收汇期限仍未销售")," 收汇超期","")&amp;IF(S196="已逾期"," 核算逾期","")&amp;IF(S196="临近截止"," 核算临近截止","")&amp;IF(LEFT(T196,1)="缺"," 单证"&amp;T196,"")&amp;IF(T196="未登记"," 单证未登记","")&amp;IF(AND(ISNUMBER(G196),N(G196)&lt;&gt;0)," 入仓差异"&amp;G196,""))," ","、")))</f>
        <v/>
      </c>
    </row>
    <row r="197" customFormat="false" ht="21.75" hidden="false" customHeight="true" outlineLevel="0" collapsed="false">
      <c r="A197" s="29" t="str">
        <f aca="false">IF(①出口报关!A194="","",①出口报关!A194)</f>
        <v/>
      </c>
      <c r="B197" s="29" t="str">
        <f aca="false">IF($A197="","",①出口报关!I194)</f>
        <v/>
      </c>
      <c r="C197" s="29" t="str">
        <f aca="false">IF($A197="","",①出口报关!J194)</f>
        <v/>
      </c>
      <c r="D197" s="30" t="str">
        <f aca="false">IF($A197="","",IF(①出口报关!D194="","",①出口报关!D194))</f>
        <v/>
      </c>
      <c r="E197" s="31" t="str">
        <f aca="false">IF($A197="","",N(①出口报关!L194))</f>
        <v/>
      </c>
      <c r="F197" s="31" t="str">
        <f aca="false">IF($A197="","",IF(①出口报关!Y194="","未签收",①出口报关!Y194))</f>
        <v/>
      </c>
      <c r="G197" s="32" t="str">
        <f aca="false">IF(OR($A197="",NOT(ISNUMBER(F197))),"",F197-E197)</f>
        <v/>
      </c>
      <c r="H197" s="31" t="str">
        <f aca="false">IF($A197="","",SUMIFS(②销售核销!$I$4:$I$603,②销售核销!$E$4:$E$603,$A197))</f>
        <v/>
      </c>
      <c r="I197" s="31" t="str">
        <f aca="false">IF($A197="","",SUMIFS(⑤库存异常!$E$4:$E$203,⑤库存异常!$B$4:$B$203,$A197))</f>
        <v/>
      </c>
      <c r="J197" s="31" t="str">
        <f aca="false">IF($A197="","",IF(ISNUMBER(F197),F197,E197)-H197-I197)</f>
        <v/>
      </c>
      <c r="K197" s="33" t="str">
        <f aca="false">IF(OR($A197="",N(E197)=0),"",H197/E197)</f>
        <v/>
      </c>
      <c r="L197" s="34" t="str">
        <f aca="false">IF($A197="","",SUMIFS(②销售核销!$L$4:$L$603,②销售核销!$E$4:$E$603,$A197))</f>
        <v/>
      </c>
      <c r="M197" s="34" t="str">
        <f aca="false">IF($A197="","",SUMIFS(②销售核销!$L$4:$L$603,②销售核销!$E$4:$E$603,$A197,②销售核销!$M$4:$M$603,"已收汇"))</f>
        <v/>
      </c>
      <c r="N197" s="30" t="str">
        <f aca="false">IF(ISNUMBER(D197),DATE(YEAR(D197)+1,4,30),"")</f>
        <v/>
      </c>
      <c r="O197" s="35" t="str">
        <f aca="true">IF($A197="","",IF(N(H197)=0,IF(AND(ISNUMBER(N197),TODAY()&gt;N197),"超过收汇期限仍未销售","尚未销售"),IF(ROUND(M197,2)&gt;=ROUND(L197,2),"已售部分已收汇",IF(AND(ISNUMBER(N197),TODAY()&gt;N197),"超期未收汇","有回款待收汇"))))</f>
        <v/>
      </c>
      <c r="P197" s="34" t="str">
        <f aca="false">IF($A197="","",SUMIFS(④退税核算!$H$4:$H$303,④退税核算!$A$4:$A$303,$A197))</f>
        <v/>
      </c>
      <c r="Q197" s="34" t="str">
        <f aca="false">IF($A197="","",SUMIFS(④退税核算!$H$4:$H$303,④退税核算!$A$4:$A$303,$A197,④退税核算!$D$4:$D$303,"未售-海外仓预退（HWC-YT）"))</f>
        <v/>
      </c>
      <c r="R197" s="30" t="str">
        <f aca="false">IF($A197="","",IF(COUNTIFS(④退税核算!$A$4:$A$303,$A197,④退税核算!$D$4:$D$303,"未售-海外仓预退（HWC-YT）",④退税核算!$I$4:$I$303,"&gt;0")=0,"",_xlfn.MINIFS(④退税核算!$J$4:$J$303,④退税核算!$A$4:$A$303,$A197,④退税核算!$D$4:$D$303,"未售-海外仓预退（HWC-YT）")))</f>
        <v/>
      </c>
      <c r="S197" s="35" t="str">
        <f aca="false">IF($A197="","",IF(COUNTIFS(④退税核算!$A$4:$A$303,$A197,④退税核算!$D$4:$D$303,"未售-海外仓预退（HWC-YT）")=0,"不涉及",IF(COUNTIFS(④退税核算!$A$4:$A$303,$A197,④退税核算!$S$4:$S$303,"已逾期*")&gt;0,"已逾期",IF(COUNTIFS(④退税核算!$A$4:$A$303,$A197,④退税核算!$S$4:$S$303,"临近*")&gt;0,"临近截止",IF(COUNTIFS(④退税核算!$A$4:$A$303,$A197,④退税核算!$S$4:$S$303,"待*")&gt;0,"待核算","已核算")))))</f>
        <v/>
      </c>
      <c r="T197" s="35" t="str">
        <f aca="false">IF($A197="","",IFERROR(INDEX(⑥单证留存!$P$4:$P$203,MATCH(①出口报关!B194,⑥单证留存!$A$4:$A$203,0)),"未登记"))</f>
        <v/>
      </c>
      <c r="U197" s="36" t="str">
        <f aca="false">IF($A197="","",IF(IF(OR(O197="超期未收汇",O197="超过收汇期限仍未销售")," 收汇超期","")&amp;IF(S197="已逾期"," 核算逾期","")&amp;IF(S197="临近截止"," 核算临近截止","")&amp;IF(LEFT(T197,1)="缺"," 单证"&amp;T197,"")&amp;IF(T197="未登记"," 单证未登记","")&amp;IF(AND(ISNUMBER(G197),N(G197)&lt;&gt;0)," 入仓差异"&amp;G197,"")="","正常",SUBSTITUTE(TRIM(IF(OR(O197="超期未收汇",O197="超过收汇期限仍未销售")," 收汇超期","")&amp;IF(S197="已逾期"," 核算逾期","")&amp;IF(S197="临近截止"," 核算临近截止","")&amp;IF(LEFT(T197,1)="缺"," 单证"&amp;T197,"")&amp;IF(T197="未登记"," 单证未登记","")&amp;IF(AND(ISNUMBER(G197),N(G197)&lt;&gt;0)," 入仓差异"&amp;G197,""))," ","、")))</f>
        <v/>
      </c>
    </row>
    <row r="198" customFormat="false" ht="21.75" hidden="false" customHeight="true" outlineLevel="0" collapsed="false">
      <c r="A198" s="29" t="str">
        <f aca="false">IF(①出口报关!A195="","",①出口报关!A195)</f>
        <v/>
      </c>
      <c r="B198" s="29" t="str">
        <f aca="false">IF($A198="","",①出口报关!I195)</f>
        <v/>
      </c>
      <c r="C198" s="29" t="str">
        <f aca="false">IF($A198="","",①出口报关!J195)</f>
        <v/>
      </c>
      <c r="D198" s="30" t="str">
        <f aca="false">IF($A198="","",IF(①出口报关!D195="","",①出口报关!D195))</f>
        <v/>
      </c>
      <c r="E198" s="31" t="str">
        <f aca="false">IF($A198="","",N(①出口报关!L195))</f>
        <v/>
      </c>
      <c r="F198" s="31" t="str">
        <f aca="false">IF($A198="","",IF(①出口报关!Y195="","未签收",①出口报关!Y195))</f>
        <v/>
      </c>
      <c r="G198" s="32" t="str">
        <f aca="false">IF(OR($A198="",NOT(ISNUMBER(F198))),"",F198-E198)</f>
        <v/>
      </c>
      <c r="H198" s="31" t="str">
        <f aca="false">IF($A198="","",SUMIFS(②销售核销!$I$4:$I$603,②销售核销!$E$4:$E$603,$A198))</f>
        <v/>
      </c>
      <c r="I198" s="31" t="str">
        <f aca="false">IF($A198="","",SUMIFS(⑤库存异常!$E$4:$E$203,⑤库存异常!$B$4:$B$203,$A198))</f>
        <v/>
      </c>
      <c r="J198" s="31" t="str">
        <f aca="false">IF($A198="","",IF(ISNUMBER(F198),F198,E198)-H198-I198)</f>
        <v/>
      </c>
      <c r="K198" s="33" t="str">
        <f aca="false">IF(OR($A198="",N(E198)=0),"",H198/E198)</f>
        <v/>
      </c>
      <c r="L198" s="34" t="str">
        <f aca="false">IF($A198="","",SUMIFS(②销售核销!$L$4:$L$603,②销售核销!$E$4:$E$603,$A198))</f>
        <v/>
      </c>
      <c r="M198" s="34" t="str">
        <f aca="false">IF($A198="","",SUMIFS(②销售核销!$L$4:$L$603,②销售核销!$E$4:$E$603,$A198,②销售核销!$M$4:$M$603,"已收汇"))</f>
        <v/>
      </c>
      <c r="N198" s="30" t="str">
        <f aca="false">IF(ISNUMBER(D198),DATE(YEAR(D198)+1,4,30),"")</f>
        <v/>
      </c>
      <c r="O198" s="35" t="str">
        <f aca="true">IF($A198="","",IF(N(H198)=0,IF(AND(ISNUMBER(N198),TODAY()&gt;N198),"超过收汇期限仍未销售","尚未销售"),IF(ROUND(M198,2)&gt;=ROUND(L198,2),"已售部分已收汇",IF(AND(ISNUMBER(N198),TODAY()&gt;N198),"超期未收汇","有回款待收汇"))))</f>
        <v/>
      </c>
      <c r="P198" s="34" t="str">
        <f aca="false">IF($A198="","",SUMIFS(④退税核算!$H$4:$H$303,④退税核算!$A$4:$A$303,$A198))</f>
        <v/>
      </c>
      <c r="Q198" s="34" t="str">
        <f aca="false">IF($A198="","",SUMIFS(④退税核算!$H$4:$H$303,④退税核算!$A$4:$A$303,$A198,④退税核算!$D$4:$D$303,"未售-海外仓预退（HWC-YT）"))</f>
        <v/>
      </c>
      <c r="R198" s="30" t="str">
        <f aca="false">IF($A198="","",IF(COUNTIFS(④退税核算!$A$4:$A$303,$A198,④退税核算!$D$4:$D$303,"未售-海外仓预退（HWC-YT）",④退税核算!$I$4:$I$303,"&gt;0")=0,"",_xlfn.MINIFS(④退税核算!$J$4:$J$303,④退税核算!$A$4:$A$303,$A198,④退税核算!$D$4:$D$303,"未售-海外仓预退（HWC-YT）")))</f>
        <v/>
      </c>
      <c r="S198" s="35" t="str">
        <f aca="false">IF($A198="","",IF(COUNTIFS(④退税核算!$A$4:$A$303,$A198,④退税核算!$D$4:$D$303,"未售-海外仓预退（HWC-YT）")=0,"不涉及",IF(COUNTIFS(④退税核算!$A$4:$A$303,$A198,④退税核算!$S$4:$S$303,"已逾期*")&gt;0,"已逾期",IF(COUNTIFS(④退税核算!$A$4:$A$303,$A198,④退税核算!$S$4:$S$303,"临近*")&gt;0,"临近截止",IF(COUNTIFS(④退税核算!$A$4:$A$303,$A198,④退税核算!$S$4:$S$303,"待*")&gt;0,"待核算","已核算")))))</f>
        <v/>
      </c>
      <c r="T198" s="35" t="str">
        <f aca="false">IF($A198="","",IFERROR(INDEX(⑥单证留存!$P$4:$P$203,MATCH(①出口报关!B195,⑥单证留存!$A$4:$A$203,0)),"未登记"))</f>
        <v/>
      </c>
      <c r="U198" s="36" t="str">
        <f aca="false">IF($A198="","",IF(IF(OR(O198="超期未收汇",O198="超过收汇期限仍未销售")," 收汇超期","")&amp;IF(S198="已逾期"," 核算逾期","")&amp;IF(S198="临近截止"," 核算临近截止","")&amp;IF(LEFT(T198,1)="缺"," 单证"&amp;T198,"")&amp;IF(T198="未登记"," 单证未登记","")&amp;IF(AND(ISNUMBER(G198),N(G198)&lt;&gt;0)," 入仓差异"&amp;G198,"")="","正常",SUBSTITUTE(TRIM(IF(OR(O198="超期未收汇",O198="超过收汇期限仍未销售")," 收汇超期","")&amp;IF(S198="已逾期"," 核算逾期","")&amp;IF(S198="临近截止"," 核算临近截止","")&amp;IF(LEFT(T198,1)="缺"," 单证"&amp;T198,"")&amp;IF(T198="未登记"," 单证未登记","")&amp;IF(AND(ISNUMBER(G198),N(G198)&lt;&gt;0)," 入仓差异"&amp;G198,""))," ","、")))</f>
        <v/>
      </c>
    </row>
    <row r="199" customFormat="false" ht="21.75" hidden="false" customHeight="true" outlineLevel="0" collapsed="false">
      <c r="A199" s="29" t="str">
        <f aca="false">IF(①出口报关!A196="","",①出口报关!A196)</f>
        <v/>
      </c>
      <c r="B199" s="29" t="str">
        <f aca="false">IF($A199="","",①出口报关!I196)</f>
        <v/>
      </c>
      <c r="C199" s="29" t="str">
        <f aca="false">IF($A199="","",①出口报关!J196)</f>
        <v/>
      </c>
      <c r="D199" s="30" t="str">
        <f aca="false">IF($A199="","",IF(①出口报关!D196="","",①出口报关!D196))</f>
        <v/>
      </c>
      <c r="E199" s="31" t="str">
        <f aca="false">IF($A199="","",N(①出口报关!L196))</f>
        <v/>
      </c>
      <c r="F199" s="31" t="str">
        <f aca="false">IF($A199="","",IF(①出口报关!Y196="","未签收",①出口报关!Y196))</f>
        <v/>
      </c>
      <c r="G199" s="32" t="str">
        <f aca="false">IF(OR($A199="",NOT(ISNUMBER(F199))),"",F199-E199)</f>
        <v/>
      </c>
      <c r="H199" s="31" t="str">
        <f aca="false">IF($A199="","",SUMIFS(②销售核销!$I$4:$I$603,②销售核销!$E$4:$E$603,$A199))</f>
        <v/>
      </c>
      <c r="I199" s="31" t="str">
        <f aca="false">IF($A199="","",SUMIFS(⑤库存异常!$E$4:$E$203,⑤库存异常!$B$4:$B$203,$A199))</f>
        <v/>
      </c>
      <c r="J199" s="31" t="str">
        <f aca="false">IF($A199="","",IF(ISNUMBER(F199),F199,E199)-H199-I199)</f>
        <v/>
      </c>
      <c r="K199" s="33" t="str">
        <f aca="false">IF(OR($A199="",N(E199)=0),"",H199/E199)</f>
        <v/>
      </c>
      <c r="L199" s="34" t="str">
        <f aca="false">IF($A199="","",SUMIFS(②销售核销!$L$4:$L$603,②销售核销!$E$4:$E$603,$A199))</f>
        <v/>
      </c>
      <c r="M199" s="34" t="str">
        <f aca="false">IF($A199="","",SUMIFS(②销售核销!$L$4:$L$603,②销售核销!$E$4:$E$603,$A199,②销售核销!$M$4:$M$603,"已收汇"))</f>
        <v/>
      </c>
      <c r="N199" s="30" t="str">
        <f aca="false">IF(ISNUMBER(D199),DATE(YEAR(D199)+1,4,30),"")</f>
        <v/>
      </c>
      <c r="O199" s="35" t="str">
        <f aca="true">IF($A199="","",IF(N(H199)=0,IF(AND(ISNUMBER(N199),TODAY()&gt;N199),"超过收汇期限仍未销售","尚未销售"),IF(ROUND(M199,2)&gt;=ROUND(L199,2),"已售部分已收汇",IF(AND(ISNUMBER(N199),TODAY()&gt;N199),"超期未收汇","有回款待收汇"))))</f>
        <v/>
      </c>
      <c r="P199" s="34" t="str">
        <f aca="false">IF($A199="","",SUMIFS(④退税核算!$H$4:$H$303,④退税核算!$A$4:$A$303,$A199))</f>
        <v/>
      </c>
      <c r="Q199" s="34" t="str">
        <f aca="false">IF($A199="","",SUMIFS(④退税核算!$H$4:$H$303,④退税核算!$A$4:$A$303,$A199,④退税核算!$D$4:$D$303,"未售-海外仓预退（HWC-YT）"))</f>
        <v/>
      </c>
      <c r="R199" s="30" t="str">
        <f aca="false">IF($A199="","",IF(COUNTIFS(④退税核算!$A$4:$A$303,$A199,④退税核算!$D$4:$D$303,"未售-海外仓预退（HWC-YT）",④退税核算!$I$4:$I$303,"&gt;0")=0,"",_xlfn.MINIFS(④退税核算!$J$4:$J$303,④退税核算!$A$4:$A$303,$A199,④退税核算!$D$4:$D$303,"未售-海外仓预退（HWC-YT）")))</f>
        <v/>
      </c>
      <c r="S199" s="35" t="str">
        <f aca="false">IF($A199="","",IF(COUNTIFS(④退税核算!$A$4:$A$303,$A199,④退税核算!$D$4:$D$303,"未售-海外仓预退（HWC-YT）")=0,"不涉及",IF(COUNTIFS(④退税核算!$A$4:$A$303,$A199,④退税核算!$S$4:$S$303,"已逾期*")&gt;0,"已逾期",IF(COUNTIFS(④退税核算!$A$4:$A$303,$A199,④退税核算!$S$4:$S$303,"临近*")&gt;0,"临近截止",IF(COUNTIFS(④退税核算!$A$4:$A$303,$A199,④退税核算!$S$4:$S$303,"待*")&gt;0,"待核算","已核算")))))</f>
        <v/>
      </c>
      <c r="T199" s="35" t="str">
        <f aca="false">IF($A199="","",IFERROR(INDEX(⑥单证留存!$P$4:$P$203,MATCH(①出口报关!B196,⑥单证留存!$A$4:$A$203,0)),"未登记"))</f>
        <v/>
      </c>
      <c r="U199" s="36" t="str">
        <f aca="false">IF($A199="","",IF(IF(OR(O199="超期未收汇",O199="超过收汇期限仍未销售")," 收汇超期","")&amp;IF(S199="已逾期"," 核算逾期","")&amp;IF(S199="临近截止"," 核算临近截止","")&amp;IF(LEFT(T199,1)="缺"," 单证"&amp;T199,"")&amp;IF(T199="未登记"," 单证未登记","")&amp;IF(AND(ISNUMBER(G199),N(G199)&lt;&gt;0)," 入仓差异"&amp;G199,"")="","正常",SUBSTITUTE(TRIM(IF(OR(O199="超期未收汇",O199="超过收汇期限仍未销售")," 收汇超期","")&amp;IF(S199="已逾期"," 核算逾期","")&amp;IF(S199="临近截止"," 核算临近截止","")&amp;IF(LEFT(T199,1)="缺"," 单证"&amp;T199,"")&amp;IF(T199="未登记"," 单证未登记","")&amp;IF(AND(ISNUMBER(G199),N(G199)&lt;&gt;0)," 入仓差异"&amp;G199,""))," ","、")))</f>
        <v/>
      </c>
    </row>
    <row r="200" customFormat="false" ht="21.75" hidden="false" customHeight="true" outlineLevel="0" collapsed="false">
      <c r="A200" s="29" t="str">
        <f aca="false">IF(①出口报关!A197="","",①出口报关!A197)</f>
        <v/>
      </c>
      <c r="B200" s="29" t="str">
        <f aca="false">IF($A200="","",①出口报关!I197)</f>
        <v/>
      </c>
      <c r="C200" s="29" t="str">
        <f aca="false">IF($A200="","",①出口报关!J197)</f>
        <v/>
      </c>
      <c r="D200" s="30" t="str">
        <f aca="false">IF($A200="","",IF(①出口报关!D197="","",①出口报关!D197))</f>
        <v/>
      </c>
      <c r="E200" s="31" t="str">
        <f aca="false">IF($A200="","",N(①出口报关!L197))</f>
        <v/>
      </c>
      <c r="F200" s="31" t="str">
        <f aca="false">IF($A200="","",IF(①出口报关!Y197="","未签收",①出口报关!Y197))</f>
        <v/>
      </c>
      <c r="G200" s="32" t="str">
        <f aca="false">IF(OR($A200="",NOT(ISNUMBER(F200))),"",F200-E200)</f>
        <v/>
      </c>
      <c r="H200" s="31" t="str">
        <f aca="false">IF($A200="","",SUMIFS(②销售核销!$I$4:$I$603,②销售核销!$E$4:$E$603,$A200))</f>
        <v/>
      </c>
      <c r="I200" s="31" t="str">
        <f aca="false">IF($A200="","",SUMIFS(⑤库存异常!$E$4:$E$203,⑤库存异常!$B$4:$B$203,$A200))</f>
        <v/>
      </c>
      <c r="J200" s="31" t="str">
        <f aca="false">IF($A200="","",IF(ISNUMBER(F200),F200,E200)-H200-I200)</f>
        <v/>
      </c>
      <c r="K200" s="33" t="str">
        <f aca="false">IF(OR($A200="",N(E200)=0),"",H200/E200)</f>
        <v/>
      </c>
      <c r="L200" s="34" t="str">
        <f aca="false">IF($A200="","",SUMIFS(②销售核销!$L$4:$L$603,②销售核销!$E$4:$E$603,$A200))</f>
        <v/>
      </c>
      <c r="M200" s="34" t="str">
        <f aca="false">IF($A200="","",SUMIFS(②销售核销!$L$4:$L$603,②销售核销!$E$4:$E$603,$A200,②销售核销!$M$4:$M$603,"已收汇"))</f>
        <v/>
      </c>
      <c r="N200" s="30" t="str">
        <f aca="false">IF(ISNUMBER(D200),DATE(YEAR(D200)+1,4,30),"")</f>
        <v/>
      </c>
      <c r="O200" s="35" t="str">
        <f aca="true">IF($A200="","",IF(N(H200)=0,IF(AND(ISNUMBER(N200),TODAY()&gt;N200),"超过收汇期限仍未销售","尚未销售"),IF(ROUND(M200,2)&gt;=ROUND(L200,2),"已售部分已收汇",IF(AND(ISNUMBER(N200),TODAY()&gt;N200),"超期未收汇","有回款待收汇"))))</f>
        <v/>
      </c>
      <c r="P200" s="34" t="str">
        <f aca="false">IF($A200="","",SUMIFS(④退税核算!$H$4:$H$303,④退税核算!$A$4:$A$303,$A200))</f>
        <v/>
      </c>
      <c r="Q200" s="34" t="str">
        <f aca="false">IF($A200="","",SUMIFS(④退税核算!$H$4:$H$303,④退税核算!$A$4:$A$303,$A200,④退税核算!$D$4:$D$303,"未售-海外仓预退（HWC-YT）"))</f>
        <v/>
      </c>
      <c r="R200" s="30" t="str">
        <f aca="false">IF($A200="","",IF(COUNTIFS(④退税核算!$A$4:$A$303,$A200,④退税核算!$D$4:$D$303,"未售-海外仓预退（HWC-YT）",④退税核算!$I$4:$I$303,"&gt;0")=0,"",_xlfn.MINIFS(④退税核算!$J$4:$J$303,④退税核算!$A$4:$A$303,$A200,④退税核算!$D$4:$D$303,"未售-海外仓预退（HWC-YT）")))</f>
        <v/>
      </c>
      <c r="S200" s="35" t="str">
        <f aca="false">IF($A200="","",IF(COUNTIFS(④退税核算!$A$4:$A$303,$A200,④退税核算!$D$4:$D$303,"未售-海外仓预退（HWC-YT）")=0,"不涉及",IF(COUNTIFS(④退税核算!$A$4:$A$303,$A200,④退税核算!$S$4:$S$303,"已逾期*")&gt;0,"已逾期",IF(COUNTIFS(④退税核算!$A$4:$A$303,$A200,④退税核算!$S$4:$S$303,"临近*")&gt;0,"临近截止",IF(COUNTIFS(④退税核算!$A$4:$A$303,$A200,④退税核算!$S$4:$S$303,"待*")&gt;0,"待核算","已核算")))))</f>
        <v/>
      </c>
      <c r="T200" s="35" t="str">
        <f aca="false">IF($A200="","",IFERROR(INDEX(⑥单证留存!$P$4:$P$203,MATCH(①出口报关!B197,⑥单证留存!$A$4:$A$203,0)),"未登记"))</f>
        <v/>
      </c>
      <c r="U200" s="36" t="str">
        <f aca="false">IF($A200="","",IF(IF(OR(O200="超期未收汇",O200="超过收汇期限仍未销售")," 收汇超期","")&amp;IF(S200="已逾期"," 核算逾期","")&amp;IF(S200="临近截止"," 核算临近截止","")&amp;IF(LEFT(T200,1)="缺"," 单证"&amp;T200,"")&amp;IF(T200="未登记"," 单证未登记","")&amp;IF(AND(ISNUMBER(G200),N(G200)&lt;&gt;0)," 入仓差异"&amp;G200,"")="","正常",SUBSTITUTE(TRIM(IF(OR(O200="超期未收汇",O200="超过收汇期限仍未销售")," 收汇超期","")&amp;IF(S200="已逾期"," 核算逾期","")&amp;IF(S200="临近截止"," 核算临近截止","")&amp;IF(LEFT(T200,1)="缺"," 单证"&amp;T200,"")&amp;IF(T200="未登记"," 单证未登记","")&amp;IF(AND(ISNUMBER(G200),N(G200)&lt;&gt;0)," 入仓差异"&amp;G200,""))," ","、")))</f>
        <v/>
      </c>
    </row>
    <row r="201" customFormat="false" ht="21.75" hidden="false" customHeight="true" outlineLevel="0" collapsed="false">
      <c r="A201" s="29" t="str">
        <f aca="false">IF(①出口报关!A198="","",①出口报关!A198)</f>
        <v/>
      </c>
      <c r="B201" s="29" t="str">
        <f aca="false">IF($A201="","",①出口报关!I198)</f>
        <v/>
      </c>
      <c r="C201" s="29" t="str">
        <f aca="false">IF($A201="","",①出口报关!J198)</f>
        <v/>
      </c>
      <c r="D201" s="30" t="str">
        <f aca="false">IF($A201="","",IF(①出口报关!D198="","",①出口报关!D198))</f>
        <v/>
      </c>
      <c r="E201" s="31" t="str">
        <f aca="false">IF($A201="","",N(①出口报关!L198))</f>
        <v/>
      </c>
      <c r="F201" s="31" t="str">
        <f aca="false">IF($A201="","",IF(①出口报关!Y198="","未签收",①出口报关!Y198))</f>
        <v/>
      </c>
      <c r="G201" s="32" t="str">
        <f aca="false">IF(OR($A201="",NOT(ISNUMBER(F201))),"",F201-E201)</f>
        <v/>
      </c>
      <c r="H201" s="31" t="str">
        <f aca="false">IF($A201="","",SUMIFS(②销售核销!$I$4:$I$603,②销售核销!$E$4:$E$603,$A201))</f>
        <v/>
      </c>
      <c r="I201" s="31" t="str">
        <f aca="false">IF($A201="","",SUMIFS(⑤库存异常!$E$4:$E$203,⑤库存异常!$B$4:$B$203,$A201))</f>
        <v/>
      </c>
      <c r="J201" s="31" t="str">
        <f aca="false">IF($A201="","",IF(ISNUMBER(F201),F201,E201)-H201-I201)</f>
        <v/>
      </c>
      <c r="K201" s="33" t="str">
        <f aca="false">IF(OR($A201="",N(E201)=0),"",H201/E201)</f>
        <v/>
      </c>
      <c r="L201" s="34" t="str">
        <f aca="false">IF($A201="","",SUMIFS(②销售核销!$L$4:$L$603,②销售核销!$E$4:$E$603,$A201))</f>
        <v/>
      </c>
      <c r="M201" s="34" t="str">
        <f aca="false">IF($A201="","",SUMIFS(②销售核销!$L$4:$L$603,②销售核销!$E$4:$E$603,$A201,②销售核销!$M$4:$M$603,"已收汇"))</f>
        <v/>
      </c>
      <c r="N201" s="30" t="str">
        <f aca="false">IF(ISNUMBER(D201),DATE(YEAR(D201)+1,4,30),"")</f>
        <v/>
      </c>
      <c r="O201" s="35" t="str">
        <f aca="true">IF($A201="","",IF(N(H201)=0,IF(AND(ISNUMBER(N201),TODAY()&gt;N201),"超过收汇期限仍未销售","尚未销售"),IF(ROUND(M201,2)&gt;=ROUND(L201,2),"已售部分已收汇",IF(AND(ISNUMBER(N201),TODAY()&gt;N201),"超期未收汇","有回款待收汇"))))</f>
        <v/>
      </c>
      <c r="P201" s="34" t="str">
        <f aca="false">IF($A201="","",SUMIFS(④退税核算!$H$4:$H$303,④退税核算!$A$4:$A$303,$A201))</f>
        <v/>
      </c>
      <c r="Q201" s="34" t="str">
        <f aca="false">IF($A201="","",SUMIFS(④退税核算!$H$4:$H$303,④退税核算!$A$4:$A$303,$A201,④退税核算!$D$4:$D$303,"未售-海外仓预退（HWC-YT）"))</f>
        <v/>
      </c>
      <c r="R201" s="30" t="str">
        <f aca="false">IF($A201="","",IF(COUNTIFS(④退税核算!$A$4:$A$303,$A201,④退税核算!$D$4:$D$303,"未售-海外仓预退（HWC-YT）",④退税核算!$I$4:$I$303,"&gt;0")=0,"",_xlfn.MINIFS(④退税核算!$J$4:$J$303,④退税核算!$A$4:$A$303,$A201,④退税核算!$D$4:$D$303,"未售-海外仓预退（HWC-YT）")))</f>
        <v/>
      </c>
      <c r="S201" s="35" t="str">
        <f aca="false">IF($A201="","",IF(COUNTIFS(④退税核算!$A$4:$A$303,$A201,④退税核算!$D$4:$D$303,"未售-海外仓预退（HWC-YT）")=0,"不涉及",IF(COUNTIFS(④退税核算!$A$4:$A$303,$A201,④退税核算!$S$4:$S$303,"已逾期*")&gt;0,"已逾期",IF(COUNTIFS(④退税核算!$A$4:$A$303,$A201,④退税核算!$S$4:$S$303,"临近*")&gt;0,"临近截止",IF(COUNTIFS(④退税核算!$A$4:$A$303,$A201,④退税核算!$S$4:$S$303,"待*")&gt;0,"待核算","已核算")))))</f>
        <v/>
      </c>
      <c r="T201" s="35" t="str">
        <f aca="false">IF($A201="","",IFERROR(INDEX(⑥单证留存!$P$4:$P$203,MATCH(①出口报关!B198,⑥单证留存!$A$4:$A$203,0)),"未登记"))</f>
        <v/>
      </c>
      <c r="U201" s="36" t="str">
        <f aca="false">IF($A201="","",IF(IF(OR(O201="超期未收汇",O201="超过收汇期限仍未销售")," 收汇超期","")&amp;IF(S201="已逾期"," 核算逾期","")&amp;IF(S201="临近截止"," 核算临近截止","")&amp;IF(LEFT(T201,1)="缺"," 单证"&amp;T201,"")&amp;IF(T201="未登记"," 单证未登记","")&amp;IF(AND(ISNUMBER(G201),N(G201)&lt;&gt;0)," 入仓差异"&amp;G201,"")="","正常",SUBSTITUTE(TRIM(IF(OR(O201="超期未收汇",O201="超过收汇期限仍未销售")," 收汇超期","")&amp;IF(S201="已逾期"," 核算逾期","")&amp;IF(S201="临近截止"," 核算临近截止","")&amp;IF(LEFT(T201,1)="缺"," 单证"&amp;T201,"")&amp;IF(T201="未登记"," 单证未登记","")&amp;IF(AND(ISNUMBER(G201),N(G201)&lt;&gt;0)," 入仓差异"&amp;G201,""))," ","、")))</f>
        <v/>
      </c>
    </row>
    <row r="202" customFormat="false" ht="21.75" hidden="false" customHeight="true" outlineLevel="0" collapsed="false">
      <c r="A202" s="29" t="str">
        <f aca="false">IF(①出口报关!A199="","",①出口报关!A199)</f>
        <v/>
      </c>
      <c r="B202" s="29" t="str">
        <f aca="false">IF($A202="","",①出口报关!I199)</f>
        <v/>
      </c>
      <c r="C202" s="29" t="str">
        <f aca="false">IF($A202="","",①出口报关!J199)</f>
        <v/>
      </c>
      <c r="D202" s="30" t="str">
        <f aca="false">IF($A202="","",IF(①出口报关!D199="","",①出口报关!D199))</f>
        <v/>
      </c>
      <c r="E202" s="31" t="str">
        <f aca="false">IF($A202="","",N(①出口报关!L199))</f>
        <v/>
      </c>
      <c r="F202" s="31" t="str">
        <f aca="false">IF($A202="","",IF(①出口报关!Y199="","未签收",①出口报关!Y199))</f>
        <v/>
      </c>
      <c r="G202" s="32" t="str">
        <f aca="false">IF(OR($A202="",NOT(ISNUMBER(F202))),"",F202-E202)</f>
        <v/>
      </c>
      <c r="H202" s="31" t="str">
        <f aca="false">IF($A202="","",SUMIFS(②销售核销!$I$4:$I$603,②销售核销!$E$4:$E$603,$A202))</f>
        <v/>
      </c>
      <c r="I202" s="31" t="str">
        <f aca="false">IF($A202="","",SUMIFS(⑤库存异常!$E$4:$E$203,⑤库存异常!$B$4:$B$203,$A202))</f>
        <v/>
      </c>
      <c r="J202" s="31" t="str">
        <f aca="false">IF($A202="","",IF(ISNUMBER(F202),F202,E202)-H202-I202)</f>
        <v/>
      </c>
      <c r="K202" s="33" t="str">
        <f aca="false">IF(OR($A202="",N(E202)=0),"",H202/E202)</f>
        <v/>
      </c>
      <c r="L202" s="34" t="str">
        <f aca="false">IF($A202="","",SUMIFS(②销售核销!$L$4:$L$603,②销售核销!$E$4:$E$603,$A202))</f>
        <v/>
      </c>
      <c r="M202" s="34" t="str">
        <f aca="false">IF($A202="","",SUMIFS(②销售核销!$L$4:$L$603,②销售核销!$E$4:$E$603,$A202,②销售核销!$M$4:$M$603,"已收汇"))</f>
        <v/>
      </c>
      <c r="N202" s="30" t="str">
        <f aca="false">IF(ISNUMBER(D202),DATE(YEAR(D202)+1,4,30),"")</f>
        <v/>
      </c>
      <c r="O202" s="35" t="str">
        <f aca="true">IF($A202="","",IF(N(H202)=0,IF(AND(ISNUMBER(N202),TODAY()&gt;N202),"超过收汇期限仍未销售","尚未销售"),IF(ROUND(M202,2)&gt;=ROUND(L202,2),"已售部分已收汇",IF(AND(ISNUMBER(N202),TODAY()&gt;N202),"超期未收汇","有回款待收汇"))))</f>
        <v/>
      </c>
      <c r="P202" s="34" t="str">
        <f aca="false">IF($A202="","",SUMIFS(④退税核算!$H$4:$H$303,④退税核算!$A$4:$A$303,$A202))</f>
        <v/>
      </c>
      <c r="Q202" s="34" t="str">
        <f aca="false">IF($A202="","",SUMIFS(④退税核算!$H$4:$H$303,④退税核算!$A$4:$A$303,$A202,④退税核算!$D$4:$D$303,"未售-海外仓预退（HWC-YT）"))</f>
        <v/>
      </c>
      <c r="R202" s="30" t="str">
        <f aca="false">IF($A202="","",IF(COUNTIFS(④退税核算!$A$4:$A$303,$A202,④退税核算!$D$4:$D$303,"未售-海外仓预退（HWC-YT）",④退税核算!$I$4:$I$303,"&gt;0")=0,"",_xlfn.MINIFS(④退税核算!$J$4:$J$303,④退税核算!$A$4:$A$303,$A202,④退税核算!$D$4:$D$303,"未售-海外仓预退（HWC-YT）")))</f>
        <v/>
      </c>
      <c r="S202" s="35" t="str">
        <f aca="false">IF($A202="","",IF(COUNTIFS(④退税核算!$A$4:$A$303,$A202,④退税核算!$D$4:$D$303,"未售-海外仓预退（HWC-YT）")=0,"不涉及",IF(COUNTIFS(④退税核算!$A$4:$A$303,$A202,④退税核算!$S$4:$S$303,"已逾期*")&gt;0,"已逾期",IF(COUNTIFS(④退税核算!$A$4:$A$303,$A202,④退税核算!$S$4:$S$303,"临近*")&gt;0,"临近截止",IF(COUNTIFS(④退税核算!$A$4:$A$303,$A202,④退税核算!$S$4:$S$303,"待*")&gt;0,"待核算","已核算")))))</f>
        <v/>
      </c>
      <c r="T202" s="35" t="str">
        <f aca="false">IF($A202="","",IFERROR(INDEX(⑥单证留存!$P$4:$P$203,MATCH(①出口报关!B199,⑥单证留存!$A$4:$A$203,0)),"未登记"))</f>
        <v/>
      </c>
      <c r="U202" s="36" t="str">
        <f aca="false">IF($A202="","",IF(IF(OR(O202="超期未收汇",O202="超过收汇期限仍未销售")," 收汇超期","")&amp;IF(S202="已逾期"," 核算逾期","")&amp;IF(S202="临近截止"," 核算临近截止","")&amp;IF(LEFT(T202,1)="缺"," 单证"&amp;T202,"")&amp;IF(T202="未登记"," 单证未登记","")&amp;IF(AND(ISNUMBER(G202),N(G202)&lt;&gt;0)," 入仓差异"&amp;G202,"")="","正常",SUBSTITUTE(TRIM(IF(OR(O202="超期未收汇",O202="超过收汇期限仍未销售")," 收汇超期","")&amp;IF(S202="已逾期"," 核算逾期","")&amp;IF(S202="临近截止"," 核算临近截止","")&amp;IF(LEFT(T202,1)="缺"," 单证"&amp;T202,"")&amp;IF(T202="未登记"," 单证未登记","")&amp;IF(AND(ISNUMBER(G202),N(G202)&lt;&gt;0)," 入仓差异"&amp;G202,""))," ","、")))</f>
        <v/>
      </c>
    </row>
    <row r="203" customFormat="false" ht="21.75" hidden="false" customHeight="true" outlineLevel="0" collapsed="false">
      <c r="A203" s="29" t="str">
        <f aca="false">IF(①出口报关!A200="","",①出口报关!A200)</f>
        <v/>
      </c>
      <c r="B203" s="29" t="str">
        <f aca="false">IF($A203="","",①出口报关!I200)</f>
        <v/>
      </c>
      <c r="C203" s="29" t="str">
        <f aca="false">IF($A203="","",①出口报关!J200)</f>
        <v/>
      </c>
      <c r="D203" s="30" t="str">
        <f aca="false">IF($A203="","",IF(①出口报关!D200="","",①出口报关!D200))</f>
        <v/>
      </c>
      <c r="E203" s="31" t="str">
        <f aca="false">IF($A203="","",N(①出口报关!L200))</f>
        <v/>
      </c>
      <c r="F203" s="31" t="str">
        <f aca="false">IF($A203="","",IF(①出口报关!Y200="","未签收",①出口报关!Y200))</f>
        <v/>
      </c>
      <c r="G203" s="32" t="str">
        <f aca="false">IF(OR($A203="",NOT(ISNUMBER(F203))),"",F203-E203)</f>
        <v/>
      </c>
      <c r="H203" s="31" t="str">
        <f aca="false">IF($A203="","",SUMIFS(②销售核销!$I$4:$I$603,②销售核销!$E$4:$E$603,$A203))</f>
        <v/>
      </c>
      <c r="I203" s="31" t="str">
        <f aca="false">IF($A203="","",SUMIFS(⑤库存异常!$E$4:$E$203,⑤库存异常!$B$4:$B$203,$A203))</f>
        <v/>
      </c>
      <c r="J203" s="31" t="str">
        <f aca="false">IF($A203="","",IF(ISNUMBER(F203),F203,E203)-H203-I203)</f>
        <v/>
      </c>
      <c r="K203" s="33" t="str">
        <f aca="false">IF(OR($A203="",N(E203)=0),"",H203/E203)</f>
        <v/>
      </c>
      <c r="L203" s="34" t="str">
        <f aca="false">IF($A203="","",SUMIFS(②销售核销!$L$4:$L$603,②销售核销!$E$4:$E$603,$A203))</f>
        <v/>
      </c>
      <c r="M203" s="34" t="str">
        <f aca="false">IF($A203="","",SUMIFS(②销售核销!$L$4:$L$603,②销售核销!$E$4:$E$603,$A203,②销售核销!$M$4:$M$603,"已收汇"))</f>
        <v/>
      </c>
      <c r="N203" s="30" t="str">
        <f aca="false">IF(ISNUMBER(D203),DATE(YEAR(D203)+1,4,30),"")</f>
        <v/>
      </c>
      <c r="O203" s="35" t="str">
        <f aca="true">IF($A203="","",IF(N(H203)=0,IF(AND(ISNUMBER(N203),TODAY()&gt;N203),"超过收汇期限仍未销售","尚未销售"),IF(ROUND(M203,2)&gt;=ROUND(L203,2),"已售部分已收汇",IF(AND(ISNUMBER(N203),TODAY()&gt;N203),"超期未收汇","有回款待收汇"))))</f>
        <v/>
      </c>
      <c r="P203" s="34" t="str">
        <f aca="false">IF($A203="","",SUMIFS(④退税核算!$H$4:$H$303,④退税核算!$A$4:$A$303,$A203))</f>
        <v/>
      </c>
      <c r="Q203" s="34" t="str">
        <f aca="false">IF($A203="","",SUMIFS(④退税核算!$H$4:$H$303,④退税核算!$A$4:$A$303,$A203,④退税核算!$D$4:$D$303,"未售-海外仓预退（HWC-YT）"))</f>
        <v/>
      </c>
      <c r="R203" s="30" t="str">
        <f aca="false">IF($A203="","",IF(COUNTIFS(④退税核算!$A$4:$A$303,$A203,④退税核算!$D$4:$D$303,"未售-海外仓预退（HWC-YT）",④退税核算!$I$4:$I$303,"&gt;0")=0,"",_xlfn.MINIFS(④退税核算!$J$4:$J$303,④退税核算!$A$4:$A$303,$A203,④退税核算!$D$4:$D$303,"未售-海外仓预退（HWC-YT）")))</f>
        <v/>
      </c>
      <c r="S203" s="35" t="str">
        <f aca="false">IF($A203="","",IF(COUNTIFS(④退税核算!$A$4:$A$303,$A203,④退税核算!$D$4:$D$303,"未售-海外仓预退（HWC-YT）")=0,"不涉及",IF(COUNTIFS(④退税核算!$A$4:$A$303,$A203,④退税核算!$S$4:$S$303,"已逾期*")&gt;0,"已逾期",IF(COUNTIFS(④退税核算!$A$4:$A$303,$A203,④退税核算!$S$4:$S$303,"临近*")&gt;0,"临近截止",IF(COUNTIFS(④退税核算!$A$4:$A$303,$A203,④退税核算!$S$4:$S$303,"待*")&gt;0,"待核算","已核算")))))</f>
        <v/>
      </c>
      <c r="T203" s="35" t="str">
        <f aca="false">IF($A203="","",IFERROR(INDEX(⑥单证留存!$P$4:$P$203,MATCH(①出口报关!B200,⑥单证留存!$A$4:$A$203,0)),"未登记"))</f>
        <v/>
      </c>
      <c r="U203" s="36" t="str">
        <f aca="false">IF($A203="","",IF(IF(OR(O203="超期未收汇",O203="超过收汇期限仍未销售")," 收汇超期","")&amp;IF(S203="已逾期"," 核算逾期","")&amp;IF(S203="临近截止"," 核算临近截止","")&amp;IF(LEFT(T203,1)="缺"," 单证"&amp;T203,"")&amp;IF(T203="未登记"," 单证未登记","")&amp;IF(AND(ISNUMBER(G203),N(G203)&lt;&gt;0)," 入仓差异"&amp;G203,"")="","正常",SUBSTITUTE(TRIM(IF(OR(O203="超期未收汇",O203="超过收汇期限仍未销售")," 收汇超期","")&amp;IF(S203="已逾期"," 核算逾期","")&amp;IF(S203="临近截止"," 核算临近截止","")&amp;IF(LEFT(T203,1)="缺"," 单证"&amp;T203,"")&amp;IF(T203="未登记"," 单证未登记","")&amp;IF(AND(ISNUMBER(G203),N(G203)&lt;&gt;0)," 入仓差异"&amp;G203,""))," ","、")))</f>
        <v/>
      </c>
    </row>
    <row r="204" customFormat="false" ht="21.75" hidden="false" customHeight="true" outlineLevel="0" collapsed="false">
      <c r="A204" s="29" t="str">
        <f aca="false">IF(①出口报关!A201="","",①出口报关!A201)</f>
        <v/>
      </c>
      <c r="B204" s="29" t="str">
        <f aca="false">IF($A204="","",①出口报关!I201)</f>
        <v/>
      </c>
      <c r="C204" s="29" t="str">
        <f aca="false">IF($A204="","",①出口报关!J201)</f>
        <v/>
      </c>
      <c r="D204" s="30" t="str">
        <f aca="false">IF($A204="","",IF(①出口报关!D201="","",①出口报关!D201))</f>
        <v/>
      </c>
      <c r="E204" s="31" t="str">
        <f aca="false">IF($A204="","",N(①出口报关!L201))</f>
        <v/>
      </c>
      <c r="F204" s="31" t="str">
        <f aca="false">IF($A204="","",IF(①出口报关!Y201="","未签收",①出口报关!Y201))</f>
        <v/>
      </c>
      <c r="G204" s="32" t="str">
        <f aca="false">IF(OR($A204="",NOT(ISNUMBER(F204))),"",F204-E204)</f>
        <v/>
      </c>
      <c r="H204" s="31" t="str">
        <f aca="false">IF($A204="","",SUMIFS(②销售核销!$I$4:$I$603,②销售核销!$E$4:$E$603,$A204))</f>
        <v/>
      </c>
      <c r="I204" s="31" t="str">
        <f aca="false">IF($A204="","",SUMIFS(⑤库存异常!$E$4:$E$203,⑤库存异常!$B$4:$B$203,$A204))</f>
        <v/>
      </c>
      <c r="J204" s="31" t="str">
        <f aca="false">IF($A204="","",IF(ISNUMBER(F204),F204,E204)-H204-I204)</f>
        <v/>
      </c>
      <c r="K204" s="33" t="str">
        <f aca="false">IF(OR($A204="",N(E204)=0),"",H204/E204)</f>
        <v/>
      </c>
      <c r="L204" s="34" t="str">
        <f aca="false">IF($A204="","",SUMIFS(②销售核销!$L$4:$L$603,②销售核销!$E$4:$E$603,$A204))</f>
        <v/>
      </c>
      <c r="M204" s="34" t="str">
        <f aca="false">IF($A204="","",SUMIFS(②销售核销!$L$4:$L$603,②销售核销!$E$4:$E$603,$A204,②销售核销!$M$4:$M$603,"已收汇"))</f>
        <v/>
      </c>
      <c r="N204" s="30" t="str">
        <f aca="false">IF(ISNUMBER(D204),DATE(YEAR(D204)+1,4,30),"")</f>
        <v/>
      </c>
      <c r="O204" s="35" t="str">
        <f aca="true">IF($A204="","",IF(N(H204)=0,IF(AND(ISNUMBER(N204),TODAY()&gt;N204),"超过收汇期限仍未销售","尚未销售"),IF(ROUND(M204,2)&gt;=ROUND(L204,2),"已售部分已收汇",IF(AND(ISNUMBER(N204),TODAY()&gt;N204),"超期未收汇","有回款待收汇"))))</f>
        <v/>
      </c>
      <c r="P204" s="34" t="str">
        <f aca="false">IF($A204="","",SUMIFS(④退税核算!$H$4:$H$303,④退税核算!$A$4:$A$303,$A204))</f>
        <v/>
      </c>
      <c r="Q204" s="34" t="str">
        <f aca="false">IF($A204="","",SUMIFS(④退税核算!$H$4:$H$303,④退税核算!$A$4:$A$303,$A204,④退税核算!$D$4:$D$303,"未售-海外仓预退（HWC-YT）"))</f>
        <v/>
      </c>
      <c r="R204" s="30" t="str">
        <f aca="false">IF($A204="","",IF(COUNTIFS(④退税核算!$A$4:$A$303,$A204,④退税核算!$D$4:$D$303,"未售-海外仓预退（HWC-YT）",④退税核算!$I$4:$I$303,"&gt;0")=0,"",_xlfn.MINIFS(④退税核算!$J$4:$J$303,④退税核算!$A$4:$A$303,$A204,④退税核算!$D$4:$D$303,"未售-海外仓预退（HWC-YT）")))</f>
        <v/>
      </c>
      <c r="S204" s="35" t="str">
        <f aca="false">IF($A204="","",IF(COUNTIFS(④退税核算!$A$4:$A$303,$A204,④退税核算!$D$4:$D$303,"未售-海外仓预退（HWC-YT）")=0,"不涉及",IF(COUNTIFS(④退税核算!$A$4:$A$303,$A204,④退税核算!$S$4:$S$303,"已逾期*")&gt;0,"已逾期",IF(COUNTIFS(④退税核算!$A$4:$A$303,$A204,④退税核算!$S$4:$S$303,"临近*")&gt;0,"临近截止",IF(COUNTIFS(④退税核算!$A$4:$A$303,$A204,④退税核算!$S$4:$S$303,"待*")&gt;0,"待核算","已核算")))))</f>
        <v/>
      </c>
      <c r="T204" s="35" t="str">
        <f aca="false">IF($A204="","",IFERROR(INDEX(⑥单证留存!$P$4:$P$203,MATCH(①出口报关!B201,⑥单证留存!$A$4:$A$203,0)),"未登记"))</f>
        <v/>
      </c>
      <c r="U204" s="36" t="str">
        <f aca="false">IF($A204="","",IF(IF(OR(O204="超期未收汇",O204="超过收汇期限仍未销售")," 收汇超期","")&amp;IF(S204="已逾期"," 核算逾期","")&amp;IF(S204="临近截止"," 核算临近截止","")&amp;IF(LEFT(T204,1)="缺"," 单证"&amp;T204,"")&amp;IF(T204="未登记"," 单证未登记","")&amp;IF(AND(ISNUMBER(G204),N(G204)&lt;&gt;0)," 入仓差异"&amp;G204,"")="","正常",SUBSTITUTE(TRIM(IF(OR(O204="超期未收汇",O204="超过收汇期限仍未销售")," 收汇超期","")&amp;IF(S204="已逾期"," 核算逾期","")&amp;IF(S204="临近截止"," 核算临近截止","")&amp;IF(LEFT(T204,1)="缺"," 单证"&amp;T204,"")&amp;IF(T204="未登记"," 单证未登记","")&amp;IF(AND(ISNUMBER(G204),N(G204)&lt;&gt;0)," 入仓差异"&amp;G204,""))," ","、")))</f>
        <v/>
      </c>
    </row>
    <row r="205" customFormat="false" ht="21.75" hidden="false" customHeight="true" outlineLevel="0" collapsed="false">
      <c r="A205" s="29" t="str">
        <f aca="false">IF(①出口报关!A202="","",①出口报关!A202)</f>
        <v/>
      </c>
      <c r="B205" s="29" t="str">
        <f aca="false">IF($A205="","",①出口报关!I202)</f>
        <v/>
      </c>
      <c r="C205" s="29" t="str">
        <f aca="false">IF($A205="","",①出口报关!J202)</f>
        <v/>
      </c>
      <c r="D205" s="30" t="str">
        <f aca="false">IF($A205="","",IF(①出口报关!D202="","",①出口报关!D202))</f>
        <v/>
      </c>
      <c r="E205" s="31" t="str">
        <f aca="false">IF($A205="","",N(①出口报关!L202))</f>
        <v/>
      </c>
      <c r="F205" s="31" t="str">
        <f aca="false">IF($A205="","",IF(①出口报关!Y202="","未签收",①出口报关!Y202))</f>
        <v/>
      </c>
      <c r="G205" s="32" t="str">
        <f aca="false">IF(OR($A205="",NOT(ISNUMBER(F205))),"",F205-E205)</f>
        <v/>
      </c>
      <c r="H205" s="31" t="str">
        <f aca="false">IF($A205="","",SUMIFS(②销售核销!$I$4:$I$603,②销售核销!$E$4:$E$603,$A205))</f>
        <v/>
      </c>
      <c r="I205" s="31" t="str">
        <f aca="false">IF($A205="","",SUMIFS(⑤库存异常!$E$4:$E$203,⑤库存异常!$B$4:$B$203,$A205))</f>
        <v/>
      </c>
      <c r="J205" s="31" t="str">
        <f aca="false">IF($A205="","",IF(ISNUMBER(F205),F205,E205)-H205-I205)</f>
        <v/>
      </c>
      <c r="K205" s="33" t="str">
        <f aca="false">IF(OR($A205="",N(E205)=0),"",H205/E205)</f>
        <v/>
      </c>
      <c r="L205" s="34" t="str">
        <f aca="false">IF($A205="","",SUMIFS(②销售核销!$L$4:$L$603,②销售核销!$E$4:$E$603,$A205))</f>
        <v/>
      </c>
      <c r="M205" s="34" t="str">
        <f aca="false">IF($A205="","",SUMIFS(②销售核销!$L$4:$L$603,②销售核销!$E$4:$E$603,$A205,②销售核销!$M$4:$M$603,"已收汇"))</f>
        <v/>
      </c>
      <c r="N205" s="30" t="str">
        <f aca="false">IF(ISNUMBER(D205),DATE(YEAR(D205)+1,4,30),"")</f>
        <v/>
      </c>
      <c r="O205" s="35" t="str">
        <f aca="true">IF($A205="","",IF(N(H205)=0,IF(AND(ISNUMBER(N205),TODAY()&gt;N205),"超过收汇期限仍未销售","尚未销售"),IF(ROUND(M205,2)&gt;=ROUND(L205,2),"已售部分已收汇",IF(AND(ISNUMBER(N205),TODAY()&gt;N205),"超期未收汇","有回款待收汇"))))</f>
        <v/>
      </c>
      <c r="P205" s="34" t="str">
        <f aca="false">IF($A205="","",SUMIFS(④退税核算!$H$4:$H$303,④退税核算!$A$4:$A$303,$A205))</f>
        <v/>
      </c>
      <c r="Q205" s="34" t="str">
        <f aca="false">IF($A205="","",SUMIFS(④退税核算!$H$4:$H$303,④退税核算!$A$4:$A$303,$A205,④退税核算!$D$4:$D$303,"未售-海外仓预退（HWC-YT）"))</f>
        <v/>
      </c>
      <c r="R205" s="30" t="str">
        <f aca="false">IF($A205="","",IF(COUNTIFS(④退税核算!$A$4:$A$303,$A205,④退税核算!$D$4:$D$303,"未售-海外仓预退（HWC-YT）",④退税核算!$I$4:$I$303,"&gt;0")=0,"",_xlfn.MINIFS(④退税核算!$J$4:$J$303,④退税核算!$A$4:$A$303,$A205,④退税核算!$D$4:$D$303,"未售-海外仓预退（HWC-YT）")))</f>
        <v/>
      </c>
      <c r="S205" s="35" t="str">
        <f aca="false">IF($A205="","",IF(COUNTIFS(④退税核算!$A$4:$A$303,$A205,④退税核算!$D$4:$D$303,"未售-海外仓预退（HWC-YT）")=0,"不涉及",IF(COUNTIFS(④退税核算!$A$4:$A$303,$A205,④退税核算!$S$4:$S$303,"已逾期*")&gt;0,"已逾期",IF(COUNTIFS(④退税核算!$A$4:$A$303,$A205,④退税核算!$S$4:$S$303,"临近*")&gt;0,"临近截止",IF(COUNTIFS(④退税核算!$A$4:$A$303,$A205,④退税核算!$S$4:$S$303,"待*")&gt;0,"待核算","已核算")))))</f>
        <v/>
      </c>
      <c r="T205" s="35" t="str">
        <f aca="false">IF($A205="","",IFERROR(INDEX(⑥单证留存!$P$4:$P$203,MATCH(①出口报关!B202,⑥单证留存!$A$4:$A$203,0)),"未登记"))</f>
        <v/>
      </c>
      <c r="U205" s="36" t="str">
        <f aca="false">IF($A205="","",IF(IF(OR(O205="超期未收汇",O205="超过收汇期限仍未销售")," 收汇超期","")&amp;IF(S205="已逾期"," 核算逾期","")&amp;IF(S205="临近截止"," 核算临近截止","")&amp;IF(LEFT(T205,1)="缺"," 单证"&amp;T205,"")&amp;IF(T205="未登记"," 单证未登记","")&amp;IF(AND(ISNUMBER(G205),N(G205)&lt;&gt;0)," 入仓差异"&amp;G205,"")="","正常",SUBSTITUTE(TRIM(IF(OR(O205="超期未收汇",O205="超过收汇期限仍未销售")," 收汇超期","")&amp;IF(S205="已逾期"," 核算逾期","")&amp;IF(S205="临近截止"," 核算临近截止","")&amp;IF(LEFT(T205,1)="缺"," 单证"&amp;T205,"")&amp;IF(T205="未登记"," 单证未登记","")&amp;IF(AND(ISNUMBER(G205),N(G205)&lt;&gt;0)," 入仓差异"&amp;G205,""))," ","、")))</f>
        <v/>
      </c>
    </row>
    <row r="206" customFormat="false" ht="21.75" hidden="false" customHeight="true" outlineLevel="0" collapsed="false">
      <c r="A206" s="29" t="str">
        <f aca="false">IF(①出口报关!A203="","",①出口报关!A203)</f>
        <v/>
      </c>
      <c r="B206" s="29" t="str">
        <f aca="false">IF($A206="","",①出口报关!I203)</f>
        <v/>
      </c>
      <c r="C206" s="29" t="str">
        <f aca="false">IF($A206="","",①出口报关!J203)</f>
        <v/>
      </c>
      <c r="D206" s="30" t="str">
        <f aca="false">IF($A206="","",IF(①出口报关!D203="","",①出口报关!D203))</f>
        <v/>
      </c>
      <c r="E206" s="31" t="str">
        <f aca="false">IF($A206="","",N(①出口报关!L203))</f>
        <v/>
      </c>
      <c r="F206" s="31" t="str">
        <f aca="false">IF($A206="","",IF(①出口报关!Y203="","未签收",①出口报关!Y203))</f>
        <v/>
      </c>
      <c r="G206" s="32" t="str">
        <f aca="false">IF(OR($A206="",NOT(ISNUMBER(F206))),"",F206-E206)</f>
        <v/>
      </c>
      <c r="H206" s="31" t="str">
        <f aca="false">IF($A206="","",SUMIFS(②销售核销!$I$4:$I$603,②销售核销!$E$4:$E$603,$A206))</f>
        <v/>
      </c>
      <c r="I206" s="31" t="str">
        <f aca="false">IF($A206="","",SUMIFS(⑤库存异常!$E$4:$E$203,⑤库存异常!$B$4:$B$203,$A206))</f>
        <v/>
      </c>
      <c r="J206" s="31" t="str">
        <f aca="false">IF($A206="","",IF(ISNUMBER(F206),F206,E206)-H206-I206)</f>
        <v/>
      </c>
      <c r="K206" s="33" t="str">
        <f aca="false">IF(OR($A206="",N(E206)=0),"",H206/E206)</f>
        <v/>
      </c>
      <c r="L206" s="34" t="str">
        <f aca="false">IF($A206="","",SUMIFS(②销售核销!$L$4:$L$603,②销售核销!$E$4:$E$603,$A206))</f>
        <v/>
      </c>
      <c r="M206" s="34" t="str">
        <f aca="false">IF($A206="","",SUMIFS(②销售核销!$L$4:$L$603,②销售核销!$E$4:$E$603,$A206,②销售核销!$M$4:$M$603,"已收汇"))</f>
        <v/>
      </c>
      <c r="N206" s="30" t="str">
        <f aca="false">IF(ISNUMBER(D206),DATE(YEAR(D206)+1,4,30),"")</f>
        <v/>
      </c>
      <c r="O206" s="35" t="str">
        <f aca="true">IF($A206="","",IF(N(H206)=0,IF(AND(ISNUMBER(N206),TODAY()&gt;N206),"超过收汇期限仍未销售","尚未销售"),IF(ROUND(M206,2)&gt;=ROUND(L206,2),"已售部分已收汇",IF(AND(ISNUMBER(N206),TODAY()&gt;N206),"超期未收汇","有回款待收汇"))))</f>
        <v/>
      </c>
      <c r="P206" s="34" t="str">
        <f aca="false">IF($A206="","",SUMIFS(④退税核算!$H$4:$H$303,④退税核算!$A$4:$A$303,$A206))</f>
        <v/>
      </c>
      <c r="Q206" s="34" t="str">
        <f aca="false">IF($A206="","",SUMIFS(④退税核算!$H$4:$H$303,④退税核算!$A$4:$A$303,$A206,④退税核算!$D$4:$D$303,"未售-海外仓预退（HWC-YT）"))</f>
        <v/>
      </c>
      <c r="R206" s="30" t="str">
        <f aca="false">IF($A206="","",IF(COUNTIFS(④退税核算!$A$4:$A$303,$A206,④退税核算!$D$4:$D$303,"未售-海外仓预退（HWC-YT）",④退税核算!$I$4:$I$303,"&gt;0")=0,"",_xlfn.MINIFS(④退税核算!$J$4:$J$303,④退税核算!$A$4:$A$303,$A206,④退税核算!$D$4:$D$303,"未售-海外仓预退（HWC-YT）")))</f>
        <v/>
      </c>
      <c r="S206" s="35" t="str">
        <f aca="false">IF($A206="","",IF(COUNTIFS(④退税核算!$A$4:$A$303,$A206,④退税核算!$D$4:$D$303,"未售-海外仓预退（HWC-YT）")=0,"不涉及",IF(COUNTIFS(④退税核算!$A$4:$A$303,$A206,④退税核算!$S$4:$S$303,"已逾期*")&gt;0,"已逾期",IF(COUNTIFS(④退税核算!$A$4:$A$303,$A206,④退税核算!$S$4:$S$303,"临近*")&gt;0,"临近截止",IF(COUNTIFS(④退税核算!$A$4:$A$303,$A206,④退税核算!$S$4:$S$303,"待*")&gt;0,"待核算","已核算")))))</f>
        <v/>
      </c>
      <c r="T206" s="35" t="str">
        <f aca="false">IF($A206="","",IFERROR(INDEX(⑥单证留存!$P$4:$P$203,MATCH(①出口报关!B203,⑥单证留存!$A$4:$A$203,0)),"未登记"))</f>
        <v/>
      </c>
      <c r="U206" s="36" t="str">
        <f aca="false">IF($A206="","",IF(IF(OR(O206="超期未收汇",O206="超过收汇期限仍未销售")," 收汇超期","")&amp;IF(S206="已逾期"," 核算逾期","")&amp;IF(S206="临近截止"," 核算临近截止","")&amp;IF(LEFT(T206,1)="缺"," 单证"&amp;T206,"")&amp;IF(T206="未登记"," 单证未登记","")&amp;IF(AND(ISNUMBER(G206),N(G206)&lt;&gt;0)," 入仓差异"&amp;G206,"")="","正常",SUBSTITUTE(TRIM(IF(OR(O206="超期未收汇",O206="超过收汇期限仍未销售")," 收汇超期","")&amp;IF(S206="已逾期"," 核算逾期","")&amp;IF(S206="临近截止"," 核算临近截止","")&amp;IF(LEFT(T206,1)="缺"," 单证"&amp;T206,"")&amp;IF(T206="未登记"," 单证未登记","")&amp;IF(AND(ISNUMBER(G206),N(G206)&lt;&gt;0)," 入仓差异"&amp;G206,""))," ","、")))</f>
        <v/>
      </c>
    </row>
    <row r="207" customFormat="false" ht="21.75" hidden="false" customHeight="true" outlineLevel="0" collapsed="false">
      <c r="A207" s="29" t="str">
        <f aca="false">IF(①出口报关!A204="","",①出口报关!A204)</f>
        <v/>
      </c>
      <c r="B207" s="29" t="str">
        <f aca="false">IF($A207="","",①出口报关!I204)</f>
        <v/>
      </c>
      <c r="C207" s="29" t="str">
        <f aca="false">IF($A207="","",①出口报关!J204)</f>
        <v/>
      </c>
      <c r="D207" s="30" t="str">
        <f aca="false">IF($A207="","",IF(①出口报关!D204="","",①出口报关!D204))</f>
        <v/>
      </c>
      <c r="E207" s="31" t="str">
        <f aca="false">IF($A207="","",N(①出口报关!L204))</f>
        <v/>
      </c>
      <c r="F207" s="31" t="str">
        <f aca="false">IF($A207="","",IF(①出口报关!Y204="","未签收",①出口报关!Y204))</f>
        <v/>
      </c>
      <c r="G207" s="32" t="str">
        <f aca="false">IF(OR($A207="",NOT(ISNUMBER(F207))),"",F207-E207)</f>
        <v/>
      </c>
      <c r="H207" s="31" t="str">
        <f aca="false">IF($A207="","",SUMIFS(②销售核销!$I$4:$I$603,②销售核销!$E$4:$E$603,$A207))</f>
        <v/>
      </c>
      <c r="I207" s="31" t="str">
        <f aca="false">IF($A207="","",SUMIFS(⑤库存异常!$E$4:$E$203,⑤库存异常!$B$4:$B$203,$A207))</f>
        <v/>
      </c>
      <c r="J207" s="31" t="str">
        <f aca="false">IF($A207="","",IF(ISNUMBER(F207),F207,E207)-H207-I207)</f>
        <v/>
      </c>
      <c r="K207" s="33" t="str">
        <f aca="false">IF(OR($A207="",N(E207)=0),"",H207/E207)</f>
        <v/>
      </c>
      <c r="L207" s="34" t="str">
        <f aca="false">IF($A207="","",SUMIFS(②销售核销!$L$4:$L$603,②销售核销!$E$4:$E$603,$A207))</f>
        <v/>
      </c>
      <c r="M207" s="34" t="str">
        <f aca="false">IF($A207="","",SUMIFS(②销售核销!$L$4:$L$603,②销售核销!$E$4:$E$603,$A207,②销售核销!$M$4:$M$603,"已收汇"))</f>
        <v/>
      </c>
      <c r="N207" s="30" t="str">
        <f aca="false">IF(ISNUMBER(D207),DATE(YEAR(D207)+1,4,30),"")</f>
        <v/>
      </c>
      <c r="O207" s="35" t="str">
        <f aca="true">IF($A207="","",IF(N(H207)=0,IF(AND(ISNUMBER(N207),TODAY()&gt;N207),"超过收汇期限仍未销售","尚未销售"),IF(ROUND(M207,2)&gt;=ROUND(L207,2),"已售部分已收汇",IF(AND(ISNUMBER(N207),TODAY()&gt;N207),"超期未收汇","有回款待收汇"))))</f>
        <v/>
      </c>
      <c r="P207" s="34" t="str">
        <f aca="false">IF($A207="","",SUMIFS(④退税核算!$H$4:$H$303,④退税核算!$A$4:$A$303,$A207))</f>
        <v/>
      </c>
      <c r="Q207" s="34" t="str">
        <f aca="false">IF($A207="","",SUMIFS(④退税核算!$H$4:$H$303,④退税核算!$A$4:$A$303,$A207,④退税核算!$D$4:$D$303,"未售-海外仓预退（HWC-YT）"))</f>
        <v/>
      </c>
      <c r="R207" s="30" t="str">
        <f aca="false">IF($A207="","",IF(COUNTIFS(④退税核算!$A$4:$A$303,$A207,④退税核算!$D$4:$D$303,"未售-海外仓预退（HWC-YT）",④退税核算!$I$4:$I$303,"&gt;0")=0,"",_xlfn.MINIFS(④退税核算!$J$4:$J$303,④退税核算!$A$4:$A$303,$A207,④退税核算!$D$4:$D$303,"未售-海外仓预退（HWC-YT）")))</f>
        <v/>
      </c>
      <c r="S207" s="35" t="str">
        <f aca="false">IF($A207="","",IF(COUNTIFS(④退税核算!$A$4:$A$303,$A207,④退税核算!$D$4:$D$303,"未售-海外仓预退（HWC-YT）")=0,"不涉及",IF(COUNTIFS(④退税核算!$A$4:$A$303,$A207,④退税核算!$S$4:$S$303,"已逾期*")&gt;0,"已逾期",IF(COUNTIFS(④退税核算!$A$4:$A$303,$A207,④退税核算!$S$4:$S$303,"临近*")&gt;0,"临近截止",IF(COUNTIFS(④退税核算!$A$4:$A$303,$A207,④退税核算!$S$4:$S$303,"待*")&gt;0,"待核算","已核算")))))</f>
        <v/>
      </c>
      <c r="T207" s="35" t="str">
        <f aca="false">IF($A207="","",IFERROR(INDEX(⑥单证留存!$P$4:$P$203,MATCH(①出口报关!B204,⑥单证留存!$A$4:$A$203,0)),"未登记"))</f>
        <v/>
      </c>
      <c r="U207" s="36" t="str">
        <f aca="false">IF($A207="","",IF(IF(OR(O207="超期未收汇",O207="超过收汇期限仍未销售")," 收汇超期","")&amp;IF(S207="已逾期"," 核算逾期","")&amp;IF(S207="临近截止"," 核算临近截止","")&amp;IF(LEFT(T207,1)="缺"," 单证"&amp;T207,"")&amp;IF(T207="未登记"," 单证未登记","")&amp;IF(AND(ISNUMBER(G207),N(G207)&lt;&gt;0)," 入仓差异"&amp;G207,"")="","正常",SUBSTITUTE(TRIM(IF(OR(O207="超期未收汇",O207="超过收汇期限仍未销售")," 收汇超期","")&amp;IF(S207="已逾期"," 核算逾期","")&amp;IF(S207="临近截止"," 核算临近截止","")&amp;IF(LEFT(T207,1)="缺"," 单证"&amp;T207,"")&amp;IF(T207="未登记"," 单证未登记","")&amp;IF(AND(ISNUMBER(G207),N(G207)&lt;&gt;0)," 入仓差异"&amp;G207,""))," ","、")))</f>
        <v/>
      </c>
    </row>
    <row r="208" customFormat="false" ht="21.75" hidden="false" customHeight="true" outlineLevel="0" collapsed="false">
      <c r="A208" s="29" t="str">
        <f aca="false">IF(①出口报关!A205="","",①出口报关!A205)</f>
        <v/>
      </c>
      <c r="B208" s="29" t="str">
        <f aca="false">IF($A208="","",①出口报关!I205)</f>
        <v/>
      </c>
      <c r="C208" s="29" t="str">
        <f aca="false">IF($A208="","",①出口报关!J205)</f>
        <v/>
      </c>
      <c r="D208" s="30" t="str">
        <f aca="false">IF($A208="","",IF(①出口报关!D205="","",①出口报关!D205))</f>
        <v/>
      </c>
      <c r="E208" s="31" t="str">
        <f aca="false">IF($A208="","",N(①出口报关!L205))</f>
        <v/>
      </c>
      <c r="F208" s="31" t="str">
        <f aca="false">IF($A208="","",IF(①出口报关!Y205="","未签收",①出口报关!Y205))</f>
        <v/>
      </c>
      <c r="G208" s="32" t="str">
        <f aca="false">IF(OR($A208="",NOT(ISNUMBER(F208))),"",F208-E208)</f>
        <v/>
      </c>
      <c r="H208" s="31" t="str">
        <f aca="false">IF($A208="","",SUMIFS(②销售核销!$I$4:$I$603,②销售核销!$E$4:$E$603,$A208))</f>
        <v/>
      </c>
      <c r="I208" s="31" t="str">
        <f aca="false">IF($A208="","",SUMIFS(⑤库存异常!$E$4:$E$203,⑤库存异常!$B$4:$B$203,$A208))</f>
        <v/>
      </c>
      <c r="J208" s="31" t="str">
        <f aca="false">IF($A208="","",IF(ISNUMBER(F208),F208,E208)-H208-I208)</f>
        <v/>
      </c>
      <c r="K208" s="33" t="str">
        <f aca="false">IF(OR($A208="",N(E208)=0),"",H208/E208)</f>
        <v/>
      </c>
      <c r="L208" s="34" t="str">
        <f aca="false">IF($A208="","",SUMIFS(②销售核销!$L$4:$L$603,②销售核销!$E$4:$E$603,$A208))</f>
        <v/>
      </c>
      <c r="M208" s="34" t="str">
        <f aca="false">IF($A208="","",SUMIFS(②销售核销!$L$4:$L$603,②销售核销!$E$4:$E$603,$A208,②销售核销!$M$4:$M$603,"已收汇"))</f>
        <v/>
      </c>
      <c r="N208" s="30" t="str">
        <f aca="false">IF(ISNUMBER(D208),DATE(YEAR(D208)+1,4,30),"")</f>
        <v/>
      </c>
      <c r="O208" s="35" t="str">
        <f aca="true">IF($A208="","",IF(N(H208)=0,IF(AND(ISNUMBER(N208),TODAY()&gt;N208),"超过收汇期限仍未销售","尚未销售"),IF(ROUND(M208,2)&gt;=ROUND(L208,2),"已售部分已收汇",IF(AND(ISNUMBER(N208),TODAY()&gt;N208),"超期未收汇","有回款待收汇"))))</f>
        <v/>
      </c>
      <c r="P208" s="34" t="str">
        <f aca="false">IF($A208="","",SUMIFS(④退税核算!$H$4:$H$303,④退税核算!$A$4:$A$303,$A208))</f>
        <v/>
      </c>
      <c r="Q208" s="34" t="str">
        <f aca="false">IF($A208="","",SUMIFS(④退税核算!$H$4:$H$303,④退税核算!$A$4:$A$303,$A208,④退税核算!$D$4:$D$303,"未售-海外仓预退（HWC-YT）"))</f>
        <v/>
      </c>
      <c r="R208" s="30" t="str">
        <f aca="false">IF($A208="","",IF(COUNTIFS(④退税核算!$A$4:$A$303,$A208,④退税核算!$D$4:$D$303,"未售-海外仓预退（HWC-YT）",④退税核算!$I$4:$I$303,"&gt;0")=0,"",_xlfn.MINIFS(④退税核算!$J$4:$J$303,④退税核算!$A$4:$A$303,$A208,④退税核算!$D$4:$D$303,"未售-海外仓预退（HWC-YT）")))</f>
        <v/>
      </c>
      <c r="S208" s="35" t="str">
        <f aca="false">IF($A208="","",IF(COUNTIFS(④退税核算!$A$4:$A$303,$A208,④退税核算!$D$4:$D$303,"未售-海外仓预退（HWC-YT）")=0,"不涉及",IF(COUNTIFS(④退税核算!$A$4:$A$303,$A208,④退税核算!$S$4:$S$303,"已逾期*")&gt;0,"已逾期",IF(COUNTIFS(④退税核算!$A$4:$A$303,$A208,④退税核算!$S$4:$S$303,"临近*")&gt;0,"临近截止",IF(COUNTIFS(④退税核算!$A$4:$A$303,$A208,④退税核算!$S$4:$S$303,"待*")&gt;0,"待核算","已核算")))))</f>
        <v/>
      </c>
      <c r="T208" s="35" t="str">
        <f aca="false">IF($A208="","",IFERROR(INDEX(⑥单证留存!$P$4:$P$203,MATCH(①出口报关!B205,⑥单证留存!$A$4:$A$203,0)),"未登记"))</f>
        <v/>
      </c>
      <c r="U208" s="36" t="str">
        <f aca="false">IF($A208="","",IF(IF(OR(O208="超期未收汇",O208="超过收汇期限仍未销售")," 收汇超期","")&amp;IF(S208="已逾期"," 核算逾期","")&amp;IF(S208="临近截止"," 核算临近截止","")&amp;IF(LEFT(T208,1)="缺"," 单证"&amp;T208,"")&amp;IF(T208="未登记"," 单证未登记","")&amp;IF(AND(ISNUMBER(G208),N(G208)&lt;&gt;0)," 入仓差异"&amp;G208,"")="","正常",SUBSTITUTE(TRIM(IF(OR(O208="超期未收汇",O208="超过收汇期限仍未销售")," 收汇超期","")&amp;IF(S208="已逾期"," 核算逾期","")&amp;IF(S208="临近截止"," 核算临近截止","")&amp;IF(LEFT(T208,1)="缺"," 单证"&amp;T208,"")&amp;IF(T208="未登记"," 单证未登记","")&amp;IF(AND(ISNUMBER(G208),N(G208)&lt;&gt;0)," 入仓差异"&amp;G208,""))," ","、")))</f>
        <v/>
      </c>
    </row>
    <row r="209" customFormat="false" ht="21.75" hidden="false" customHeight="true" outlineLevel="0" collapsed="false">
      <c r="A209" s="29" t="str">
        <f aca="false">IF(①出口报关!A206="","",①出口报关!A206)</f>
        <v/>
      </c>
      <c r="B209" s="29" t="str">
        <f aca="false">IF($A209="","",①出口报关!I206)</f>
        <v/>
      </c>
      <c r="C209" s="29" t="str">
        <f aca="false">IF($A209="","",①出口报关!J206)</f>
        <v/>
      </c>
      <c r="D209" s="30" t="str">
        <f aca="false">IF($A209="","",IF(①出口报关!D206="","",①出口报关!D206))</f>
        <v/>
      </c>
      <c r="E209" s="31" t="str">
        <f aca="false">IF($A209="","",N(①出口报关!L206))</f>
        <v/>
      </c>
      <c r="F209" s="31" t="str">
        <f aca="false">IF($A209="","",IF(①出口报关!Y206="","未签收",①出口报关!Y206))</f>
        <v/>
      </c>
      <c r="G209" s="32" t="str">
        <f aca="false">IF(OR($A209="",NOT(ISNUMBER(F209))),"",F209-E209)</f>
        <v/>
      </c>
      <c r="H209" s="31" t="str">
        <f aca="false">IF($A209="","",SUMIFS(②销售核销!$I$4:$I$603,②销售核销!$E$4:$E$603,$A209))</f>
        <v/>
      </c>
      <c r="I209" s="31" t="str">
        <f aca="false">IF($A209="","",SUMIFS(⑤库存异常!$E$4:$E$203,⑤库存异常!$B$4:$B$203,$A209))</f>
        <v/>
      </c>
      <c r="J209" s="31" t="str">
        <f aca="false">IF($A209="","",IF(ISNUMBER(F209),F209,E209)-H209-I209)</f>
        <v/>
      </c>
      <c r="K209" s="33" t="str">
        <f aca="false">IF(OR($A209="",N(E209)=0),"",H209/E209)</f>
        <v/>
      </c>
      <c r="L209" s="34" t="str">
        <f aca="false">IF($A209="","",SUMIFS(②销售核销!$L$4:$L$603,②销售核销!$E$4:$E$603,$A209))</f>
        <v/>
      </c>
      <c r="M209" s="34" t="str">
        <f aca="false">IF($A209="","",SUMIFS(②销售核销!$L$4:$L$603,②销售核销!$E$4:$E$603,$A209,②销售核销!$M$4:$M$603,"已收汇"))</f>
        <v/>
      </c>
      <c r="N209" s="30" t="str">
        <f aca="false">IF(ISNUMBER(D209),DATE(YEAR(D209)+1,4,30),"")</f>
        <v/>
      </c>
      <c r="O209" s="35" t="str">
        <f aca="true">IF($A209="","",IF(N(H209)=0,IF(AND(ISNUMBER(N209),TODAY()&gt;N209),"超过收汇期限仍未销售","尚未销售"),IF(ROUND(M209,2)&gt;=ROUND(L209,2),"已售部分已收汇",IF(AND(ISNUMBER(N209),TODAY()&gt;N209),"超期未收汇","有回款待收汇"))))</f>
        <v/>
      </c>
      <c r="P209" s="34" t="str">
        <f aca="false">IF($A209="","",SUMIFS(④退税核算!$H$4:$H$303,④退税核算!$A$4:$A$303,$A209))</f>
        <v/>
      </c>
      <c r="Q209" s="34" t="str">
        <f aca="false">IF($A209="","",SUMIFS(④退税核算!$H$4:$H$303,④退税核算!$A$4:$A$303,$A209,④退税核算!$D$4:$D$303,"未售-海外仓预退（HWC-YT）"))</f>
        <v/>
      </c>
      <c r="R209" s="30" t="str">
        <f aca="false">IF($A209="","",IF(COUNTIFS(④退税核算!$A$4:$A$303,$A209,④退税核算!$D$4:$D$303,"未售-海外仓预退（HWC-YT）",④退税核算!$I$4:$I$303,"&gt;0")=0,"",_xlfn.MINIFS(④退税核算!$J$4:$J$303,④退税核算!$A$4:$A$303,$A209,④退税核算!$D$4:$D$303,"未售-海外仓预退（HWC-YT）")))</f>
        <v/>
      </c>
      <c r="S209" s="35" t="str">
        <f aca="false">IF($A209="","",IF(COUNTIFS(④退税核算!$A$4:$A$303,$A209,④退税核算!$D$4:$D$303,"未售-海外仓预退（HWC-YT）")=0,"不涉及",IF(COUNTIFS(④退税核算!$A$4:$A$303,$A209,④退税核算!$S$4:$S$303,"已逾期*")&gt;0,"已逾期",IF(COUNTIFS(④退税核算!$A$4:$A$303,$A209,④退税核算!$S$4:$S$303,"临近*")&gt;0,"临近截止",IF(COUNTIFS(④退税核算!$A$4:$A$303,$A209,④退税核算!$S$4:$S$303,"待*")&gt;0,"待核算","已核算")))))</f>
        <v/>
      </c>
      <c r="T209" s="35" t="str">
        <f aca="false">IF($A209="","",IFERROR(INDEX(⑥单证留存!$P$4:$P$203,MATCH(①出口报关!B206,⑥单证留存!$A$4:$A$203,0)),"未登记"))</f>
        <v/>
      </c>
      <c r="U209" s="36" t="str">
        <f aca="false">IF($A209="","",IF(IF(OR(O209="超期未收汇",O209="超过收汇期限仍未销售")," 收汇超期","")&amp;IF(S209="已逾期"," 核算逾期","")&amp;IF(S209="临近截止"," 核算临近截止","")&amp;IF(LEFT(T209,1)="缺"," 单证"&amp;T209,"")&amp;IF(T209="未登记"," 单证未登记","")&amp;IF(AND(ISNUMBER(G209),N(G209)&lt;&gt;0)," 入仓差异"&amp;G209,"")="","正常",SUBSTITUTE(TRIM(IF(OR(O209="超期未收汇",O209="超过收汇期限仍未销售")," 收汇超期","")&amp;IF(S209="已逾期"," 核算逾期","")&amp;IF(S209="临近截止"," 核算临近截止","")&amp;IF(LEFT(T209,1)="缺"," 单证"&amp;T209,"")&amp;IF(T209="未登记"," 单证未登记","")&amp;IF(AND(ISNUMBER(G209),N(G209)&lt;&gt;0)," 入仓差异"&amp;G209,""))," ","、")))</f>
        <v/>
      </c>
    </row>
    <row r="210" customFormat="false" ht="21.75" hidden="false" customHeight="true" outlineLevel="0" collapsed="false">
      <c r="A210" s="29" t="str">
        <f aca="false">IF(①出口报关!A207="","",①出口报关!A207)</f>
        <v/>
      </c>
      <c r="B210" s="29" t="str">
        <f aca="false">IF($A210="","",①出口报关!I207)</f>
        <v/>
      </c>
      <c r="C210" s="29" t="str">
        <f aca="false">IF($A210="","",①出口报关!J207)</f>
        <v/>
      </c>
      <c r="D210" s="30" t="str">
        <f aca="false">IF($A210="","",IF(①出口报关!D207="","",①出口报关!D207))</f>
        <v/>
      </c>
      <c r="E210" s="31" t="str">
        <f aca="false">IF($A210="","",N(①出口报关!L207))</f>
        <v/>
      </c>
      <c r="F210" s="31" t="str">
        <f aca="false">IF($A210="","",IF(①出口报关!Y207="","未签收",①出口报关!Y207))</f>
        <v/>
      </c>
      <c r="G210" s="32" t="str">
        <f aca="false">IF(OR($A210="",NOT(ISNUMBER(F210))),"",F210-E210)</f>
        <v/>
      </c>
      <c r="H210" s="31" t="str">
        <f aca="false">IF($A210="","",SUMIFS(②销售核销!$I$4:$I$603,②销售核销!$E$4:$E$603,$A210))</f>
        <v/>
      </c>
      <c r="I210" s="31" t="str">
        <f aca="false">IF($A210="","",SUMIFS(⑤库存异常!$E$4:$E$203,⑤库存异常!$B$4:$B$203,$A210))</f>
        <v/>
      </c>
      <c r="J210" s="31" t="str">
        <f aca="false">IF($A210="","",IF(ISNUMBER(F210),F210,E210)-H210-I210)</f>
        <v/>
      </c>
      <c r="K210" s="33" t="str">
        <f aca="false">IF(OR($A210="",N(E210)=0),"",H210/E210)</f>
        <v/>
      </c>
      <c r="L210" s="34" t="str">
        <f aca="false">IF($A210="","",SUMIFS(②销售核销!$L$4:$L$603,②销售核销!$E$4:$E$603,$A210))</f>
        <v/>
      </c>
      <c r="M210" s="34" t="str">
        <f aca="false">IF($A210="","",SUMIFS(②销售核销!$L$4:$L$603,②销售核销!$E$4:$E$603,$A210,②销售核销!$M$4:$M$603,"已收汇"))</f>
        <v/>
      </c>
      <c r="N210" s="30" t="str">
        <f aca="false">IF(ISNUMBER(D210),DATE(YEAR(D210)+1,4,30),"")</f>
        <v/>
      </c>
      <c r="O210" s="35" t="str">
        <f aca="true">IF($A210="","",IF(N(H210)=0,IF(AND(ISNUMBER(N210),TODAY()&gt;N210),"超过收汇期限仍未销售","尚未销售"),IF(ROUND(M210,2)&gt;=ROUND(L210,2),"已售部分已收汇",IF(AND(ISNUMBER(N210),TODAY()&gt;N210),"超期未收汇","有回款待收汇"))))</f>
        <v/>
      </c>
      <c r="P210" s="34" t="str">
        <f aca="false">IF($A210="","",SUMIFS(④退税核算!$H$4:$H$303,④退税核算!$A$4:$A$303,$A210))</f>
        <v/>
      </c>
      <c r="Q210" s="34" t="str">
        <f aca="false">IF($A210="","",SUMIFS(④退税核算!$H$4:$H$303,④退税核算!$A$4:$A$303,$A210,④退税核算!$D$4:$D$303,"未售-海外仓预退（HWC-YT）"))</f>
        <v/>
      </c>
      <c r="R210" s="30" t="str">
        <f aca="false">IF($A210="","",IF(COUNTIFS(④退税核算!$A$4:$A$303,$A210,④退税核算!$D$4:$D$303,"未售-海外仓预退（HWC-YT）",④退税核算!$I$4:$I$303,"&gt;0")=0,"",_xlfn.MINIFS(④退税核算!$J$4:$J$303,④退税核算!$A$4:$A$303,$A210,④退税核算!$D$4:$D$303,"未售-海外仓预退（HWC-YT）")))</f>
        <v/>
      </c>
      <c r="S210" s="35" t="str">
        <f aca="false">IF($A210="","",IF(COUNTIFS(④退税核算!$A$4:$A$303,$A210,④退税核算!$D$4:$D$303,"未售-海外仓预退（HWC-YT）")=0,"不涉及",IF(COUNTIFS(④退税核算!$A$4:$A$303,$A210,④退税核算!$S$4:$S$303,"已逾期*")&gt;0,"已逾期",IF(COUNTIFS(④退税核算!$A$4:$A$303,$A210,④退税核算!$S$4:$S$303,"临近*")&gt;0,"临近截止",IF(COUNTIFS(④退税核算!$A$4:$A$303,$A210,④退税核算!$S$4:$S$303,"待*")&gt;0,"待核算","已核算")))))</f>
        <v/>
      </c>
      <c r="T210" s="35" t="str">
        <f aca="false">IF($A210="","",IFERROR(INDEX(⑥单证留存!$P$4:$P$203,MATCH(①出口报关!B207,⑥单证留存!$A$4:$A$203,0)),"未登记"))</f>
        <v/>
      </c>
      <c r="U210" s="36" t="str">
        <f aca="false">IF($A210="","",IF(IF(OR(O210="超期未收汇",O210="超过收汇期限仍未销售")," 收汇超期","")&amp;IF(S210="已逾期"," 核算逾期","")&amp;IF(S210="临近截止"," 核算临近截止","")&amp;IF(LEFT(T210,1)="缺"," 单证"&amp;T210,"")&amp;IF(T210="未登记"," 单证未登记","")&amp;IF(AND(ISNUMBER(G210),N(G210)&lt;&gt;0)," 入仓差异"&amp;G210,"")="","正常",SUBSTITUTE(TRIM(IF(OR(O210="超期未收汇",O210="超过收汇期限仍未销售")," 收汇超期","")&amp;IF(S210="已逾期"," 核算逾期","")&amp;IF(S210="临近截止"," 核算临近截止","")&amp;IF(LEFT(T210,1)="缺"," 单证"&amp;T210,"")&amp;IF(T210="未登记"," 单证未登记","")&amp;IF(AND(ISNUMBER(G210),N(G210)&lt;&gt;0)," 入仓差异"&amp;G210,""))," ","、")))</f>
        <v/>
      </c>
    </row>
    <row r="211" customFormat="false" ht="21.75" hidden="false" customHeight="true" outlineLevel="0" collapsed="false">
      <c r="A211" s="29" t="str">
        <f aca="false">IF(①出口报关!A208="","",①出口报关!A208)</f>
        <v/>
      </c>
      <c r="B211" s="29" t="str">
        <f aca="false">IF($A211="","",①出口报关!I208)</f>
        <v/>
      </c>
      <c r="C211" s="29" t="str">
        <f aca="false">IF($A211="","",①出口报关!J208)</f>
        <v/>
      </c>
      <c r="D211" s="30" t="str">
        <f aca="false">IF($A211="","",IF(①出口报关!D208="","",①出口报关!D208))</f>
        <v/>
      </c>
      <c r="E211" s="31" t="str">
        <f aca="false">IF($A211="","",N(①出口报关!L208))</f>
        <v/>
      </c>
      <c r="F211" s="31" t="str">
        <f aca="false">IF($A211="","",IF(①出口报关!Y208="","未签收",①出口报关!Y208))</f>
        <v/>
      </c>
      <c r="G211" s="32" t="str">
        <f aca="false">IF(OR($A211="",NOT(ISNUMBER(F211))),"",F211-E211)</f>
        <v/>
      </c>
      <c r="H211" s="31" t="str">
        <f aca="false">IF($A211="","",SUMIFS(②销售核销!$I$4:$I$603,②销售核销!$E$4:$E$603,$A211))</f>
        <v/>
      </c>
      <c r="I211" s="31" t="str">
        <f aca="false">IF($A211="","",SUMIFS(⑤库存异常!$E$4:$E$203,⑤库存异常!$B$4:$B$203,$A211))</f>
        <v/>
      </c>
      <c r="J211" s="31" t="str">
        <f aca="false">IF($A211="","",IF(ISNUMBER(F211),F211,E211)-H211-I211)</f>
        <v/>
      </c>
      <c r="K211" s="33" t="str">
        <f aca="false">IF(OR($A211="",N(E211)=0),"",H211/E211)</f>
        <v/>
      </c>
      <c r="L211" s="34" t="str">
        <f aca="false">IF($A211="","",SUMIFS(②销售核销!$L$4:$L$603,②销售核销!$E$4:$E$603,$A211))</f>
        <v/>
      </c>
      <c r="M211" s="34" t="str">
        <f aca="false">IF($A211="","",SUMIFS(②销售核销!$L$4:$L$603,②销售核销!$E$4:$E$603,$A211,②销售核销!$M$4:$M$603,"已收汇"))</f>
        <v/>
      </c>
      <c r="N211" s="30" t="str">
        <f aca="false">IF(ISNUMBER(D211),DATE(YEAR(D211)+1,4,30),"")</f>
        <v/>
      </c>
      <c r="O211" s="35" t="str">
        <f aca="true">IF($A211="","",IF(N(H211)=0,IF(AND(ISNUMBER(N211),TODAY()&gt;N211),"超过收汇期限仍未销售","尚未销售"),IF(ROUND(M211,2)&gt;=ROUND(L211,2),"已售部分已收汇",IF(AND(ISNUMBER(N211),TODAY()&gt;N211),"超期未收汇","有回款待收汇"))))</f>
        <v/>
      </c>
      <c r="P211" s="34" t="str">
        <f aca="false">IF($A211="","",SUMIFS(④退税核算!$H$4:$H$303,④退税核算!$A$4:$A$303,$A211))</f>
        <v/>
      </c>
      <c r="Q211" s="34" t="str">
        <f aca="false">IF($A211="","",SUMIFS(④退税核算!$H$4:$H$303,④退税核算!$A$4:$A$303,$A211,④退税核算!$D$4:$D$303,"未售-海外仓预退（HWC-YT）"))</f>
        <v/>
      </c>
      <c r="R211" s="30" t="str">
        <f aca="false">IF($A211="","",IF(COUNTIFS(④退税核算!$A$4:$A$303,$A211,④退税核算!$D$4:$D$303,"未售-海外仓预退（HWC-YT）",④退税核算!$I$4:$I$303,"&gt;0")=0,"",_xlfn.MINIFS(④退税核算!$J$4:$J$303,④退税核算!$A$4:$A$303,$A211,④退税核算!$D$4:$D$303,"未售-海外仓预退（HWC-YT）")))</f>
        <v/>
      </c>
      <c r="S211" s="35" t="str">
        <f aca="false">IF($A211="","",IF(COUNTIFS(④退税核算!$A$4:$A$303,$A211,④退税核算!$D$4:$D$303,"未售-海外仓预退（HWC-YT）")=0,"不涉及",IF(COUNTIFS(④退税核算!$A$4:$A$303,$A211,④退税核算!$S$4:$S$303,"已逾期*")&gt;0,"已逾期",IF(COUNTIFS(④退税核算!$A$4:$A$303,$A211,④退税核算!$S$4:$S$303,"临近*")&gt;0,"临近截止",IF(COUNTIFS(④退税核算!$A$4:$A$303,$A211,④退税核算!$S$4:$S$303,"待*")&gt;0,"待核算","已核算")))))</f>
        <v/>
      </c>
      <c r="T211" s="35" t="str">
        <f aca="false">IF($A211="","",IFERROR(INDEX(⑥单证留存!$P$4:$P$203,MATCH(①出口报关!B208,⑥单证留存!$A$4:$A$203,0)),"未登记"))</f>
        <v/>
      </c>
      <c r="U211" s="36" t="str">
        <f aca="false">IF($A211="","",IF(IF(OR(O211="超期未收汇",O211="超过收汇期限仍未销售")," 收汇超期","")&amp;IF(S211="已逾期"," 核算逾期","")&amp;IF(S211="临近截止"," 核算临近截止","")&amp;IF(LEFT(T211,1)="缺"," 单证"&amp;T211,"")&amp;IF(T211="未登记"," 单证未登记","")&amp;IF(AND(ISNUMBER(G211),N(G211)&lt;&gt;0)," 入仓差异"&amp;G211,"")="","正常",SUBSTITUTE(TRIM(IF(OR(O211="超期未收汇",O211="超过收汇期限仍未销售")," 收汇超期","")&amp;IF(S211="已逾期"," 核算逾期","")&amp;IF(S211="临近截止"," 核算临近截止","")&amp;IF(LEFT(T211,1)="缺"," 单证"&amp;T211,"")&amp;IF(T211="未登记"," 单证未登记","")&amp;IF(AND(ISNUMBER(G211),N(G211)&lt;&gt;0)," 入仓差异"&amp;G211,""))," ","、")))</f>
        <v/>
      </c>
    </row>
    <row r="212" customFormat="false" ht="21.75" hidden="false" customHeight="true" outlineLevel="0" collapsed="false">
      <c r="A212" s="29" t="str">
        <f aca="false">IF(①出口报关!A209="","",①出口报关!A209)</f>
        <v/>
      </c>
      <c r="B212" s="29" t="str">
        <f aca="false">IF($A212="","",①出口报关!I209)</f>
        <v/>
      </c>
      <c r="C212" s="29" t="str">
        <f aca="false">IF($A212="","",①出口报关!J209)</f>
        <v/>
      </c>
      <c r="D212" s="30" t="str">
        <f aca="false">IF($A212="","",IF(①出口报关!D209="","",①出口报关!D209))</f>
        <v/>
      </c>
      <c r="E212" s="31" t="str">
        <f aca="false">IF($A212="","",N(①出口报关!L209))</f>
        <v/>
      </c>
      <c r="F212" s="31" t="str">
        <f aca="false">IF($A212="","",IF(①出口报关!Y209="","未签收",①出口报关!Y209))</f>
        <v/>
      </c>
      <c r="G212" s="32" t="str">
        <f aca="false">IF(OR($A212="",NOT(ISNUMBER(F212))),"",F212-E212)</f>
        <v/>
      </c>
      <c r="H212" s="31" t="str">
        <f aca="false">IF($A212="","",SUMIFS(②销售核销!$I$4:$I$603,②销售核销!$E$4:$E$603,$A212))</f>
        <v/>
      </c>
      <c r="I212" s="31" t="str">
        <f aca="false">IF($A212="","",SUMIFS(⑤库存异常!$E$4:$E$203,⑤库存异常!$B$4:$B$203,$A212))</f>
        <v/>
      </c>
      <c r="J212" s="31" t="str">
        <f aca="false">IF($A212="","",IF(ISNUMBER(F212),F212,E212)-H212-I212)</f>
        <v/>
      </c>
      <c r="K212" s="33" t="str">
        <f aca="false">IF(OR($A212="",N(E212)=0),"",H212/E212)</f>
        <v/>
      </c>
      <c r="L212" s="34" t="str">
        <f aca="false">IF($A212="","",SUMIFS(②销售核销!$L$4:$L$603,②销售核销!$E$4:$E$603,$A212))</f>
        <v/>
      </c>
      <c r="M212" s="34" t="str">
        <f aca="false">IF($A212="","",SUMIFS(②销售核销!$L$4:$L$603,②销售核销!$E$4:$E$603,$A212,②销售核销!$M$4:$M$603,"已收汇"))</f>
        <v/>
      </c>
      <c r="N212" s="30" t="str">
        <f aca="false">IF(ISNUMBER(D212),DATE(YEAR(D212)+1,4,30),"")</f>
        <v/>
      </c>
      <c r="O212" s="35" t="str">
        <f aca="true">IF($A212="","",IF(N(H212)=0,IF(AND(ISNUMBER(N212),TODAY()&gt;N212),"超过收汇期限仍未销售","尚未销售"),IF(ROUND(M212,2)&gt;=ROUND(L212,2),"已售部分已收汇",IF(AND(ISNUMBER(N212),TODAY()&gt;N212),"超期未收汇","有回款待收汇"))))</f>
        <v/>
      </c>
      <c r="P212" s="34" t="str">
        <f aca="false">IF($A212="","",SUMIFS(④退税核算!$H$4:$H$303,④退税核算!$A$4:$A$303,$A212))</f>
        <v/>
      </c>
      <c r="Q212" s="34" t="str">
        <f aca="false">IF($A212="","",SUMIFS(④退税核算!$H$4:$H$303,④退税核算!$A$4:$A$303,$A212,④退税核算!$D$4:$D$303,"未售-海外仓预退（HWC-YT）"))</f>
        <v/>
      </c>
      <c r="R212" s="30" t="str">
        <f aca="false">IF($A212="","",IF(COUNTIFS(④退税核算!$A$4:$A$303,$A212,④退税核算!$D$4:$D$303,"未售-海外仓预退（HWC-YT）",④退税核算!$I$4:$I$303,"&gt;0")=0,"",_xlfn.MINIFS(④退税核算!$J$4:$J$303,④退税核算!$A$4:$A$303,$A212,④退税核算!$D$4:$D$303,"未售-海外仓预退（HWC-YT）")))</f>
        <v/>
      </c>
      <c r="S212" s="35" t="str">
        <f aca="false">IF($A212="","",IF(COUNTIFS(④退税核算!$A$4:$A$303,$A212,④退税核算!$D$4:$D$303,"未售-海外仓预退（HWC-YT）")=0,"不涉及",IF(COUNTIFS(④退税核算!$A$4:$A$303,$A212,④退税核算!$S$4:$S$303,"已逾期*")&gt;0,"已逾期",IF(COUNTIFS(④退税核算!$A$4:$A$303,$A212,④退税核算!$S$4:$S$303,"临近*")&gt;0,"临近截止",IF(COUNTIFS(④退税核算!$A$4:$A$303,$A212,④退税核算!$S$4:$S$303,"待*")&gt;0,"待核算","已核算")))))</f>
        <v/>
      </c>
      <c r="T212" s="35" t="str">
        <f aca="false">IF($A212="","",IFERROR(INDEX(⑥单证留存!$P$4:$P$203,MATCH(①出口报关!B209,⑥单证留存!$A$4:$A$203,0)),"未登记"))</f>
        <v/>
      </c>
      <c r="U212" s="36" t="str">
        <f aca="false">IF($A212="","",IF(IF(OR(O212="超期未收汇",O212="超过收汇期限仍未销售")," 收汇超期","")&amp;IF(S212="已逾期"," 核算逾期","")&amp;IF(S212="临近截止"," 核算临近截止","")&amp;IF(LEFT(T212,1)="缺"," 单证"&amp;T212,"")&amp;IF(T212="未登记"," 单证未登记","")&amp;IF(AND(ISNUMBER(G212),N(G212)&lt;&gt;0)," 入仓差异"&amp;G212,"")="","正常",SUBSTITUTE(TRIM(IF(OR(O212="超期未收汇",O212="超过收汇期限仍未销售")," 收汇超期","")&amp;IF(S212="已逾期"," 核算逾期","")&amp;IF(S212="临近截止"," 核算临近截止","")&amp;IF(LEFT(T212,1)="缺"," 单证"&amp;T212,"")&amp;IF(T212="未登记"," 单证未登记","")&amp;IF(AND(ISNUMBER(G212),N(G212)&lt;&gt;0)," 入仓差异"&amp;G212,""))," ","、")))</f>
        <v/>
      </c>
    </row>
    <row r="213" customFormat="false" ht="21.75" hidden="false" customHeight="true" outlineLevel="0" collapsed="false">
      <c r="A213" s="29" t="str">
        <f aca="false">IF(①出口报关!A210="","",①出口报关!A210)</f>
        <v/>
      </c>
      <c r="B213" s="29" t="str">
        <f aca="false">IF($A213="","",①出口报关!I210)</f>
        <v/>
      </c>
      <c r="C213" s="29" t="str">
        <f aca="false">IF($A213="","",①出口报关!J210)</f>
        <v/>
      </c>
      <c r="D213" s="30" t="str">
        <f aca="false">IF($A213="","",IF(①出口报关!D210="","",①出口报关!D210))</f>
        <v/>
      </c>
      <c r="E213" s="31" t="str">
        <f aca="false">IF($A213="","",N(①出口报关!L210))</f>
        <v/>
      </c>
      <c r="F213" s="31" t="str">
        <f aca="false">IF($A213="","",IF(①出口报关!Y210="","未签收",①出口报关!Y210))</f>
        <v/>
      </c>
      <c r="G213" s="32" t="str">
        <f aca="false">IF(OR($A213="",NOT(ISNUMBER(F213))),"",F213-E213)</f>
        <v/>
      </c>
      <c r="H213" s="31" t="str">
        <f aca="false">IF($A213="","",SUMIFS(②销售核销!$I$4:$I$603,②销售核销!$E$4:$E$603,$A213))</f>
        <v/>
      </c>
      <c r="I213" s="31" t="str">
        <f aca="false">IF($A213="","",SUMIFS(⑤库存异常!$E$4:$E$203,⑤库存异常!$B$4:$B$203,$A213))</f>
        <v/>
      </c>
      <c r="J213" s="31" t="str">
        <f aca="false">IF($A213="","",IF(ISNUMBER(F213),F213,E213)-H213-I213)</f>
        <v/>
      </c>
      <c r="K213" s="33" t="str">
        <f aca="false">IF(OR($A213="",N(E213)=0),"",H213/E213)</f>
        <v/>
      </c>
      <c r="L213" s="34" t="str">
        <f aca="false">IF($A213="","",SUMIFS(②销售核销!$L$4:$L$603,②销售核销!$E$4:$E$603,$A213))</f>
        <v/>
      </c>
      <c r="M213" s="34" t="str">
        <f aca="false">IF($A213="","",SUMIFS(②销售核销!$L$4:$L$603,②销售核销!$E$4:$E$603,$A213,②销售核销!$M$4:$M$603,"已收汇"))</f>
        <v/>
      </c>
      <c r="N213" s="30" t="str">
        <f aca="false">IF(ISNUMBER(D213),DATE(YEAR(D213)+1,4,30),"")</f>
        <v/>
      </c>
      <c r="O213" s="35" t="str">
        <f aca="true">IF($A213="","",IF(N(H213)=0,IF(AND(ISNUMBER(N213),TODAY()&gt;N213),"超过收汇期限仍未销售","尚未销售"),IF(ROUND(M213,2)&gt;=ROUND(L213,2),"已售部分已收汇",IF(AND(ISNUMBER(N213),TODAY()&gt;N213),"超期未收汇","有回款待收汇"))))</f>
        <v/>
      </c>
      <c r="P213" s="34" t="str">
        <f aca="false">IF($A213="","",SUMIFS(④退税核算!$H$4:$H$303,④退税核算!$A$4:$A$303,$A213))</f>
        <v/>
      </c>
      <c r="Q213" s="34" t="str">
        <f aca="false">IF($A213="","",SUMIFS(④退税核算!$H$4:$H$303,④退税核算!$A$4:$A$303,$A213,④退税核算!$D$4:$D$303,"未售-海外仓预退（HWC-YT）"))</f>
        <v/>
      </c>
      <c r="R213" s="30" t="str">
        <f aca="false">IF($A213="","",IF(COUNTIFS(④退税核算!$A$4:$A$303,$A213,④退税核算!$D$4:$D$303,"未售-海外仓预退（HWC-YT）",④退税核算!$I$4:$I$303,"&gt;0")=0,"",_xlfn.MINIFS(④退税核算!$J$4:$J$303,④退税核算!$A$4:$A$303,$A213,④退税核算!$D$4:$D$303,"未售-海外仓预退（HWC-YT）")))</f>
        <v/>
      </c>
      <c r="S213" s="35" t="str">
        <f aca="false">IF($A213="","",IF(COUNTIFS(④退税核算!$A$4:$A$303,$A213,④退税核算!$D$4:$D$303,"未售-海外仓预退（HWC-YT）")=0,"不涉及",IF(COUNTIFS(④退税核算!$A$4:$A$303,$A213,④退税核算!$S$4:$S$303,"已逾期*")&gt;0,"已逾期",IF(COUNTIFS(④退税核算!$A$4:$A$303,$A213,④退税核算!$S$4:$S$303,"临近*")&gt;0,"临近截止",IF(COUNTIFS(④退税核算!$A$4:$A$303,$A213,④退税核算!$S$4:$S$303,"待*")&gt;0,"待核算","已核算")))))</f>
        <v/>
      </c>
      <c r="T213" s="35" t="str">
        <f aca="false">IF($A213="","",IFERROR(INDEX(⑥单证留存!$P$4:$P$203,MATCH(①出口报关!B210,⑥单证留存!$A$4:$A$203,0)),"未登记"))</f>
        <v/>
      </c>
      <c r="U213" s="36" t="str">
        <f aca="false">IF($A213="","",IF(IF(OR(O213="超期未收汇",O213="超过收汇期限仍未销售")," 收汇超期","")&amp;IF(S213="已逾期"," 核算逾期","")&amp;IF(S213="临近截止"," 核算临近截止","")&amp;IF(LEFT(T213,1)="缺"," 单证"&amp;T213,"")&amp;IF(T213="未登记"," 单证未登记","")&amp;IF(AND(ISNUMBER(G213),N(G213)&lt;&gt;0)," 入仓差异"&amp;G213,"")="","正常",SUBSTITUTE(TRIM(IF(OR(O213="超期未收汇",O213="超过收汇期限仍未销售")," 收汇超期","")&amp;IF(S213="已逾期"," 核算逾期","")&amp;IF(S213="临近截止"," 核算临近截止","")&amp;IF(LEFT(T213,1)="缺"," 单证"&amp;T213,"")&amp;IF(T213="未登记"," 单证未登记","")&amp;IF(AND(ISNUMBER(G213),N(G213)&lt;&gt;0)," 入仓差异"&amp;G213,""))," ","、")))</f>
        <v/>
      </c>
    </row>
    <row r="214" customFormat="false" ht="21.75" hidden="false" customHeight="true" outlineLevel="0" collapsed="false">
      <c r="A214" s="29" t="str">
        <f aca="false">IF(①出口报关!A211="","",①出口报关!A211)</f>
        <v/>
      </c>
      <c r="B214" s="29" t="str">
        <f aca="false">IF($A214="","",①出口报关!I211)</f>
        <v/>
      </c>
      <c r="C214" s="29" t="str">
        <f aca="false">IF($A214="","",①出口报关!J211)</f>
        <v/>
      </c>
      <c r="D214" s="30" t="str">
        <f aca="false">IF($A214="","",IF(①出口报关!D211="","",①出口报关!D211))</f>
        <v/>
      </c>
      <c r="E214" s="31" t="str">
        <f aca="false">IF($A214="","",N(①出口报关!L211))</f>
        <v/>
      </c>
      <c r="F214" s="31" t="str">
        <f aca="false">IF($A214="","",IF(①出口报关!Y211="","未签收",①出口报关!Y211))</f>
        <v/>
      </c>
      <c r="G214" s="32" t="str">
        <f aca="false">IF(OR($A214="",NOT(ISNUMBER(F214))),"",F214-E214)</f>
        <v/>
      </c>
      <c r="H214" s="31" t="str">
        <f aca="false">IF($A214="","",SUMIFS(②销售核销!$I$4:$I$603,②销售核销!$E$4:$E$603,$A214))</f>
        <v/>
      </c>
      <c r="I214" s="31" t="str">
        <f aca="false">IF($A214="","",SUMIFS(⑤库存异常!$E$4:$E$203,⑤库存异常!$B$4:$B$203,$A214))</f>
        <v/>
      </c>
      <c r="J214" s="31" t="str">
        <f aca="false">IF($A214="","",IF(ISNUMBER(F214),F214,E214)-H214-I214)</f>
        <v/>
      </c>
      <c r="K214" s="33" t="str">
        <f aca="false">IF(OR($A214="",N(E214)=0),"",H214/E214)</f>
        <v/>
      </c>
      <c r="L214" s="34" t="str">
        <f aca="false">IF($A214="","",SUMIFS(②销售核销!$L$4:$L$603,②销售核销!$E$4:$E$603,$A214))</f>
        <v/>
      </c>
      <c r="M214" s="34" t="str">
        <f aca="false">IF($A214="","",SUMIFS(②销售核销!$L$4:$L$603,②销售核销!$E$4:$E$603,$A214,②销售核销!$M$4:$M$603,"已收汇"))</f>
        <v/>
      </c>
      <c r="N214" s="30" t="str">
        <f aca="false">IF(ISNUMBER(D214),DATE(YEAR(D214)+1,4,30),"")</f>
        <v/>
      </c>
      <c r="O214" s="35" t="str">
        <f aca="true">IF($A214="","",IF(N(H214)=0,IF(AND(ISNUMBER(N214),TODAY()&gt;N214),"超过收汇期限仍未销售","尚未销售"),IF(ROUND(M214,2)&gt;=ROUND(L214,2),"已售部分已收汇",IF(AND(ISNUMBER(N214),TODAY()&gt;N214),"超期未收汇","有回款待收汇"))))</f>
        <v/>
      </c>
      <c r="P214" s="34" t="str">
        <f aca="false">IF($A214="","",SUMIFS(④退税核算!$H$4:$H$303,④退税核算!$A$4:$A$303,$A214))</f>
        <v/>
      </c>
      <c r="Q214" s="34" t="str">
        <f aca="false">IF($A214="","",SUMIFS(④退税核算!$H$4:$H$303,④退税核算!$A$4:$A$303,$A214,④退税核算!$D$4:$D$303,"未售-海外仓预退（HWC-YT）"))</f>
        <v/>
      </c>
      <c r="R214" s="30" t="str">
        <f aca="false">IF($A214="","",IF(COUNTIFS(④退税核算!$A$4:$A$303,$A214,④退税核算!$D$4:$D$303,"未售-海外仓预退（HWC-YT）",④退税核算!$I$4:$I$303,"&gt;0")=0,"",_xlfn.MINIFS(④退税核算!$J$4:$J$303,④退税核算!$A$4:$A$303,$A214,④退税核算!$D$4:$D$303,"未售-海外仓预退（HWC-YT）")))</f>
        <v/>
      </c>
      <c r="S214" s="35" t="str">
        <f aca="false">IF($A214="","",IF(COUNTIFS(④退税核算!$A$4:$A$303,$A214,④退税核算!$D$4:$D$303,"未售-海外仓预退（HWC-YT）")=0,"不涉及",IF(COUNTIFS(④退税核算!$A$4:$A$303,$A214,④退税核算!$S$4:$S$303,"已逾期*")&gt;0,"已逾期",IF(COUNTIFS(④退税核算!$A$4:$A$303,$A214,④退税核算!$S$4:$S$303,"临近*")&gt;0,"临近截止",IF(COUNTIFS(④退税核算!$A$4:$A$303,$A214,④退税核算!$S$4:$S$303,"待*")&gt;0,"待核算","已核算")))))</f>
        <v/>
      </c>
      <c r="T214" s="35" t="str">
        <f aca="false">IF($A214="","",IFERROR(INDEX(⑥单证留存!$P$4:$P$203,MATCH(①出口报关!B211,⑥单证留存!$A$4:$A$203,0)),"未登记"))</f>
        <v/>
      </c>
      <c r="U214" s="36" t="str">
        <f aca="false">IF($A214="","",IF(IF(OR(O214="超期未收汇",O214="超过收汇期限仍未销售")," 收汇超期","")&amp;IF(S214="已逾期"," 核算逾期","")&amp;IF(S214="临近截止"," 核算临近截止","")&amp;IF(LEFT(T214,1)="缺"," 单证"&amp;T214,"")&amp;IF(T214="未登记"," 单证未登记","")&amp;IF(AND(ISNUMBER(G214),N(G214)&lt;&gt;0)," 入仓差异"&amp;G214,"")="","正常",SUBSTITUTE(TRIM(IF(OR(O214="超期未收汇",O214="超过收汇期限仍未销售")," 收汇超期","")&amp;IF(S214="已逾期"," 核算逾期","")&amp;IF(S214="临近截止"," 核算临近截止","")&amp;IF(LEFT(T214,1)="缺"," 单证"&amp;T214,"")&amp;IF(T214="未登记"," 单证未登记","")&amp;IF(AND(ISNUMBER(G214),N(G214)&lt;&gt;0)," 入仓差异"&amp;G214,""))," ","、")))</f>
        <v/>
      </c>
    </row>
    <row r="215" customFormat="false" ht="21.75" hidden="false" customHeight="true" outlineLevel="0" collapsed="false">
      <c r="A215" s="29" t="str">
        <f aca="false">IF(①出口报关!A212="","",①出口报关!A212)</f>
        <v/>
      </c>
      <c r="B215" s="29" t="str">
        <f aca="false">IF($A215="","",①出口报关!I212)</f>
        <v/>
      </c>
      <c r="C215" s="29" t="str">
        <f aca="false">IF($A215="","",①出口报关!J212)</f>
        <v/>
      </c>
      <c r="D215" s="30" t="str">
        <f aca="false">IF($A215="","",IF(①出口报关!D212="","",①出口报关!D212))</f>
        <v/>
      </c>
      <c r="E215" s="31" t="str">
        <f aca="false">IF($A215="","",N(①出口报关!L212))</f>
        <v/>
      </c>
      <c r="F215" s="31" t="str">
        <f aca="false">IF($A215="","",IF(①出口报关!Y212="","未签收",①出口报关!Y212))</f>
        <v/>
      </c>
      <c r="G215" s="32" t="str">
        <f aca="false">IF(OR($A215="",NOT(ISNUMBER(F215))),"",F215-E215)</f>
        <v/>
      </c>
      <c r="H215" s="31" t="str">
        <f aca="false">IF($A215="","",SUMIFS(②销售核销!$I$4:$I$603,②销售核销!$E$4:$E$603,$A215))</f>
        <v/>
      </c>
      <c r="I215" s="31" t="str">
        <f aca="false">IF($A215="","",SUMIFS(⑤库存异常!$E$4:$E$203,⑤库存异常!$B$4:$B$203,$A215))</f>
        <v/>
      </c>
      <c r="J215" s="31" t="str">
        <f aca="false">IF($A215="","",IF(ISNUMBER(F215),F215,E215)-H215-I215)</f>
        <v/>
      </c>
      <c r="K215" s="33" t="str">
        <f aca="false">IF(OR($A215="",N(E215)=0),"",H215/E215)</f>
        <v/>
      </c>
      <c r="L215" s="34" t="str">
        <f aca="false">IF($A215="","",SUMIFS(②销售核销!$L$4:$L$603,②销售核销!$E$4:$E$603,$A215))</f>
        <v/>
      </c>
      <c r="M215" s="34" t="str">
        <f aca="false">IF($A215="","",SUMIFS(②销售核销!$L$4:$L$603,②销售核销!$E$4:$E$603,$A215,②销售核销!$M$4:$M$603,"已收汇"))</f>
        <v/>
      </c>
      <c r="N215" s="30" t="str">
        <f aca="false">IF(ISNUMBER(D215),DATE(YEAR(D215)+1,4,30),"")</f>
        <v/>
      </c>
      <c r="O215" s="35" t="str">
        <f aca="true">IF($A215="","",IF(N(H215)=0,IF(AND(ISNUMBER(N215),TODAY()&gt;N215),"超过收汇期限仍未销售","尚未销售"),IF(ROUND(M215,2)&gt;=ROUND(L215,2),"已售部分已收汇",IF(AND(ISNUMBER(N215),TODAY()&gt;N215),"超期未收汇","有回款待收汇"))))</f>
        <v/>
      </c>
      <c r="P215" s="34" t="str">
        <f aca="false">IF($A215="","",SUMIFS(④退税核算!$H$4:$H$303,④退税核算!$A$4:$A$303,$A215))</f>
        <v/>
      </c>
      <c r="Q215" s="34" t="str">
        <f aca="false">IF($A215="","",SUMIFS(④退税核算!$H$4:$H$303,④退税核算!$A$4:$A$303,$A215,④退税核算!$D$4:$D$303,"未售-海外仓预退（HWC-YT）"))</f>
        <v/>
      </c>
      <c r="R215" s="30" t="str">
        <f aca="false">IF($A215="","",IF(COUNTIFS(④退税核算!$A$4:$A$303,$A215,④退税核算!$D$4:$D$303,"未售-海外仓预退（HWC-YT）",④退税核算!$I$4:$I$303,"&gt;0")=0,"",_xlfn.MINIFS(④退税核算!$J$4:$J$303,④退税核算!$A$4:$A$303,$A215,④退税核算!$D$4:$D$303,"未售-海外仓预退（HWC-YT）")))</f>
        <v/>
      </c>
      <c r="S215" s="35" t="str">
        <f aca="false">IF($A215="","",IF(COUNTIFS(④退税核算!$A$4:$A$303,$A215,④退税核算!$D$4:$D$303,"未售-海外仓预退（HWC-YT）")=0,"不涉及",IF(COUNTIFS(④退税核算!$A$4:$A$303,$A215,④退税核算!$S$4:$S$303,"已逾期*")&gt;0,"已逾期",IF(COUNTIFS(④退税核算!$A$4:$A$303,$A215,④退税核算!$S$4:$S$303,"临近*")&gt;0,"临近截止",IF(COUNTIFS(④退税核算!$A$4:$A$303,$A215,④退税核算!$S$4:$S$303,"待*")&gt;0,"待核算","已核算")))))</f>
        <v/>
      </c>
      <c r="T215" s="35" t="str">
        <f aca="false">IF($A215="","",IFERROR(INDEX(⑥单证留存!$P$4:$P$203,MATCH(①出口报关!B212,⑥单证留存!$A$4:$A$203,0)),"未登记"))</f>
        <v/>
      </c>
      <c r="U215" s="36" t="str">
        <f aca="false">IF($A215="","",IF(IF(OR(O215="超期未收汇",O215="超过收汇期限仍未销售")," 收汇超期","")&amp;IF(S215="已逾期"," 核算逾期","")&amp;IF(S215="临近截止"," 核算临近截止","")&amp;IF(LEFT(T215,1)="缺"," 单证"&amp;T215,"")&amp;IF(T215="未登记"," 单证未登记","")&amp;IF(AND(ISNUMBER(G215),N(G215)&lt;&gt;0)," 入仓差异"&amp;G215,"")="","正常",SUBSTITUTE(TRIM(IF(OR(O215="超期未收汇",O215="超过收汇期限仍未销售")," 收汇超期","")&amp;IF(S215="已逾期"," 核算逾期","")&amp;IF(S215="临近截止"," 核算临近截止","")&amp;IF(LEFT(T215,1)="缺"," 单证"&amp;T215,"")&amp;IF(T215="未登记"," 单证未登记","")&amp;IF(AND(ISNUMBER(G215),N(G215)&lt;&gt;0)," 入仓差异"&amp;G215,""))," ","、")))</f>
        <v/>
      </c>
    </row>
    <row r="216" customFormat="false" ht="21.75" hidden="false" customHeight="true" outlineLevel="0" collapsed="false">
      <c r="A216" s="29" t="str">
        <f aca="false">IF(①出口报关!A213="","",①出口报关!A213)</f>
        <v/>
      </c>
      <c r="B216" s="29" t="str">
        <f aca="false">IF($A216="","",①出口报关!I213)</f>
        <v/>
      </c>
      <c r="C216" s="29" t="str">
        <f aca="false">IF($A216="","",①出口报关!J213)</f>
        <v/>
      </c>
      <c r="D216" s="30" t="str">
        <f aca="false">IF($A216="","",IF(①出口报关!D213="","",①出口报关!D213))</f>
        <v/>
      </c>
      <c r="E216" s="31" t="str">
        <f aca="false">IF($A216="","",N(①出口报关!L213))</f>
        <v/>
      </c>
      <c r="F216" s="31" t="str">
        <f aca="false">IF($A216="","",IF(①出口报关!Y213="","未签收",①出口报关!Y213))</f>
        <v/>
      </c>
      <c r="G216" s="32" t="str">
        <f aca="false">IF(OR($A216="",NOT(ISNUMBER(F216))),"",F216-E216)</f>
        <v/>
      </c>
      <c r="H216" s="31" t="str">
        <f aca="false">IF($A216="","",SUMIFS(②销售核销!$I$4:$I$603,②销售核销!$E$4:$E$603,$A216))</f>
        <v/>
      </c>
      <c r="I216" s="31" t="str">
        <f aca="false">IF($A216="","",SUMIFS(⑤库存异常!$E$4:$E$203,⑤库存异常!$B$4:$B$203,$A216))</f>
        <v/>
      </c>
      <c r="J216" s="31" t="str">
        <f aca="false">IF($A216="","",IF(ISNUMBER(F216),F216,E216)-H216-I216)</f>
        <v/>
      </c>
      <c r="K216" s="33" t="str">
        <f aca="false">IF(OR($A216="",N(E216)=0),"",H216/E216)</f>
        <v/>
      </c>
      <c r="L216" s="34" t="str">
        <f aca="false">IF($A216="","",SUMIFS(②销售核销!$L$4:$L$603,②销售核销!$E$4:$E$603,$A216))</f>
        <v/>
      </c>
      <c r="M216" s="34" t="str">
        <f aca="false">IF($A216="","",SUMIFS(②销售核销!$L$4:$L$603,②销售核销!$E$4:$E$603,$A216,②销售核销!$M$4:$M$603,"已收汇"))</f>
        <v/>
      </c>
      <c r="N216" s="30" t="str">
        <f aca="false">IF(ISNUMBER(D216),DATE(YEAR(D216)+1,4,30),"")</f>
        <v/>
      </c>
      <c r="O216" s="35" t="str">
        <f aca="true">IF($A216="","",IF(N(H216)=0,IF(AND(ISNUMBER(N216),TODAY()&gt;N216),"超过收汇期限仍未销售","尚未销售"),IF(ROUND(M216,2)&gt;=ROUND(L216,2),"已售部分已收汇",IF(AND(ISNUMBER(N216),TODAY()&gt;N216),"超期未收汇","有回款待收汇"))))</f>
        <v/>
      </c>
      <c r="P216" s="34" t="str">
        <f aca="false">IF($A216="","",SUMIFS(④退税核算!$H$4:$H$303,④退税核算!$A$4:$A$303,$A216))</f>
        <v/>
      </c>
      <c r="Q216" s="34" t="str">
        <f aca="false">IF($A216="","",SUMIFS(④退税核算!$H$4:$H$303,④退税核算!$A$4:$A$303,$A216,④退税核算!$D$4:$D$303,"未售-海外仓预退（HWC-YT）"))</f>
        <v/>
      </c>
      <c r="R216" s="30" t="str">
        <f aca="false">IF($A216="","",IF(COUNTIFS(④退税核算!$A$4:$A$303,$A216,④退税核算!$D$4:$D$303,"未售-海外仓预退（HWC-YT）",④退税核算!$I$4:$I$303,"&gt;0")=0,"",_xlfn.MINIFS(④退税核算!$J$4:$J$303,④退税核算!$A$4:$A$303,$A216,④退税核算!$D$4:$D$303,"未售-海外仓预退（HWC-YT）")))</f>
        <v/>
      </c>
      <c r="S216" s="35" t="str">
        <f aca="false">IF($A216="","",IF(COUNTIFS(④退税核算!$A$4:$A$303,$A216,④退税核算!$D$4:$D$303,"未售-海外仓预退（HWC-YT）")=0,"不涉及",IF(COUNTIFS(④退税核算!$A$4:$A$303,$A216,④退税核算!$S$4:$S$303,"已逾期*")&gt;0,"已逾期",IF(COUNTIFS(④退税核算!$A$4:$A$303,$A216,④退税核算!$S$4:$S$303,"临近*")&gt;0,"临近截止",IF(COUNTIFS(④退税核算!$A$4:$A$303,$A216,④退税核算!$S$4:$S$303,"待*")&gt;0,"待核算","已核算")))))</f>
        <v/>
      </c>
      <c r="T216" s="35" t="str">
        <f aca="false">IF($A216="","",IFERROR(INDEX(⑥单证留存!$P$4:$P$203,MATCH(①出口报关!B213,⑥单证留存!$A$4:$A$203,0)),"未登记"))</f>
        <v/>
      </c>
      <c r="U216" s="36" t="str">
        <f aca="false">IF($A216="","",IF(IF(OR(O216="超期未收汇",O216="超过收汇期限仍未销售")," 收汇超期","")&amp;IF(S216="已逾期"," 核算逾期","")&amp;IF(S216="临近截止"," 核算临近截止","")&amp;IF(LEFT(T216,1)="缺"," 单证"&amp;T216,"")&amp;IF(T216="未登记"," 单证未登记","")&amp;IF(AND(ISNUMBER(G216),N(G216)&lt;&gt;0)," 入仓差异"&amp;G216,"")="","正常",SUBSTITUTE(TRIM(IF(OR(O216="超期未收汇",O216="超过收汇期限仍未销售")," 收汇超期","")&amp;IF(S216="已逾期"," 核算逾期","")&amp;IF(S216="临近截止"," 核算临近截止","")&amp;IF(LEFT(T216,1)="缺"," 单证"&amp;T216,"")&amp;IF(T216="未登记"," 单证未登记","")&amp;IF(AND(ISNUMBER(G216),N(G216)&lt;&gt;0)," 入仓差异"&amp;G216,""))," ","、")))</f>
        <v/>
      </c>
    </row>
    <row r="217" customFormat="false" ht="21.75" hidden="false" customHeight="true" outlineLevel="0" collapsed="false">
      <c r="A217" s="29" t="str">
        <f aca="false">IF(①出口报关!A214="","",①出口报关!A214)</f>
        <v/>
      </c>
      <c r="B217" s="29" t="str">
        <f aca="false">IF($A217="","",①出口报关!I214)</f>
        <v/>
      </c>
      <c r="C217" s="29" t="str">
        <f aca="false">IF($A217="","",①出口报关!J214)</f>
        <v/>
      </c>
      <c r="D217" s="30" t="str">
        <f aca="false">IF($A217="","",IF(①出口报关!D214="","",①出口报关!D214))</f>
        <v/>
      </c>
      <c r="E217" s="31" t="str">
        <f aca="false">IF($A217="","",N(①出口报关!L214))</f>
        <v/>
      </c>
      <c r="F217" s="31" t="str">
        <f aca="false">IF($A217="","",IF(①出口报关!Y214="","未签收",①出口报关!Y214))</f>
        <v/>
      </c>
      <c r="G217" s="32" t="str">
        <f aca="false">IF(OR($A217="",NOT(ISNUMBER(F217))),"",F217-E217)</f>
        <v/>
      </c>
      <c r="H217" s="31" t="str">
        <f aca="false">IF($A217="","",SUMIFS(②销售核销!$I$4:$I$603,②销售核销!$E$4:$E$603,$A217))</f>
        <v/>
      </c>
      <c r="I217" s="31" t="str">
        <f aca="false">IF($A217="","",SUMIFS(⑤库存异常!$E$4:$E$203,⑤库存异常!$B$4:$B$203,$A217))</f>
        <v/>
      </c>
      <c r="J217" s="31" t="str">
        <f aca="false">IF($A217="","",IF(ISNUMBER(F217),F217,E217)-H217-I217)</f>
        <v/>
      </c>
      <c r="K217" s="33" t="str">
        <f aca="false">IF(OR($A217="",N(E217)=0),"",H217/E217)</f>
        <v/>
      </c>
      <c r="L217" s="34" t="str">
        <f aca="false">IF($A217="","",SUMIFS(②销售核销!$L$4:$L$603,②销售核销!$E$4:$E$603,$A217))</f>
        <v/>
      </c>
      <c r="M217" s="34" t="str">
        <f aca="false">IF($A217="","",SUMIFS(②销售核销!$L$4:$L$603,②销售核销!$E$4:$E$603,$A217,②销售核销!$M$4:$M$603,"已收汇"))</f>
        <v/>
      </c>
      <c r="N217" s="30" t="str">
        <f aca="false">IF(ISNUMBER(D217),DATE(YEAR(D217)+1,4,30),"")</f>
        <v/>
      </c>
      <c r="O217" s="35" t="str">
        <f aca="true">IF($A217="","",IF(N(H217)=0,IF(AND(ISNUMBER(N217),TODAY()&gt;N217),"超过收汇期限仍未销售","尚未销售"),IF(ROUND(M217,2)&gt;=ROUND(L217,2),"已售部分已收汇",IF(AND(ISNUMBER(N217),TODAY()&gt;N217),"超期未收汇","有回款待收汇"))))</f>
        <v/>
      </c>
      <c r="P217" s="34" t="str">
        <f aca="false">IF($A217="","",SUMIFS(④退税核算!$H$4:$H$303,④退税核算!$A$4:$A$303,$A217))</f>
        <v/>
      </c>
      <c r="Q217" s="34" t="str">
        <f aca="false">IF($A217="","",SUMIFS(④退税核算!$H$4:$H$303,④退税核算!$A$4:$A$303,$A217,④退税核算!$D$4:$D$303,"未售-海外仓预退（HWC-YT）"))</f>
        <v/>
      </c>
      <c r="R217" s="30" t="str">
        <f aca="false">IF($A217="","",IF(COUNTIFS(④退税核算!$A$4:$A$303,$A217,④退税核算!$D$4:$D$303,"未售-海外仓预退（HWC-YT）",④退税核算!$I$4:$I$303,"&gt;0")=0,"",_xlfn.MINIFS(④退税核算!$J$4:$J$303,④退税核算!$A$4:$A$303,$A217,④退税核算!$D$4:$D$303,"未售-海外仓预退（HWC-YT）")))</f>
        <v/>
      </c>
      <c r="S217" s="35" t="str">
        <f aca="false">IF($A217="","",IF(COUNTIFS(④退税核算!$A$4:$A$303,$A217,④退税核算!$D$4:$D$303,"未售-海外仓预退（HWC-YT）")=0,"不涉及",IF(COUNTIFS(④退税核算!$A$4:$A$303,$A217,④退税核算!$S$4:$S$303,"已逾期*")&gt;0,"已逾期",IF(COUNTIFS(④退税核算!$A$4:$A$303,$A217,④退税核算!$S$4:$S$303,"临近*")&gt;0,"临近截止",IF(COUNTIFS(④退税核算!$A$4:$A$303,$A217,④退税核算!$S$4:$S$303,"待*")&gt;0,"待核算","已核算")))))</f>
        <v/>
      </c>
      <c r="T217" s="35" t="str">
        <f aca="false">IF($A217="","",IFERROR(INDEX(⑥单证留存!$P$4:$P$203,MATCH(①出口报关!B214,⑥单证留存!$A$4:$A$203,0)),"未登记"))</f>
        <v/>
      </c>
      <c r="U217" s="36" t="str">
        <f aca="false">IF($A217="","",IF(IF(OR(O217="超期未收汇",O217="超过收汇期限仍未销售")," 收汇超期","")&amp;IF(S217="已逾期"," 核算逾期","")&amp;IF(S217="临近截止"," 核算临近截止","")&amp;IF(LEFT(T217,1)="缺"," 单证"&amp;T217,"")&amp;IF(T217="未登记"," 单证未登记","")&amp;IF(AND(ISNUMBER(G217),N(G217)&lt;&gt;0)," 入仓差异"&amp;G217,"")="","正常",SUBSTITUTE(TRIM(IF(OR(O217="超期未收汇",O217="超过收汇期限仍未销售")," 收汇超期","")&amp;IF(S217="已逾期"," 核算逾期","")&amp;IF(S217="临近截止"," 核算临近截止","")&amp;IF(LEFT(T217,1)="缺"," 单证"&amp;T217,"")&amp;IF(T217="未登记"," 单证未登记","")&amp;IF(AND(ISNUMBER(G217),N(G217)&lt;&gt;0)," 入仓差异"&amp;G217,""))," ","、")))</f>
        <v/>
      </c>
    </row>
    <row r="218" customFormat="false" ht="21.75" hidden="false" customHeight="true" outlineLevel="0" collapsed="false">
      <c r="A218" s="29" t="str">
        <f aca="false">IF(①出口报关!A215="","",①出口报关!A215)</f>
        <v/>
      </c>
      <c r="B218" s="29" t="str">
        <f aca="false">IF($A218="","",①出口报关!I215)</f>
        <v/>
      </c>
      <c r="C218" s="29" t="str">
        <f aca="false">IF($A218="","",①出口报关!J215)</f>
        <v/>
      </c>
      <c r="D218" s="30" t="str">
        <f aca="false">IF($A218="","",IF(①出口报关!D215="","",①出口报关!D215))</f>
        <v/>
      </c>
      <c r="E218" s="31" t="str">
        <f aca="false">IF($A218="","",N(①出口报关!L215))</f>
        <v/>
      </c>
      <c r="F218" s="31" t="str">
        <f aca="false">IF($A218="","",IF(①出口报关!Y215="","未签收",①出口报关!Y215))</f>
        <v/>
      </c>
      <c r="G218" s="32" t="str">
        <f aca="false">IF(OR($A218="",NOT(ISNUMBER(F218))),"",F218-E218)</f>
        <v/>
      </c>
      <c r="H218" s="31" t="str">
        <f aca="false">IF($A218="","",SUMIFS(②销售核销!$I$4:$I$603,②销售核销!$E$4:$E$603,$A218))</f>
        <v/>
      </c>
      <c r="I218" s="31" t="str">
        <f aca="false">IF($A218="","",SUMIFS(⑤库存异常!$E$4:$E$203,⑤库存异常!$B$4:$B$203,$A218))</f>
        <v/>
      </c>
      <c r="J218" s="31" t="str">
        <f aca="false">IF($A218="","",IF(ISNUMBER(F218),F218,E218)-H218-I218)</f>
        <v/>
      </c>
      <c r="K218" s="33" t="str">
        <f aca="false">IF(OR($A218="",N(E218)=0),"",H218/E218)</f>
        <v/>
      </c>
      <c r="L218" s="34" t="str">
        <f aca="false">IF($A218="","",SUMIFS(②销售核销!$L$4:$L$603,②销售核销!$E$4:$E$603,$A218))</f>
        <v/>
      </c>
      <c r="M218" s="34" t="str">
        <f aca="false">IF($A218="","",SUMIFS(②销售核销!$L$4:$L$603,②销售核销!$E$4:$E$603,$A218,②销售核销!$M$4:$M$603,"已收汇"))</f>
        <v/>
      </c>
      <c r="N218" s="30" t="str">
        <f aca="false">IF(ISNUMBER(D218),DATE(YEAR(D218)+1,4,30),"")</f>
        <v/>
      </c>
      <c r="O218" s="35" t="str">
        <f aca="true">IF($A218="","",IF(N(H218)=0,IF(AND(ISNUMBER(N218),TODAY()&gt;N218),"超过收汇期限仍未销售","尚未销售"),IF(ROUND(M218,2)&gt;=ROUND(L218,2),"已售部分已收汇",IF(AND(ISNUMBER(N218),TODAY()&gt;N218),"超期未收汇","有回款待收汇"))))</f>
        <v/>
      </c>
      <c r="P218" s="34" t="str">
        <f aca="false">IF($A218="","",SUMIFS(④退税核算!$H$4:$H$303,④退税核算!$A$4:$A$303,$A218))</f>
        <v/>
      </c>
      <c r="Q218" s="34" t="str">
        <f aca="false">IF($A218="","",SUMIFS(④退税核算!$H$4:$H$303,④退税核算!$A$4:$A$303,$A218,④退税核算!$D$4:$D$303,"未售-海外仓预退（HWC-YT）"))</f>
        <v/>
      </c>
      <c r="R218" s="30" t="str">
        <f aca="false">IF($A218="","",IF(COUNTIFS(④退税核算!$A$4:$A$303,$A218,④退税核算!$D$4:$D$303,"未售-海外仓预退（HWC-YT）",④退税核算!$I$4:$I$303,"&gt;0")=0,"",_xlfn.MINIFS(④退税核算!$J$4:$J$303,④退税核算!$A$4:$A$303,$A218,④退税核算!$D$4:$D$303,"未售-海外仓预退（HWC-YT）")))</f>
        <v/>
      </c>
      <c r="S218" s="35" t="str">
        <f aca="false">IF($A218="","",IF(COUNTIFS(④退税核算!$A$4:$A$303,$A218,④退税核算!$D$4:$D$303,"未售-海外仓预退（HWC-YT）")=0,"不涉及",IF(COUNTIFS(④退税核算!$A$4:$A$303,$A218,④退税核算!$S$4:$S$303,"已逾期*")&gt;0,"已逾期",IF(COUNTIFS(④退税核算!$A$4:$A$303,$A218,④退税核算!$S$4:$S$303,"临近*")&gt;0,"临近截止",IF(COUNTIFS(④退税核算!$A$4:$A$303,$A218,④退税核算!$S$4:$S$303,"待*")&gt;0,"待核算","已核算")))))</f>
        <v/>
      </c>
      <c r="T218" s="35" t="str">
        <f aca="false">IF($A218="","",IFERROR(INDEX(⑥单证留存!$P$4:$P$203,MATCH(①出口报关!B215,⑥单证留存!$A$4:$A$203,0)),"未登记"))</f>
        <v/>
      </c>
      <c r="U218" s="36" t="str">
        <f aca="false">IF($A218="","",IF(IF(OR(O218="超期未收汇",O218="超过收汇期限仍未销售")," 收汇超期","")&amp;IF(S218="已逾期"," 核算逾期","")&amp;IF(S218="临近截止"," 核算临近截止","")&amp;IF(LEFT(T218,1)="缺"," 单证"&amp;T218,"")&amp;IF(T218="未登记"," 单证未登记","")&amp;IF(AND(ISNUMBER(G218),N(G218)&lt;&gt;0)," 入仓差异"&amp;G218,"")="","正常",SUBSTITUTE(TRIM(IF(OR(O218="超期未收汇",O218="超过收汇期限仍未销售")," 收汇超期","")&amp;IF(S218="已逾期"," 核算逾期","")&amp;IF(S218="临近截止"," 核算临近截止","")&amp;IF(LEFT(T218,1)="缺"," 单证"&amp;T218,"")&amp;IF(T218="未登记"," 单证未登记","")&amp;IF(AND(ISNUMBER(G218),N(G218)&lt;&gt;0)," 入仓差异"&amp;G218,""))," ","、")))</f>
        <v/>
      </c>
    </row>
    <row r="219" customFormat="false" ht="21.75" hidden="false" customHeight="true" outlineLevel="0" collapsed="false">
      <c r="A219" s="29" t="str">
        <f aca="false">IF(①出口报关!A216="","",①出口报关!A216)</f>
        <v/>
      </c>
      <c r="B219" s="29" t="str">
        <f aca="false">IF($A219="","",①出口报关!I216)</f>
        <v/>
      </c>
      <c r="C219" s="29" t="str">
        <f aca="false">IF($A219="","",①出口报关!J216)</f>
        <v/>
      </c>
      <c r="D219" s="30" t="str">
        <f aca="false">IF($A219="","",IF(①出口报关!D216="","",①出口报关!D216))</f>
        <v/>
      </c>
      <c r="E219" s="31" t="str">
        <f aca="false">IF($A219="","",N(①出口报关!L216))</f>
        <v/>
      </c>
      <c r="F219" s="31" t="str">
        <f aca="false">IF($A219="","",IF(①出口报关!Y216="","未签收",①出口报关!Y216))</f>
        <v/>
      </c>
      <c r="G219" s="32" t="str">
        <f aca="false">IF(OR($A219="",NOT(ISNUMBER(F219))),"",F219-E219)</f>
        <v/>
      </c>
      <c r="H219" s="31" t="str">
        <f aca="false">IF($A219="","",SUMIFS(②销售核销!$I$4:$I$603,②销售核销!$E$4:$E$603,$A219))</f>
        <v/>
      </c>
      <c r="I219" s="31" t="str">
        <f aca="false">IF($A219="","",SUMIFS(⑤库存异常!$E$4:$E$203,⑤库存异常!$B$4:$B$203,$A219))</f>
        <v/>
      </c>
      <c r="J219" s="31" t="str">
        <f aca="false">IF($A219="","",IF(ISNUMBER(F219),F219,E219)-H219-I219)</f>
        <v/>
      </c>
      <c r="K219" s="33" t="str">
        <f aca="false">IF(OR($A219="",N(E219)=0),"",H219/E219)</f>
        <v/>
      </c>
      <c r="L219" s="34" t="str">
        <f aca="false">IF($A219="","",SUMIFS(②销售核销!$L$4:$L$603,②销售核销!$E$4:$E$603,$A219))</f>
        <v/>
      </c>
      <c r="M219" s="34" t="str">
        <f aca="false">IF($A219="","",SUMIFS(②销售核销!$L$4:$L$603,②销售核销!$E$4:$E$603,$A219,②销售核销!$M$4:$M$603,"已收汇"))</f>
        <v/>
      </c>
      <c r="N219" s="30" t="str">
        <f aca="false">IF(ISNUMBER(D219),DATE(YEAR(D219)+1,4,30),"")</f>
        <v/>
      </c>
      <c r="O219" s="35" t="str">
        <f aca="true">IF($A219="","",IF(N(H219)=0,IF(AND(ISNUMBER(N219),TODAY()&gt;N219),"超过收汇期限仍未销售","尚未销售"),IF(ROUND(M219,2)&gt;=ROUND(L219,2),"已售部分已收汇",IF(AND(ISNUMBER(N219),TODAY()&gt;N219),"超期未收汇","有回款待收汇"))))</f>
        <v/>
      </c>
      <c r="P219" s="34" t="str">
        <f aca="false">IF($A219="","",SUMIFS(④退税核算!$H$4:$H$303,④退税核算!$A$4:$A$303,$A219))</f>
        <v/>
      </c>
      <c r="Q219" s="34" t="str">
        <f aca="false">IF($A219="","",SUMIFS(④退税核算!$H$4:$H$303,④退税核算!$A$4:$A$303,$A219,④退税核算!$D$4:$D$303,"未售-海外仓预退（HWC-YT）"))</f>
        <v/>
      </c>
      <c r="R219" s="30" t="str">
        <f aca="false">IF($A219="","",IF(COUNTIFS(④退税核算!$A$4:$A$303,$A219,④退税核算!$D$4:$D$303,"未售-海外仓预退（HWC-YT）",④退税核算!$I$4:$I$303,"&gt;0")=0,"",_xlfn.MINIFS(④退税核算!$J$4:$J$303,④退税核算!$A$4:$A$303,$A219,④退税核算!$D$4:$D$303,"未售-海外仓预退（HWC-YT）")))</f>
        <v/>
      </c>
      <c r="S219" s="35" t="str">
        <f aca="false">IF($A219="","",IF(COUNTIFS(④退税核算!$A$4:$A$303,$A219,④退税核算!$D$4:$D$303,"未售-海外仓预退（HWC-YT）")=0,"不涉及",IF(COUNTIFS(④退税核算!$A$4:$A$303,$A219,④退税核算!$S$4:$S$303,"已逾期*")&gt;0,"已逾期",IF(COUNTIFS(④退税核算!$A$4:$A$303,$A219,④退税核算!$S$4:$S$303,"临近*")&gt;0,"临近截止",IF(COUNTIFS(④退税核算!$A$4:$A$303,$A219,④退税核算!$S$4:$S$303,"待*")&gt;0,"待核算","已核算")))))</f>
        <v/>
      </c>
      <c r="T219" s="35" t="str">
        <f aca="false">IF($A219="","",IFERROR(INDEX(⑥单证留存!$P$4:$P$203,MATCH(①出口报关!B216,⑥单证留存!$A$4:$A$203,0)),"未登记"))</f>
        <v/>
      </c>
      <c r="U219" s="36" t="str">
        <f aca="false">IF($A219="","",IF(IF(OR(O219="超期未收汇",O219="超过收汇期限仍未销售")," 收汇超期","")&amp;IF(S219="已逾期"," 核算逾期","")&amp;IF(S219="临近截止"," 核算临近截止","")&amp;IF(LEFT(T219,1)="缺"," 单证"&amp;T219,"")&amp;IF(T219="未登记"," 单证未登记","")&amp;IF(AND(ISNUMBER(G219),N(G219)&lt;&gt;0)," 入仓差异"&amp;G219,"")="","正常",SUBSTITUTE(TRIM(IF(OR(O219="超期未收汇",O219="超过收汇期限仍未销售")," 收汇超期","")&amp;IF(S219="已逾期"," 核算逾期","")&amp;IF(S219="临近截止"," 核算临近截止","")&amp;IF(LEFT(T219,1)="缺"," 单证"&amp;T219,"")&amp;IF(T219="未登记"," 单证未登记","")&amp;IF(AND(ISNUMBER(G219),N(G219)&lt;&gt;0)," 入仓差异"&amp;G219,""))," ","、")))</f>
        <v/>
      </c>
    </row>
    <row r="220" customFormat="false" ht="21.75" hidden="false" customHeight="true" outlineLevel="0" collapsed="false">
      <c r="A220" s="29" t="str">
        <f aca="false">IF(①出口报关!A217="","",①出口报关!A217)</f>
        <v/>
      </c>
      <c r="B220" s="29" t="str">
        <f aca="false">IF($A220="","",①出口报关!I217)</f>
        <v/>
      </c>
      <c r="C220" s="29" t="str">
        <f aca="false">IF($A220="","",①出口报关!J217)</f>
        <v/>
      </c>
      <c r="D220" s="30" t="str">
        <f aca="false">IF($A220="","",IF(①出口报关!D217="","",①出口报关!D217))</f>
        <v/>
      </c>
      <c r="E220" s="31" t="str">
        <f aca="false">IF($A220="","",N(①出口报关!L217))</f>
        <v/>
      </c>
      <c r="F220" s="31" t="str">
        <f aca="false">IF($A220="","",IF(①出口报关!Y217="","未签收",①出口报关!Y217))</f>
        <v/>
      </c>
      <c r="G220" s="32" t="str">
        <f aca="false">IF(OR($A220="",NOT(ISNUMBER(F220))),"",F220-E220)</f>
        <v/>
      </c>
      <c r="H220" s="31" t="str">
        <f aca="false">IF($A220="","",SUMIFS(②销售核销!$I$4:$I$603,②销售核销!$E$4:$E$603,$A220))</f>
        <v/>
      </c>
      <c r="I220" s="31" t="str">
        <f aca="false">IF($A220="","",SUMIFS(⑤库存异常!$E$4:$E$203,⑤库存异常!$B$4:$B$203,$A220))</f>
        <v/>
      </c>
      <c r="J220" s="31" t="str">
        <f aca="false">IF($A220="","",IF(ISNUMBER(F220),F220,E220)-H220-I220)</f>
        <v/>
      </c>
      <c r="K220" s="33" t="str">
        <f aca="false">IF(OR($A220="",N(E220)=0),"",H220/E220)</f>
        <v/>
      </c>
      <c r="L220" s="34" t="str">
        <f aca="false">IF($A220="","",SUMIFS(②销售核销!$L$4:$L$603,②销售核销!$E$4:$E$603,$A220))</f>
        <v/>
      </c>
      <c r="M220" s="34" t="str">
        <f aca="false">IF($A220="","",SUMIFS(②销售核销!$L$4:$L$603,②销售核销!$E$4:$E$603,$A220,②销售核销!$M$4:$M$603,"已收汇"))</f>
        <v/>
      </c>
      <c r="N220" s="30" t="str">
        <f aca="false">IF(ISNUMBER(D220),DATE(YEAR(D220)+1,4,30),"")</f>
        <v/>
      </c>
      <c r="O220" s="35" t="str">
        <f aca="true">IF($A220="","",IF(N(H220)=0,IF(AND(ISNUMBER(N220),TODAY()&gt;N220),"超过收汇期限仍未销售","尚未销售"),IF(ROUND(M220,2)&gt;=ROUND(L220,2),"已售部分已收汇",IF(AND(ISNUMBER(N220),TODAY()&gt;N220),"超期未收汇","有回款待收汇"))))</f>
        <v/>
      </c>
      <c r="P220" s="34" t="str">
        <f aca="false">IF($A220="","",SUMIFS(④退税核算!$H$4:$H$303,④退税核算!$A$4:$A$303,$A220))</f>
        <v/>
      </c>
      <c r="Q220" s="34" t="str">
        <f aca="false">IF($A220="","",SUMIFS(④退税核算!$H$4:$H$303,④退税核算!$A$4:$A$303,$A220,④退税核算!$D$4:$D$303,"未售-海外仓预退（HWC-YT）"))</f>
        <v/>
      </c>
      <c r="R220" s="30" t="str">
        <f aca="false">IF($A220="","",IF(COUNTIFS(④退税核算!$A$4:$A$303,$A220,④退税核算!$D$4:$D$303,"未售-海外仓预退（HWC-YT）",④退税核算!$I$4:$I$303,"&gt;0")=0,"",_xlfn.MINIFS(④退税核算!$J$4:$J$303,④退税核算!$A$4:$A$303,$A220,④退税核算!$D$4:$D$303,"未售-海外仓预退（HWC-YT）")))</f>
        <v/>
      </c>
      <c r="S220" s="35" t="str">
        <f aca="false">IF($A220="","",IF(COUNTIFS(④退税核算!$A$4:$A$303,$A220,④退税核算!$D$4:$D$303,"未售-海外仓预退（HWC-YT）")=0,"不涉及",IF(COUNTIFS(④退税核算!$A$4:$A$303,$A220,④退税核算!$S$4:$S$303,"已逾期*")&gt;0,"已逾期",IF(COUNTIFS(④退税核算!$A$4:$A$303,$A220,④退税核算!$S$4:$S$303,"临近*")&gt;0,"临近截止",IF(COUNTIFS(④退税核算!$A$4:$A$303,$A220,④退税核算!$S$4:$S$303,"待*")&gt;0,"待核算","已核算")))))</f>
        <v/>
      </c>
      <c r="T220" s="35" t="str">
        <f aca="false">IF($A220="","",IFERROR(INDEX(⑥单证留存!$P$4:$P$203,MATCH(①出口报关!B217,⑥单证留存!$A$4:$A$203,0)),"未登记"))</f>
        <v/>
      </c>
      <c r="U220" s="36" t="str">
        <f aca="false">IF($A220="","",IF(IF(OR(O220="超期未收汇",O220="超过收汇期限仍未销售")," 收汇超期","")&amp;IF(S220="已逾期"," 核算逾期","")&amp;IF(S220="临近截止"," 核算临近截止","")&amp;IF(LEFT(T220,1)="缺"," 单证"&amp;T220,"")&amp;IF(T220="未登记"," 单证未登记","")&amp;IF(AND(ISNUMBER(G220),N(G220)&lt;&gt;0)," 入仓差异"&amp;G220,"")="","正常",SUBSTITUTE(TRIM(IF(OR(O220="超期未收汇",O220="超过收汇期限仍未销售")," 收汇超期","")&amp;IF(S220="已逾期"," 核算逾期","")&amp;IF(S220="临近截止"," 核算临近截止","")&amp;IF(LEFT(T220,1)="缺"," 单证"&amp;T220,"")&amp;IF(T220="未登记"," 单证未登记","")&amp;IF(AND(ISNUMBER(G220),N(G220)&lt;&gt;0)," 入仓差异"&amp;G220,""))," ","、")))</f>
        <v/>
      </c>
    </row>
    <row r="221" customFormat="false" ht="21.75" hidden="false" customHeight="true" outlineLevel="0" collapsed="false">
      <c r="A221" s="29" t="str">
        <f aca="false">IF(①出口报关!A218="","",①出口报关!A218)</f>
        <v/>
      </c>
      <c r="B221" s="29" t="str">
        <f aca="false">IF($A221="","",①出口报关!I218)</f>
        <v/>
      </c>
      <c r="C221" s="29" t="str">
        <f aca="false">IF($A221="","",①出口报关!J218)</f>
        <v/>
      </c>
      <c r="D221" s="30" t="str">
        <f aca="false">IF($A221="","",IF(①出口报关!D218="","",①出口报关!D218))</f>
        <v/>
      </c>
      <c r="E221" s="31" t="str">
        <f aca="false">IF($A221="","",N(①出口报关!L218))</f>
        <v/>
      </c>
      <c r="F221" s="31" t="str">
        <f aca="false">IF($A221="","",IF(①出口报关!Y218="","未签收",①出口报关!Y218))</f>
        <v/>
      </c>
      <c r="G221" s="32" t="str">
        <f aca="false">IF(OR($A221="",NOT(ISNUMBER(F221))),"",F221-E221)</f>
        <v/>
      </c>
      <c r="H221" s="31" t="str">
        <f aca="false">IF($A221="","",SUMIFS(②销售核销!$I$4:$I$603,②销售核销!$E$4:$E$603,$A221))</f>
        <v/>
      </c>
      <c r="I221" s="31" t="str">
        <f aca="false">IF($A221="","",SUMIFS(⑤库存异常!$E$4:$E$203,⑤库存异常!$B$4:$B$203,$A221))</f>
        <v/>
      </c>
      <c r="J221" s="31" t="str">
        <f aca="false">IF($A221="","",IF(ISNUMBER(F221),F221,E221)-H221-I221)</f>
        <v/>
      </c>
      <c r="K221" s="33" t="str">
        <f aca="false">IF(OR($A221="",N(E221)=0),"",H221/E221)</f>
        <v/>
      </c>
      <c r="L221" s="34" t="str">
        <f aca="false">IF($A221="","",SUMIFS(②销售核销!$L$4:$L$603,②销售核销!$E$4:$E$603,$A221))</f>
        <v/>
      </c>
      <c r="M221" s="34" t="str">
        <f aca="false">IF($A221="","",SUMIFS(②销售核销!$L$4:$L$603,②销售核销!$E$4:$E$603,$A221,②销售核销!$M$4:$M$603,"已收汇"))</f>
        <v/>
      </c>
      <c r="N221" s="30" t="str">
        <f aca="false">IF(ISNUMBER(D221),DATE(YEAR(D221)+1,4,30),"")</f>
        <v/>
      </c>
      <c r="O221" s="35" t="str">
        <f aca="true">IF($A221="","",IF(N(H221)=0,IF(AND(ISNUMBER(N221),TODAY()&gt;N221),"超过收汇期限仍未销售","尚未销售"),IF(ROUND(M221,2)&gt;=ROUND(L221,2),"已售部分已收汇",IF(AND(ISNUMBER(N221),TODAY()&gt;N221),"超期未收汇","有回款待收汇"))))</f>
        <v/>
      </c>
      <c r="P221" s="34" t="str">
        <f aca="false">IF($A221="","",SUMIFS(④退税核算!$H$4:$H$303,④退税核算!$A$4:$A$303,$A221))</f>
        <v/>
      </c>
      <c r="Q221" s="34" t="str">
        <f aca="false">IF($A221="","",SUMIFS(④退税核算!$H$4:$H$303,④退税核算!$A$4:$A$303,$A221,④退税核算!$D$4:$D$303,"未售-海外仓预退（HWC-YT）"))</f>
        <v/>
      </c>
      <c r="R221" s="30" t="str">
        <f aca="false">IF($A221="","",IF(COUNTIFS(④退税核算!$A$4:$A$303,$A221,④退税核算!$D$4:$D$303,"未售-海外仓预退（HWC-YT）",④退税核算!$I$4:$I$303,"&gt;0")=0,"",_xlfn.MINIFS(④退税核算!$J$4:$J$303,④退税核算!$A$4:$A$303,$A221,④退税核算!$D$4:$D$303,"未售-海外仓预退（HWC-YT）")))</f>
        <v/>
      </c>
      <c r="S221" s="35" t="str">
        <f aca="false">IF($A221="","",IF(COUNTIFS(④退税核算!$A$4:$A$303,$A221,④退税核算!$D$4:$D$303,"未售-海外仓预退（HWC-YT）")=0,"不涉及",IF(COUNTIFS(④退税核算!$A$4:$A$303,$A221,④退税核算!$S$4:$S$303,"已逾期*")&gt;0,"已逾期",IF(COUNTIFS(④退税核算!$A$4:$A$303,$A221,④退税核算!$S$4:$S$303,"临近*")&gt;0,"临近截止",IF(COUNTIFS(④退税核算!$A$4:$A$303,$A221,④退税核算!$S$4:$S$303,"待*")&gt;0,"待核算","已核算")))))</f>
        <v/>
      </c>
      <c r="T221" s="35" t="str">
        <f aca="false">IF($A221="","",IFERROR(INDEX(⑥单证留存!$P$4:$P$203,MATCH(①出口报关!B218,⑥单证留存!$A$4:$A$203,0)),"未登记"))</f>
        <v/>
      </c>
      <c r="U221" s="36" t="str">
        <f aca="false">IF($A221="","",IF(IF(OR(O221="超期未收汇",O221="超过收汇期限仍未销售")," 收汇超期","")&amp;IF(S221="已逾期"," 核算逾期","")&amp;IF(S221="临近截止"," 核算临近截止","")&amp;IF(LEFT(T221,1)="缺"," 单证"&amp;T221,"")&amp;IF(T221="未登记"," 单证未登记","")&amp;IF(AND(ISNUMBER(G221),N(G221)&lt;&gt;0)," 入仓差异"&amp;G221,"")="","正常",SUBSTITUTE(TRIM(IF(OR(O221="超期未收汇",O221="超过收汇期限仍未销售")," 收汇超期","")&amp;IF(S221="已逾期"," 核算逾期","")&amp;IF(S221="临近截止"," 核算临近截止","")&amp;IF(LEFT(T221,1)="缺"," 单证"&amp;T221,"")&amp;IF(T221="未登记"," 单证未登记","")&amp;IF(AND(ISNUMBER(G221),N(G221)&lt;&gt;0)," 入仓差异"&amp;G221,""))," ","、")))</f>
        <v/>
      </c>
    </row>
    <row r="222" customFormat="false" ht="21.75" hidden="false" customHeight="true" outlineLevel="0" collapsed="false">
      <c r="A222" s="29" t="str">
        <f aca="false">IF(①出口报关!A219="","",①出口报关!A219)</f>
        <v/>
      </c>
      <c r="B222" s="29" t="str">
        <f aca="false">IF($A222="","",①出口报关!I219)</f>
        <v/>
      </c>
      <c r="C222" s="29" t="str">
        <f aca="false">IF($A222="","",①出口报关!J219)</f>
        <v/>
      </c>
      <c r="D222" s="30" t="str">
        <f aca="false">IF($A222="","",IF(①出口报关!D219="","",①出口报关!D219))</f>
        <v/>
      </c>
      <c r="E222" s="31" t="str">
        <f aca="false">IF($A222="","",N(①出口报关!L219))</f>
        <v/>
      </c>
      <c r="F222" s="31" t="str">
        <f aca="false">IF($A222="","",IF(①出口报关!Y219="","未签收",①出口报关!Y219))</f>
        <v/>
      </c>
      <c r="G222" s="32" t="str">
        <f aca="false">IF(OR($A222="",NOT(ISNUMBER(F222))),"",F222-E222)</f>
        <v/>
      </c>
      <c r="H222" s="31" t="str">
        <f aca="false">IF($A222="","",SUMIFS(②销售核销!$I$4:$I$603,②销售核销!$E$4:$E$603,$A222))</f>
        <v/>
      </c>
      <c r="I222" s="31" t="str">
        <f aca="false">IF($A222="","",SUMIFS(⑤库存异常!$E$4:$E$203,⑤库存异常!$B$4:$B$203,$A222))</f>
        <v/>
      </c>
      <c r="J222" s="31" t="str">
        <f aca="false">IF($A222="","",IF(ISNUMBER(F222),F222,E222)-H222-I222)</f>
        <v/>
      </c>
      <c r="K222" s="33" t="str">
        <f aca="false">IF(OR($A222="",N(E222)=0),"",H222/E222)</f>
        <v/>
      </c>
      <c r="L222" s="34" t="str">
        <f aca="false">IF($A222="","",SUMIFS(②销售核销!$L$4:$L$603,②销售核销!$E$4:$E$603,$A222))</f>
        <v/>
      </c>
      <c r="M222" s="34" t="str">
        <f aca="false">IF($A222="","",SUMIFS(②销售核销!$L$4:$L$603,②销售核销!$E$4:$E$603,$A222,②销售核销!$M$4:$M$603,"已收汇"))</f>
        <v/>
      </c>
      <c r="N222" s="30" t="str">
        <f aca="false">IF(ISNUMBER(D222),DATE(YEAR(D222)+1,4,30),"")</f>
        <v/>
      </c>
      <c r="O222" s="35" t="str">
        <f aca="true">IF($A222="","",IF(N(H222)=0,IF(AND(ISNUMBER(N222),TODAY()&gt;N222),"超过收汇期限仍未销售","尚未销售"),IF(ROUND(M222,2)&gt;=ROUND(L222,2),"已售部分已收汇",IF(AND(ISNUMBER(N222),TODAY()&gt;N222),"超期未收汇","有回款待收汇"))))</f>
        <v/>
      </c>
      <c r="P222" s="34" t="str">
        <f aca="false">IF($A222="","",SUMIFS(④退税核算!$H$4:$H$303,④退税核算!$A$4:$A$303,$A222))</f>
        <v/>
      </c>
      <c r="Q222" s="34" t="str">
        <f aca="false">IF($A222="","",SUMIFS(④退税核算!$H$4:$H$303,④退税核算!$A$4:$A$303,$A222,④退税核算!$D$4:$D$303,"未售-海外仓预退（HWC-YT）"))</f>
        <v/>
      </c>
      <c r="R222" s="30" t="str">
        <f aca="false">IF($A222="","",IF(COUNTIFS(④退税核算!$A$4:$A$303,$A222,④退税核算!$D$4:$D$303,"未售-海外仓预退（HWC-YT）",④退税核算!$I$4:$I$303,"&gt;0")=0,"",_xlfn.MINIFS(④退税核算!$J$4:$J$303,④退税核算!$A$4:$A$303,$A222,④退税核算!$D$4:$D$303,"未售-海外仓预退（HWC-YT）")))</f>
        <v/>
      </c>
      <c r="S222" s="35" t="str">
        <f aca="false">IF($A222="","",IF(COUNTIFS(④退税核算!$A$4:$A$303,$A222,④退税核算!$D$4:$D$303,"未售-海外仓预退（HWC-YT）")=0,"不涉及",IF(COUNTIFS(④退税核算!$A$4:$A$303,$A222,④退税核算!$S$4:$S$303,"已逾期*")&gt;0,"已逾期",IF(COUNTIFS(④退税核算!$A$4:$A$303,$A222,④退税核算!$S$4:$S$303,"临近*")&gt;0,"临近截止",IF(COUNTIFS(④退税核算!$A$4:$A$303,$A222,④退税核算!$S$4:$S$303,"待*")&gt;0,"待核算","已核算")))))</f>
        <v/>
      </c>
      <c r="T222" s="35" t="str">
        <f aca="false">IF($A222="","",IFERROR(INDEX(⑥单证留存!$P$4:$P$203,MATCH(①出口报关!B219,⑥单证留存!$A$4:$A$203,0)),"未登记"))</f>
        <v/>
      </c>
      <c r="U222" s="36" t="str">
        <f aca="false">IF($A222="","",IF(IF(OR(O222="超期未收汇",O222="超过收汇期限仍未销售")," 收汇超期","")&amp;IF(S222="已逾期"," 核算逾期","")&amp;IF(S222="临近截止"," 核算临近截止","")&amp;IF(LEFT(T222,1)="缺"," 单证"&amp;T222,"")&amp;IF(T222="未登记"," 单证未登记","")&amp;IF(AND(ISNUMBER(G222),N(G222)&lt;&gt;0)," 入仓差异"&amp;G222,"")="","正常",SUBSTITUTE(TRIM(IF(OR(O222="超期未收汇",O222="超过收汇期限仍未销售")," 收汇超期","")&amp;IF(S222="已逾期"," 核算逾期","")&amp;IF(S222="临近截止"," 核算临近截止","")&amp;IF(LEFT(T222,1)="缺"," 单证"&amp;T222,"")&amp;IF(T222="未登记"," 单证未登记","")&amp;IF(AND(ISNUMBER(G222),N(G222)&lt;&gt;0)," 入仓差异"&amp;G222,""))," ","、")))</f>
        <v/>
      </c>
    </row>
    <row r="223" customFormat="false" ht="21.75" hidden="false" customHeight="true" outlineLevel="0" collapsed="false">
      <c r="A223" s="29" t="str">
        <f aca="false">IF(①出口报关!A220="","",①出口报关!A220)</f>
        <v/>
      </c>
      <c r="B223" s="29" t="str">
        <f aca="false">IF($A223="","",①出口报关!I220)</f>
        <v/>
      </c>
      <c r="C223" s="29" t="str">
        <f aca="false">IF($A223="","",①出口报关!J220)</f>
        <v/>
      </c>
      <c r="D223" s="30" t="str">
        <f aca="false">IF($A223="","",IF(①出口报关!D220="","",①出口报关!D220))</f>
        <v/>
      </c>
      <c r="E223" s="31" t="str">
        <f aca="false">IF($A223="","",N(①出口报关!L220))</f>
        <v/>
      </c>
      <c r="F223" s="31" t="str">
        <f aca="false">IF($A223="","",IF(①出口报关!Y220="","未签收",①出口报关!Y220))</f>
        <v/>
      </c>
      <c r="G223" s="32" t="str">
        <f aca="false">IF(OR($A223="",NOT(ISNUMBER(F223))),"",F223-E223)</f>
        <v/>
      </c>
      <c r="H223" s="31" t="str">
        <f aca="false">IF($A223="","",SUMIFS(②销售核销!$I$4:$I$603,②销售核销!$E$4:$E$603,$A223))</f>
        <v/>
      </c>
      <c r="I223" s="31" t="str">
        <f aca="false">IF($A223="","",SUMIFS(⑤库存异常!$E$4:$E$203,⑤库存异常!$B$4:$B$203,$A223))</f>
        <v/>
      </c>
      <c r="J223" s="31" t="str">
        <f aca="false">IF($A223="","",IF(ISNUMBER(F223),F223,E223)-H223-I223)</f>
        <v/>
      </c>
      <c r="K223" s="33" t="str">
        <f aca="false">IF(OR($A223="",N(E223)=0),"",H223/E223)</f>
        <v/>
      </c>
      <c r="L223" s="34" t="str">
        <f aca="false">IF($A223="","",SUMIFS(②销售核销!$L$4:$L$603,②销售核销!$E$4:$E$603,$A223))</f>
        <v/>
      </c>
      <c r="M223" s="34" t="str">
        <f aca="false">IF($A223="","",SUMIFS(②销售核销!$L$4:$L$603,②销售核销!$E$4:$E$603,$A223,②销售核销!$M$4:$M$603,"已收汇"))</f>
        <v/>
      </c>
      <c r="N223" s="30" t="str">
        <f aca="false">IF(ISNUMBER(D223),DATE(YEAR(D223)+1,4,30),"")</f>
        <v/>
      </c>
      <c r="O223" s="35" t="str">
        <f aca="true">IF($A223="","",IF(N(H223)=0,IF(AND(ISNUMBER(N223),TODAY()&gt;N223),"超过收汇期限仍未销售","尚未销售"),IF(ROUND(M223,2)&gt;=ROUND(L223,2),"已售部分已收汇",IF(AND(ISNUMBER(N223),TODAY()&gt;N223),"超期未收汇","有回款待收汇"))))</f>
        <v/>
      </c>
      <c r="P223" s="34" t="str">
        <f aca="false">IF($A223="","",SUMIFS(④退税核算!$H$4:$H$303,④退税核算!$A$4:$A$303,$A223))</f>
        <v/>
      </c>
      <c r="Q223" s="34" t="str">
        <f aca="false">IF($A223="","",SUMIFS(④退税核算!$H$4:$H$303,④退税核算!$A$4:$A$303,$A223,④退税核算!$D$4:$D$303,"未售-海外仓预退（HWC-YT）"))</f>
        <v/>
      </c>
      <c r="R223" s="30" t="str">
        <f aca="false">IF($A223="","",IF(COUNTIFS(④退税核算!$A$4:$A$303,$A223,④退税核算!$D$4:$D$303,"未售-海外仓预退（HWC-YT）",④退税核算!$I$4:$I$303,"&gt;0")=0,"",_xlfn.MINIFS(④退税核算!$J$4:$J$303,④退税核算!$A$4:$A$303,$A223,④退税核算!$D$4:$D$303,"未售-海外仓预退（HWC-YT）")))</f>
        <v/>
      </c>
      <c r="S223" s="35" t="str">
        <f aca="false">IF($A223="","",IF(COUNTIFS(④退税核算!$A$4:$A$303,$A223,④退税核算!$D$4:$D$303,"未售-海外仓预退（HWC-YT）")=0,"不涉及",IF(COUNTIFS(④退税核算!$A$4:$A$303,$A223,④退税核算!$S$4:$S$303,"已逾期*")&gt;0,"已逾期",IF(COUNTIFS(④退税核算!$A$4:$A$303,$A223,④退税核算!$S$4:$S$303,"临近*")&gt;0,"临近截止",IF(COUNTIFS(④退税核算!$A$4:$A$303,$A223,④退税核算!$S$4:$S$303,"待*")&gt;0,"待核算","已核算")))))</f>
        <v/>
      </c>
      <c r="T223" s="35" t="str">
        <f aca="false">IF($A223="","",IFERROR(INDEX(⑥单证留存!$P$4:$P$203,MATCH(①出口报关!B220,⑥单证留存!$A$4:$A$203,0)),"未登记"))</f>
        <v/>
      </c>
      <c r="U223" s="36" t="str">
        <f aca="false">IF($A223="","",IF(IF(OR(O223="超期未收汇",O223="超过收汇期限仍未销售")," 收汇超期","")&amp;IF(S223="已逾期"," 核算逾期","")&amp;IF(S223="临近截止"," 核算临近截止","")&amp;IF(LEFT(T223,1)="缺"," 单证"&amp;T223,"")&amp;IF(T223="未登记"," 单证未登记","")&amp;IF(AND(ISNUMBER(G223),N(G223)&lt;&gt;0)," 入仓差异"&amp;G223,"")="","正常",SUBSTITUTE(TRIM(IF(OR(O223="超期未收汇",O223="超过收汇期限仍未销售")," 收汇超期","")&amp;IF(S223="已逾期"," 核算逾期","")&amp;IF(S223="临近截止"," 核算临近截止","")&amp;IF(LEFT(T223,1)="缺"," 单证"&amp;T223,"")&amp;IF(T223="未登记"," 单证未登记","")&amp;IF(AND(ISNUMBER(G223),N(G223)&lt;&gt;0)," 入仓差异"&amp;G223,""))," ","、")))</f>
        <v/>
      </c>
    </row>
    <row r="224" customFormat="false" ht="21.75" hidden="false" customHeight="true" outlineLevel="0" collapsed="false">
      <c r="A224" s="29" t="str">
        <f aca="false">IF(①出口报关!A221="","",①出口报关!A221)</f>
        <v/>
      </c>
      <c r="B224" s="29" t="str">
        <f aca="false">IF($A224="","",①出口报关!I221)</f>
        <v/>
      </c>
      <c r="C224" s="29" t="str">
        <f aca="false">IF($A224="","",①出口报关!J221)</f>
        <v/>
      </c>
      <c r="D224" s="30" t="str">
        <f aca="false">IF($A224="","",IF(①出口报关!D221="","",①出口报关!D221))</f>
        <v/>
      </c>
      <c r="E224" s="31" t="str">
        <f aca="false">IF($A224="","",N(①出口报关!L221))</f>
        <v/>
      </c>
      <c r="F224" s="31" t="str">
        <f aca="false">IF($A224="","",IF(①出口报关!Y221="","未签收",①出口报关!Y221))</f>
        <v/>
      </c>
      <c r="G224" s="32" t="str">
        <f aca="false">IF(OR($A224="",NOT(ISNUMBER(F224))),"",F224-E224)</f>
        <v/>
      </c>
      <c r="H224" s="31" t="str">
        <f aca="false">IF($A224="","",SUMIFS(②销售核销!$I$4:$I$603,②销售核销!$E$4:$E$603,$A224))</f>
        <v/>
      </c>
      <c r="I224" s="31" t="str">
        <f aca="false">IF($A224="","",SUMIFS(⑤库存异常!$E$4:$E$203,⑤库存异常!$B$4:$B$203,$A224))</f>
        <v/>
      </c>
      <c r="J224" s="31" t="str">
        <f aca="false">IF($A224="","",IF(ISNUMBER(F224),F224,E224)-H224-I224)</f>
        <v/>
      </c>
      <c r="K224" s="33" t="str">
        <f aca="false">IF(OR($A224="",N(E224)=0),"",H224/E224)</f>
        <v/>
      </c>
      <c r="L224" s="34" t="str">
        <f aca="false">IF($A224="","",SUMIFS(②销售核销!$L$4:$L$603,②销售核销!$E$4:$E$603,$A224))</f>
        <v/>
      </c>
      <c r="M224" s="34" t="str">
        <f aca="false">IF($A224="","",SUMIFS(②销售核销!$L$4:$L$603,②销售核销!$E$4:$E$603,$A224,②销售核销!$M$4:$M$603,"已收汇"))</f>
        <v/>
      </c>
      <c r="N224" s="30" t="str">
        <f aca="false">IF(ISNUMBER(D224),DATE(YEAR(D224)+1,4,30),"")</f>
        <v/>
      </c>
      <c r="O224" s="35" t="str">
        <f aca="true">IF($A224="","",IF(N(H224)=0,IF(AND(ISNUMBER(N224),TODAY()&gt;N224),"超过收汇期限仍未销售","尚未销售"),IF(ROUND(M224,2)&gt;=ROUND(L224,2),"已售部分已收汇",IF(AND(ISNUMBER(N224),TODAY()&gt;N224),"超期未收汇","有回款待收汇"))))</f>
        <v/>
      </c>
      <c r="P224" s="34" t="str">
        <f aca="false">IF($A224="","",SUMIFS(④退税核算!$H$4:$H$303,④退税核算!$A$4:$A$303,$A224))</f>
        <v/>
      </c>
      <c r="Q224" s="34" t="str">
        <f aca="false">IF($A224="","",SUMIFS(④退税核算!$H$4:$H$303,④退税核算!$A$4:$A$303,$A224,④退税核算!$D$4:$D$303,"未售-海外仓预退（HWC-YT）"))</f>
        <v/>
      </c>
      <c r="R224" s="30" t="str">
        <f aca="false">IF($A224="","",IF(COUNTIFS(④退税核算!$A$4:$A$303,$A224,④退税核算!$D$4:$D$303,"未售-海外仓预退（HWC-YT）",④退税核算!$I$4:$I$303,"&gt;0")=0,"",_xlfn.MINIFS(④退税核算!$J$4:$J$303,④退税核算!$A$4:$A$303,$A224,④退税核算!$D$4:$D$303,"未售-海外仓预退（HWC-YT）")))</f>
        <v/>
      </c>
      <c r="S224" s="35" t="str">
        <f aca="false">IF($A224="","",IF(COUNTIFS(④退税核算!$A$4:$A$303,$A224,④退税核算!$D$4:$D$303,"未售-海外仓预退（HWC-YT）")=0,"不涉及",IF(COUNTIFS(④退税核算!$A$4:$A$303,$A224,④退税核算!$S$4:$S$303,"已逾期*")&gt;0,"已逾期",IF(COUNTIFS(④退税核算!$A$4:$A$303,$A224,④退税核算!$S$4:$S$303,"临近*")&gt;0,"临近截止",IF(COUNTIFS(④退税核算!$A$4:$A$303,$A224,④退税核算!$S$4:$S$303,"待*")&gt;0,"待核算","已核算")))))</f>
        <v/>
      </c>
      <c r="T224" s="35" t="str">
        <f aca="false">IF($A224="","",IFERROR(INDEX(⑥单证留存!$P$4:$P$203,MATCH(①出口报关!B221,⑥单证留存!$A$4:$A$203,0)),"未登记"))</f>
        <v/>
      </c>
      <c r="U224" s="36" t="str">
        <f aca="false">IF($A224="","",IF(IF(OR(O224="超期未收汇",O224="超过收汇期限仍未销售")," 收汇超期","")&amp;IF(S224="已逾期"," 核算逾期","")&amp;IF(S224="临近截止"," 核算临近截止","")&amp;IF(LEFT(T224,1)="缺"," 单证"&amp;T224,"")&amp;IF(T224="未登记"," 单证未登记","")&amp;IF(AND(ISNUMBER(G224),N(G224)&lt;&gt;0)," 入仓差异"&amp;G224,"")="","正常",SUBSTITUTE(TRIM(IF(OR(O224="超期未收汇",O224="超过收汇期限仍未销售")," 收汇超期","")&amp;IF(S224="已逾期"," 核算逾期","")&amp;IF(S224="临近截止"," 核算临近截止","")&amp;IF(LEFT(T224,1)="缺"," 单证"&amp;T224,"")&amp;IF(T224="未登记"," 单证未登记","")&amp;IF(AND(ISNUMBER(G224),N(G224)&lt;&gt;0)," 入仓差异"&amp;G224,""))," ","、")))</f>
        <v/>
      </c>
    </row>
    <row r="225" customFormat="false" ht="21.75" hidden="false" customHeight="true" outlineLevel="0" collapsed="false">
      <c r="A225" s="29" t="str">
        <f aca="false">IF(①出口报关!A222="","",①出口报关!A222)</f>
        <v/>
      </c>
      <c r="B225" s="29" t="str">
        <f aca="false">IF($A225="","",①出口报关!I222)</f>
        <v/>
      </c>
      <c r="C225" s="29" t="str">
        <f aca="false">IF($A225="","",①出口报关!J222)</f>
        <v/>
      </c>
      <c r="D225" s="30" t="str">
        <f aca="false">IF($A225="","",IF(①出口报关!D222="","",①出口报关!D222))</f>
        <v/>
      </c>
      <c r="E225" s="31" t="str">
        <f aca="false">IF($A225="","",N(①出口报关!L222))</f>
        <v/>
      </c>
      <c r="F225" s="31" t="str">
        <f aca="false">IF($A225="","",IF(①出口报关!Y222="","未签收",①出口报关!Y222))</f>
        <v/>
      </c>
      <c r="G225" s="32" t="str">
        <f aca="false">IF(OR($A225="",NOT(ISNUMBER(F225))),"",F225-E225)</f>
        <v/>
      </c>
      <c r="H225" s="31" t="str">
        <f aca="false">IF($A225="","",SUMIFS(②销售核销!$I$4:$I$603,②销售核销!$E$4:$E$603,$A225))</f>
        <v/>
      </c>
      <c r="I225" s="31" t="str">
        <f aca="false">IF($A225="","",SUMIFS(⑤库存异常!$E$4:$E$203,⑤库存异常!$B$4:$B$203,$A225))</f>
        <v/>
      </c>
      <c r="J225" s="31" t="str">
        <f aca="false">IF($A225="","",IF(ISNUMBER(F225),F225,E225)-H225-I225)</f>
        <v/>
      </c>
      <c r="K225" s="33" t="str">
        <f aca="false">IF(OR($A225="",N(E225)=0),"",H225/E225)</f>
        <v/>
      </c>
      <c r="L225" s="34" t="str">
        <f aca="false">IF($A225="","",SUMIFS(②销售核销!$L$4:$L$603,②销售核销!$E$4:$E$603,$A225))</f>
        <v/>
      </c>
      <c r="M225" s="34" t="str">
        <f aca="false">IF($A225="","",SUMIFS(②销售核销!$L$4:$L$603,②销售核销!$E$4:$E$603,$A225,②销售核销!$M$4:$M$603,"已收汇"))</f>
        <v/>
      </c>
      <c r="N225" s="30" t="str">
        <f aca="false">IF(ISNUMBER(D225),DATE(YEAR(D225)+1,4,30),"")</f>
        <v/>
      </c>
      <c r="O225" s="35" t="str">
        <f aca="true">IF($A225="","",IF(N(H225)=0,IF(AND(ISNUMBER(N225),TODAY()&gt;N225),"超过收汇期限仍未销售","尚未销售"),IF(ROUND(M225,2)&gt;=ROUND(L225,2),"已售部分已收汇",IF(AND(ISNUMBER(N225),TODAY()&gt;N225),"超期未收汇","有回款待收汇"))))</f>
        <v/>
      </c>
      <c r="P225" s="34" t="str">
        <f aca="false">IF($A225="","",SUMIFS(④退税核算!$H$4:$H$303,④退税核算!$A$4:$A$303,$A225))</f>
        <v/>
      </c>
      <c r="Q225" s="34" t="str">
        <f aca="false">IF($A225="","",SUMIFS(④退税核算!$H$4:$H$303,④退税核算!$A$4:$A$303,$A225,④退税核算!$D$4:$D$303,"未售-海外仓预退（HWC-YT）"))</f>
        <v/>
      </c>
      <c r="R225" s="30" t="str">
        <f aca="false">IF($A225="","",IF(COUNTIFS(④退税核算!$A$4:$A$303,$A225,④退税核算!$D$4:$D$303,"未售-海外仓预退（HWC-YT）",④退税核算!$I$4:$I$303,"&gt;0")=0,"",_xlfn.MINIFS(④退税核算!$J$4:$J$303,④退税核算!$A$4:$A$303,$A225,④退税核算!$D$4:$D$303,"未售-海外仓预退（HWC-YT）")))</f>
        <v/>
      </c>
      <c r="S225" s="35" t="str">
        <f aca="false">IF($A225="","",IF(COUNTIFS(④退税核算!$A$4:$A$303,$A225,④退税核算!$D$4:$D$303,"未售-海外仓预退（HWC-YT）")=0,"不涉及",IF(COUNTIFS(④退税核算!$A$4:$A$303,$A225,④退税核算!$S$4:$S$303,"已逾期*")&gt;0,"已逾期",IF(COUNTIFS(④退税核算!$A$4:$A$303,$A225,④退税核算!$S$4:$S$303,"临近*")&gt;0,"临近截止",IF(COUNTIFS(④退税核算!$A$4:$A$303,$A225,④退税核算!$S$4:$S$303,"待*")&gt;0,"待核算","已核算")))))</f>
        <v/>
      </c>
      <c r="T225" s="35" t="str">
        <f aca="false">IF($A225="","",IFERROR(INDEX(⑥单证留存!$P$4:$P$203,MATCH(①出口报关!B222,⑥单证留存!$A$4:$A$203,0)),"未登记"))</f>
        <v/>
      </c>
      <c r="U225" s="36" t="str">
        <f aca="false">IF($A225="","",IF(IF(OR(O225="超期未收汇",O225="超过收汇期限仍未销售")," 收汇超期","")&amp;IF(S225="已逾期"," 核算逾期","")&amp;IF(S225="临近截止"," 核算临近截止","")&amp;IF(LEFT(T225,1)="缺"," 单证"&amp;T225,"")&amp;IF(T225="未登记"," 单证未登记","")&amp;IF(AND(ISNUMBER(G225),N(G225)&lt;&gt;0)," 入仓差异"&amp;G225,"")="","正常",SUBSTITUTE(TRIM(IF(OR(O225="超期未收汇",O225="超过收汇期限仍未销售")," 收汇超期","")&amp;IF(S225="已逾期"," 核算逾期","")&amp;IF(S225="临近截止"," 核算临近截止","")&amp;IF(LEFT(T225,1)="缺"," 单证"&amp;T225,"")&amp;IF(T225="未登记"," 单证未登记","")&amp;IF(AND(ISNUMBER(G225),N(G225)&lt;&gt;0)," 入仓差异"&amp;G225,""))," ","、")))</f>
        <v/>
      </c>
    </row>
    <row r="226" customFormat="false" ht="21.75" hidden="false" customHeight="true" outlineLevel="0" collapsed="false">
      <c r="A226" s="29" t="str">
        <f aca="false">IF(①出口报关!A223="","",①出口报关!A223)</f>
        <v/>
      </c>
      <c r="B226" s="29" t="str">
        <f aca="false">IF($A226="","",①出口报关!I223)</f>
        <v/>
      </c>
      <c r="C226" s="29" t="str">
        <f aca="false">IF($A226="","",①出口报关!J223)</f>
        <v/>
      </c>
      <c r="D226" s="30" t="str">
        <f aca="false">IF($A226="","",IF(①出口报关!D223="","",①出口报关!D223))</f>
        <v/>
      </c>
      <c r="E226" s="31" t="str">
        <f aca="false">IF($A226="","",N(①出口报关!L223))</f>
        <v/>
      </c>
      <c r="F226" s="31" t="str">
        <f aca="false">IF($A226="","",IF(①出口报关!Y223="","未签收",①出口报关!Y223))</f>
        <v/>
      </c>
      <c r="G226" s="32" t="str">
        <f aca="false">IF(OR($A226="",NOT(ISNUMBER(F226))),"",F226-E226)</f>
        <v/>
      </c>
      <c r="H226" s="31" t="str">
        <f aca="false">IF($A226="","",SUMIFS(②销售核销!$I$4:$I$603,②销售核销!$E$4:$E$603,$A226))</f>
        <v/>
      </c>
      <c r="I226" s="31" t="str">
        <f aca="false">IF($A226="","",SUMIFS(⑤库存异常!$E$4:$E$203,⑤库存异常!$B$4:$B$203,$A226))</f>
        <v/>
      </c>
      <c r="J226" s="31" t="str">
        <f aca="false">IF($A226="","",IF(ISNUMBER(F226),F226,E226)-H226-I226)</f>
        <v/>
      </c>
      <c r="K226" s="33" t="str">
        <f aca="false">IF(OR($A226="",N(E226)=0),"",H226/E226)</f>
        <v/>
      </c>
      <c r="L226" s="34" t="str">
        <f aca="false">IF($A226="","",SUMIFS(②销售核销!$L$4:$L$603,②销售核销!$E$4:$E$603,$A226))</f>
        <v/>
      </c>
      <c r="M226" s="34" t="str">
        <f aca="false">IF($A226="","",SUMIFS(②销售核销!$L$4:$L$603,②销售核销!$E$4:$E$603,$A226,②销售核销!$M$4:$M$603,"已收汇"))</f>
        <v/>
      </c>
      <c r="N226" s="30" t="str">
        <f aca="false">IF(ISNUMBER(D226),DATE(YEAR(D226)+1,4,30),"")</f>
        <v/>
      </c>
      <c r="O226" s="35" t="str">
        <f aca="true">IF($A226="","",IF(N(H226)=0,IF(AND(ISNUMBER(N226),TODAY()&gt;N226),"超过收汇期限仍未销售","尚未销售"),IF(ROUND(M226,2)&gt;=ROUND(L226,2),"已售部分已收汇",IF(AND(ISNUMBER(N226),TODAY()&gt;N226),"超期未收汇","有回款待收汇"))))</f>
        <v/>
      </c>
      <c r="P226" s="34" t="str">
        <f aca="false">IF($A226="","",SUMIFS(④退税核算!$H$4:$H$303,④退税核算!$A$4:$A$303,$A226))</f>
        <v/>
      </c>
      <c r="Q226" s="34" t="str">
        <f aca="false">IF($A226="","",SUMIFS(④退税核算!$H$4:$H$303,④退税核算!$A$4:$A$303,$A226,④退税核算!$D$4:$D$303,"未售-海外仓预退（HWC-YT）"))</f>
        <v/>
      </c>
      <c r="R226" s="30" t="str">
        <f aca="false">IF($A226="","",IF(COUNTIFS(④退税核算!$A$4:$A$303,$A226,④退税核算!$D$4:$D$303,"未售-海外仓预退（HWC-YT）",④退税核算!$I$4:$I$303,"&gt;0")=0,"",_xlfn.MINIFS(④退税核算!$J$4:$J$303,④退税核算!$A$4:$A$303,$A226,④退税核算!$D$4:$D$303,"未售-海外仓预退（HWC-YT）")))</f>
        <v/>
      </c>
      <c r="S226" s="35" t="str">
        <f aca="false">IF($A226="","",IF(COUNTIFS(④退税核算!$A$4:$A$303,$A226,④退税核算!$D$4:$D$303,"未售-海外仓预退（HWC-YT）")=0,"不涉及",IF(COUNTIFS(④退税核算!$A$4:$A$303,$A226,④退税核算!$S$4:$S$303,"已逾期*")&gt;0,"已逾期",IF(COUNTIFS(④退税核算!$A$4:$A$303,$A226,④退税核算!$S$4:$S$303,"临近*")&gt;0,"临近截止",IF(COUNTIFS(④退税核算!$A$4:$A$303,$A226,④退税核算!$S$4:$S$303,"待*")&gt;0,"待核算","已核算")))))</f>
        <v/>
      </c>
      <c r="T226" s="35" t="str">
        <f aca="false">IF($A226="","",IFERROR(INDEX(⑥单证留存!$P$4:$P$203,MATCH(①出口报关!B223,⑥单证留存!$A$4:$A$203,0)),"未登记"))</f>
        <v/>
      </c>
      <c r="U226" s="36" t="str">
        <f aca="false">IF($A226="","",IF(IF(OR(O226="超期未收汇",O226="超过收汇期限仍未销售")," 收汇超期","")&amp;IF(S226="已逾期"," 核算逾期","")&amp;IF(S226="临近截止"," 核算临近截止","")&amp;IF(LEFT(T226,1)="缺"," 单证"&amp;T226,"")&amp;IF(T226="未登记"," 单证未登记","")&amp;IF(AND(ISNUMBER(G226),N(G226)&lt;&gt;0)," 入仓差异"&amp;G226,"")="","正常",SUBSTITUTE(TRIM(IF(OR(O226="超期未收汇",O226="超过收汇期限仍未销售")," 收汇超期","")&amp;IF(S226="已逾期"," 核算逾期","")&amp;IF(S226="临近截止"," 核算临近截止","")&amp;IF(LEFT(T226,1)="缺"," 单证"&amp;T226,"")&amp;IF(T226="未登记"," 单证未登记","")&amp;IF(AND(ISNUMBER(G226),N(G226)&lt;&gt;0)," 入仓差异"&amp;G226,""))," ","、")))</f>
        <v/>
      </c>
    </row>
    <row r="227" customFormat="false" ht="21.75" hidden="false" customHeight="true" outlineLevel="0" collapsed="false">
      <c r="A227" s="29" t="str">
        <f aca="false">IF(①出口报关!A224="","",①出口报关!A224)</f>
        <v/>
      </c>
      <c r="B227" s="29" t="str">
        <f aca="false">IF($A227="","",①出口报关!I224)</f>
        <v/>
      </c>
      <c r="C227" s="29" t="str">
        <f aca="false">IF($A227="","",①出口报关!J224)</f>
        <v/>
      </c>
      <c r="D227" s="30" t="str">
        <f aca="false">IF($A227="","",IF(①出口报关!D224="","",①出口报关!D224))</f>
        <v/>
      </c>
      <c r="E227" s="31" t="str">
        <f aca="false">IF($A227="","",N(①出口报关!L224))</f>
        <v/>
      </c>
      <c r="F227" s="31" t="str">
        <f aca="false">IF($A227="","",IF(①出口报关!Y224="","未签收",①出口报关!Y224))</f>
        <v/>
      </c>
      <c r="G227" s="32" t="str">
        <f aca="false">IF(OR($A227="",NOT(ISNUMBER(F227))),"",F227-E227)</f>
        <v/>
      </c>
      <c r="H227" s="31" t="str">
        <f aca="false">IF($A227="","",SUMIFS(②销售核销!$I$4:$I$603,②销售核销!$E$4:$E$603,$A227))</f>
        <v/>
      </c>
      <c r="I227" s="31" t="str">
        <f aca="false">IF($A227="","",SUMIFS(⑤库存异常!$E$4:$E$203,⑤库存异常!$B$4:$B$203,$A227))</f>
        <v/>
      </c>
      <c r="J227" s="31" t="str">
        <f aca="false">IF($A227="","",IF(ISNUMBER(F227),F227,E227)-H227-I227)</f>
        <v/>
      </c>
      <c r="K227" s="33" t="str">
        <f aca="false">IF(OR($A227="",N(E227)=0),"",H227/E227)</f>
        <v/>
      </c>
      <c r="L227" s="34" t="str">
        <f aca="false">IF($A227="","",SUMIFS(②销售核销!$L$4:$L$603,②销售核销!$E$4:$E$603,$A227))</f>
        <v/>
      </c>
      <c r="M227" s="34" t="str">
        <f aca="false">IF($A227="","",SUMIFS(②销售核销!$L$4:$L$603,②销售核销!$E$4:$E$603,$A227,②销售核销!$M$4:$M$603,"已收汇"))</f>
        <v/>
      </c>
      <c r="N227" s="30" t="str">
        <f aca="false">IF(ISNUMBER(D227),DATE(YEAR(D227)+1,4,30),"")</f>
        <v/>
      </c>
      <c r="O227" s="35" t="str">
        <f aca="true">IF($A227="","",IF(N(H227)=0,IF(AND(ISNUMBER(N227),TODAY()&gt;N227),"超过收汇期限仍未销售","尚未销售"),IF(ROUND(M227,2)&gt;=ROUND(L227,2),"已售部分已收汇",IF(AND(ISNUMBER(N227),TODAY()&gt;N227),"超期未收汇","有回款待收汇"))))</f>
        <v/>
      </c>
      <c r="P227" s="34" t="str">
        <f aca="false">IF($A227="","",SUMIFS(④退税核算!$H$4:$H$303,④退税核算!$A$4:$A$303,$A227))</f>
        <v/>
      </c>
      <c r="Q227" s="34" t="str">
        <f aca="false">IF($A227="","",SUMIFS(④退税核算!$H$4:$H$303,④退税核算!$A$4:$A$303,$A227,④退税核算!$D$4:$D$303,"未售-海外仓预退（HWC-YT）"))</f>
        <v/>
      </c>
      <c r="R227" s="30" t="str">
        <f aca="false">IF($A227="","",IF(COUNTIFS(④退税核算!$A$4:$A$303,$A227,④退税核算!$D$4:$D$303,"未售-海外仓预退（HWC-YT）",④退税核算!$I$4:$I$303,"&gt;0")=0,"",_xlfn.MINIFS(④退税核算!$J$4:$J$303,④退税核算!$A$4:$A$303,$A227,④退税核算!$D$4:$D$303,"未售-海外仓预退（HWC-YT）")))</f>
        <v/>
      </c>
      <c r="S227" s="35" t="str">
        <f aca="false">IF($A227="","",IF(COUNTIFS(④退税核算!$A$4:$A$303,$A227,④退税核算!$D$4:$D$303,"未售-海外仓预退（HWC-YT）")=0,"不涉及",IF(COUNTIFS(④退税核算!$A$4:$A$303,$A227,④退税核算!$S$4:$S$303,"已逾期*")&gt;0,"已逾期",IF(COUNTIFS(④退税核算!$A$4:$A$303,$A227,④退税核算!$S$4:$S$303,"临近*")&gt;0,"临近截止",IF(COUNTIFS(④退税核算!$A$4:$A$303,$A227,④退税核算!$S$4:$S$303,"待*")&gt;0,"待核算","已核算")))))</f>
        <v/>
      </c>
      <c r="T227" s="35" t="str">
        <f aca="false">IF($A227="","",IFERROR(INDEX(⑥单证留存!$P$4:$P$203,MATCH(①出口报关!B224,⑥单证留存!$A$4:$A$203,0)),"未登记"))</f>
        <v/>
      </c>
      <c r="U227" s="36" t="str">
        <f aca="false">IF($A227="","",IF(IF(OR(O227="超期未收汇",O227="超过收汇期限仍未销售")," 收汇超期","")&amp;IF(S227="已逾期"," 核算逾期","")&amp;IF(S227="临近截止"," 核算临近截止","")&amp;IF(LEFT(T227,1)="缺"," 单证"&amp;T227,"")&amp;IF(T227="未登记"," 单证未登记","")&amp;IF(AND(ISNUMBER(G227),N(G227)&lt;&gt;0)," 入仓差异"&amp;G227,"")="","正常",SUBSTITUTE(TRIM(IF(OR(O227="超期未收汇",O227="超过收汇期限仍未销售")," 收汇超期","")&amp;IF(S227="已逾期"," 核算逾期","")&amp;IF(S227="临近截止"," 核算临近截止","")&amp;IF(LEFT(T227,1)="缺"," 单证"&amp;T227,"")&amp;IF(T227="未登记"," 单证未登记","")&amp;IF(AND(ISNUMBER(G227),N(G227)&lt;&gt;0)," 入仓差异"&amp;G227,""))," ","、")))</f>
        <v/>
      </c>
    </row>
    <row r="228" customFormat="false" ht="21.75" hidden="false" customHeight="true" outlineLevel="0" collapsed="false">
      <c r="A228" s="29" t="str">
        <f aca="false">IF(①出口报关!A225="","",①出口报关!A225)</f>
        <v/>
      </c>
      <c r="B228" s="29" t="str">
        <f aca="false">IF($A228="","",①出口报关!I225)</f>
        <v/>
      </c>
      <c r="C228" s="29" t="str">
        <f aca="false">IF($A228="","",①出口报关!J225)</f>
        <v/>
      </c>
      <c r="D228" s="30" t="str">
        <f aca="false">IF($A228="","",IF(①出口报关!D225="","",①出口报关!D225))</f>
        <v/>
      </c>
      <c r="E228" s="31" t="str">
        <f aca="false">IF($A228="","",N(①出口报关!L225))</f>
        <v/>
      </c>
      <c r="F228" s="31" t="str">
        <f aca="false">IF($A228="","",IF(①出口报关!Y225="","未签收",①出口报关!Y225))</f>
        <v/>
      </c>
      <c r="G228" s="32" t="str">
        <f aca="false">IF(OR($A228="",NOT(ISNUMBER(F228))),"",F228-E228)</f>
        <v/>
      </c>
      <c r="H228" s="31" t="str">
        <f aca="false">IF($A228="","",SUMIFS(②销售核销!$I$4:$I$603,②销售核销!$E$4:$E$603,$A228))</f>
        <v/>
      </c>
      <c r="I228" s="31" t="str">
        <f aca="false">IF($A228="","",SUMIFS(⑤库存异常!$E$4:$E$203,⑤库存异常!$B$4:$B$203,$A228))</f>
        <v/>
      </c>
      <c r="J228" s="31" t="str">
        <f aca="false">IF($A228="","",IF(ISNUMBER(F228),F228,E228)-H228-I228)</f>
        <v/>
      </c>
      <c r="K228" s="33" t="str">
        <f aca="false">IF(OR($A228="",N(E228)=0),"",H228/E228)</f>
        <v/>
      </c>
      <c r="L228" s="34" t="str">
        <f aca="false">IF($A228="","",SUMIFS(②销售核销!$L$4:$L$603,②销售核销!$E$4:$E$603,$A228))</f>
        <v/>
      </c>
      <c r="M228" s="34" t="str">
        <f aca="false">IF($A228="","",SUMIFS(②销售核销!$L$4:$L$603,②销售核销!$E$4:$E$603,$A228,②销售核销!$M$4:$M$603,"已收汇"))</f>
        <v/>
      </c>
      <c r="N228" s="30" t="str">
        <f aca="false">IF(ISNUMBER(D228),DATE(YEAR(D228)+1,4,30),"")</f>
        <v/>
      </c>
      <c r="O228" s="35" t="str">
        <f aca="true">IF($A228="","",IF(N(H228)=0,IF(AND(ISNUMBER(N228),TODAY()&gt;N228),"超过收汇期限仍未销售","尚未销售"),IF(ROUND(M228,2)&gt;=ROUND(L228,2),"已售部分已收汇",IF(AND(ISNUMBER(N228),TODAY()&gt;N228),"超期未收汇","有回款待收汇"))))</f>
        <v/>
      </c>
      <c r="P228" s="34" t="str">
        <f aca="false">IF($A228="","",SUMIFS(④退税核算!$H$4:$H$303,④退税核算!$A$4:$A$303,$A228))</f>
        <v/>
      </c>
      <c r="Q228" s="34" t="str">
        <f aca="false">IF($A228="","",SUMIFS(④退税核算!$H$4:$H$303,④退税核算!$A$4:$A$303,$A228,④退税核算!$D$4:$D$303,"未售-海外仓预退（HWC-YT）"))</f>
        <v/>
      </c>
      <c r="R228" s="30" t="str">
        <f aca="false">IF($A228="","",IF(COUNTIFS(④退税核算!$A$4:$A$303,$A228,④退税核算!$D$4:$D$303,"未售-海外仓预退（HWC-YT）",④退税核算!$I$4:$I$303,"&gt;0")=0,"",_xlfn.MINIFS(④退税核算!$J$4:$J$303,④退税核算!$A$4:$A$303,$A228,④退税核算!$D$4:$D$303,"未售-海外仓预退（HWC-YT）")))</f>
        <v/>
      </c>
      <c r="S228" s="35" t="str">
        <f aca="false">IF($A228="","",IF(COUNTIFS(④退税核算!$A$4:$A$303,$A228,④退税核算!$D$4:$D$303,"未售-海外仓预退（HWC-YT）")=0,"不涉及",IF(COUNTIFS(④退税核算!$A$4:$A$303,$A228,④退税核算!$S$4:$S$303,"已逾期*")&gt;0,"已逾期",IF(COUNTIFS(④退税核算!$A$4:$A$303,$A228,④退税核算!$S$4:$S$303,"临近*")&gt;0,"临近截止",IF(COUNTIFS(④退税核算!$A$4:$A$303,$A228,④退税核算!$S$4:$S$303,"待*")&gt;0,"待核算","已核算")))))</f>
        <v/>
      </c>
      <c r="T228" s="35" t="str">
        <f aca="false">IF($A228="","",IFERROR(INDEX(⑥单证留存!$P$4:$P$203,MATCH(①出口报关!B225,⑥单证留存!$A$4:$A$203,0)),"未登记"))</f>
        <v/>
      </c>
      <c r="U228" s="36" t="str">
        <f aca="false">IF($A228="","",IF(IF(OR(O228="超期未收汇",O228="超过收汇期限仍未销售")," 收汇超期","")&amp;IF(S228="已逾期"," 核算逾期","")&amp;IF(S228="临近截止"," 核算临近截止","")&amp;IF(LEFT(T228,1)="缺"," 单证"&amp;T228,"")&amp;IF(T228="未登记"," 单证未登记","")&amp;IF(AND(ISNUMBER(G228),N(G228)&lt;&gt;0)," 入仓差异"&amp;G228,"")="","正常",SUBSTITUTE(TRIM(IF(OR(O228="超期未收汇",O228="超过收汇期限仍未销售")," 收汇超期","")&amp;IF(S228="已逾期"," 核算逾期","")&amp;IF(S228="临近截止"," 核算临近截止","")&amp;IF(LEFT(T228,1)="缺"," 单证"&amp;T228,"")&amp;IF(T228="未登记"," 单证未登记","")&amp;IF(AND(ISNUMBER(G228),N(G228)&lt;&gt;0)," 入仓差异"&amp;G228,""))," ","、")))</f>
        <v/>
      </c>
    </row>
    <row r="229" customFormat="false" ht="21.75" hidden="false" customHeight="true" outlineLevel="0" collapsed="false">
      <c r="A229" s="29" t="str">
        <f aca="false">IF(①出口报关!A226="","",①出口报关!A226)</f>
        <v/>
      </c>
      <c r="B229" s="29" t="str">
        <f aca="false">IF($A229="","",①出口报关!I226)</f>
        <v/>
      </c>
      <c r="C229" s="29" t="str">
        <f aca="false">IF($A229="","",①出口报关!J226)</f>
        <v/>
      </c>
      <c r="D229" s="30" t="str">
        <f aca="false">IF($A229="","",IF(①出口报关!D226="","",①出口报关!D226))</f>
        <v/>
      </c>
      <c r="E229" s="31" t="str">
        <f aca="false">IF($A229="","",N(①出口报关!L226))</f>
        <v/>
      </c>
      <c r="F229" s="31" t="str">
        <f aca="false">IF($A229="","",IF(①出口报关!Y226="","未签收",①出口报关!Y226))</f>
        <v/>
      </c>
      <c r="G229" s="32" t="str">
        <f aca="false">IF(OR($A229="",NOT(ISNUMBER(F229))),"",F229-E229)</f>
        <v/>
      </c>
      <c r="H229" s="31" t="str">
        <f aca="false">IF($A229="","",SUMIFS(②销售核销!$I$4:$I$603,②销售核销!$E$4:$E$603,$A229))</f>
        <v/>
      </c>
      <c r="I229" s="31" t="str">
        <f aca="false">IF($A229="","",SUMIFS(⑤库存异常!$E$4:$E$203,⑤库存异常!$B$4:$B$203,$A229))</f>
        <v/>
      </c>
      <c r="J229" s="31" t="str">
        <f aca="false">IF($A229="","",IF(ISNUMBER(F229),F229,E229)-H229-I229)</f>
        <v/>
      </c>
      <c r="K229" s="33" t="str">
        <f aca="false">IF(OR($A229="",N(E229)=0),"",H229/E229)</f>
        <v/>
      </c>
      <c r="L229" s="34" t="str">
        <f aca="false">IF($A229="","",SUMIFS(②销售核销!$L$4:$L$603,②销售核销!$E$4:$E$603,$A229))</f>
        <v/>
      </c>
      <c r="M229" s="34" t="str">
        <f aca="false">IF($A229="","",SUMIFS(②销售核销!$L$4:$L$603,②销售核销!$E$4:$E$603,$A229,②销售核销!$M$4:$M$603,"已收汇"))</f>
        <v/>
      </c>
      <c r="N229" s="30" t="str">
        <f aca="false">IF(ISNUMBER(D229),DATE(YEAR(D229)+1,4,30),"")</f>
        <v/>
      </c>
      <c r="O229" s="35" t="str">
        <f aca="true">IF($A229="","",IF(N(H229)=0,IF(AND(ISNUMBER(N229),TODAY()&gt;N229),"超过收汇期限仍未销售","尚未销售"),IF(ROUND(M229,2)&gt;=ROUND(L229,2),"已售部分已收汇",IF(AND(ISNUMBER(N229),TODAY()&gt;N229),"超期未收汇","有回款待收汇"))))</f>
        <v/>
      </c>
      <c r="P229" s="34" t="str">
        <f aca="false">IF($A229="","",SUMIFS(④退税核算!$H$4:$H$303,④退税核算!$A$4:$A$303,$A229))</f>
        <v/>
      </c>
      <c r="Q229" s="34" t="str">
        <f aca="false">IF($A229="","",SUMIFS(④退税核算!$H$4:$H$303,④退税核算!$A$4:$A$303,$A229,④退税核算!$D$4:$D$303,"未售-海外仓预退（HWC-YT）"))</f>
        <v/>
      </c>
      <c r="R229" s="30" t="str">
        <f aca="false">IF($A229="","",IF(COUNTIFS(④退税核算!$A$4:$A$303,$A229,④退税核算!$D$4:$D$303,"未售-海外仓预退（HWC-YT）",④退税核算!$I$4:$I$303,"&gt;0")=0,"",_xlfn.MINIFS(④退税核算!$J$4:$J$303,④退税核算!$A$4:$A$303,$A229,④退税核算!$D$4:$D$303,"未售-海外仓预退（HWC-YT）")))</f>
        <v/>
      </c>
      <c r="S229" s="35" t="str">
        <f aca="false">IF($A229="","",IF(COUNTIFS(④退税核算!$A$4:$A$303,$A229,④退税核算!$D$4:$D$303,"未售-海外仓预退（HWC-YT）")=0,"不涉及",IF(COUNTIFS(④退税核算!$A$4:$A$303,$A229,④退税核算!$S$4:$S$303,"已逾期*")&gt;0,"已逾期",IF(COUNTIFS(④退税核算!$A$4:$A$303,$A229,④退税核算!$S$4:$S$303,"临近*")&gt;0,"临近截止",IF(COUNTIFS(④退税核算!$A$4:$A$303,$A229,④退税核算!$S$4:$S$303,"待*")&gt;0,"待核算","已核算")))))</f>
        <v/>
      </c>
      <c r="T229" s="35" t="str">
        <f aca="false">IF($A229="","",IFERROR(INDEX(⑥单证留存!$P$4:$P$203,MATCH(①出口报关!B226,⑥单证留存!$A$4:$A$203,0)),"未登记"))</f>
        <v/>
      </c>
      <c r="U229" s="36" t="str">
        <f aca="false">IF($A229="","",IF(IF(OR(O229="超期未收汇",O229="超过收汇期限仍未销售")," 收汇超期","")&amp;IF(S229="已逾期"," 核算逾期","")&amp;IF(S229="临近截止"," 核算临近截止","")&amp;IF(LEFT(T229,1)="缺"," 单证"&amp;T229,"")&amp;IF(T229="未登记"," 单证未登记","")&amp;IF(AND(ISNUMBER(G229),N(G229)&lt;&gt;0)," 入仓差异"&amp;G229,"")="","正常",SUBSTITUTE(TRIM(IF(OR(O229="超期未收汇",O229="超过收汇期限仍未销售")," 收汇超期","")&amp;IF(S229="已逾期"," 核算逾期","")&amp;IF(S229="临近截止"," 核算临近截止","")&amp;IF(LEFT(T229,1)="缺"," 单证"&amp;T229,"")&amp;IF(T229="未登记"," 单证未登记","")&amp;IF(AND(ISNUMBER(G229),N(G229)&lt;&gt;0)," 入仓差异"&amp;G229,""))," ","、")))</f>
        <v/>
      </c>
    </row>
    <row r="230" customFormat="false" ht="21.75" hidden="false" customHeight="true" outlineLevel="0" collapsed="false">
      <c r="A230" s="29" t="str">
        <f aca="false">IF(①出口报关!A227="","",①出口报关!A227)</f>
        <v/>
      </c>
      <c r="B230" s="29" t="str">
        <f aca="false">IF($A230="","",①出口报关!I227)</f>
        <v/>
      </c>
      <c r="C230" s="29" t="str">
        <f aca="false">IF($A230="","",①出口报关!J227)</f>
        <v/>
      </c>
      <c r="D230" s="30" t="str">
        <f aca="false">IF($A230="","",IF(①出口报关!D227="","",①出口报关!D227))</f>
        <v/>
      </c>
      <c r="E230" s="31" t="str">
        <f aca="false">IF($A230="","",N(①出口报关!L227))</f>
        <v/>
      </c>
      <c r="F230" s="31" t="str">
        <f aca="false">IF($A230="","",IF(①出口报关!Y227="","未签收",①出口报关!Y227))</f>
        <v/>
      </c>
      <c r="G230" s="32" t="str">
        <f aca="false">IF(OR($A230="",NOT(ISNUMBER(F230))),"",F230-E230)</f>
        <v/>
      </c>
      <c r="H230" s="31" t="str">
        <f aca="false">IF($A230="","",SUMIFS(②销售核销!$I$4:$I$603,②销售核销!$E$4:$E$603,$A230))</f>
        <v/>
      </c>
      <c r="I230" s="31" t="str">
        <f aca="false">IF($A230="","",SUMIFS(⑤库存异常!$E$4:$E$203,⑤库存异常!$B$4:$B$203,$A230))</f>
        <v/>
      </c>
      <c r="J230" s="31" t="str">
        <f aca="false">IF($A230="","",IF(ISNUMBER(F230),F230,E230)-H230-I230)</f>
        <v/>
      </c>
      <c r="K230" s="33" t="str">
        <f aca="false">IF(OR($A230="",N(E230)=0),"",H230/E230)</f>
        <v/>
      </c>
      <c r="L230" s="34" t="str">
        <f aca="false">IF($A230="","",SUMIFS(②销售核销!$L$4:$L$603,②销售核销!$E$4:$E$603,$A230))</f>
        <v/>
      </c>
      <c r="M230" s="34" t="str">
        <f aca="false">IF($A230="","",SUMIFS(②销售核销!$L$4:$L$603,②销售核销!$E$4:$E$603,$A230,②销售核销!$M$4:$M$603,"已收汇"))</f>
        <v/>
      </c>
      <c r="N230" s="30" t="str">
        <f aca="false">IF(ISNUMBER(D230),DATE(YEAR(D230)+1,4,30),"")</f>
        <v/>
      </c>
      <c r="O230" s="35" t="str">
        <f aca="true">IF($A230="","",IF(N(H230)=0,IF(AND(ISNUMBER(N230),TODAY()&gt;N230),"超过收汇期限仍未销售","尚未销售"),IF(ROUND(M230,2)&gt;=ROUND(L230,2),"已售部分已收汇",IF(AND(ISNUMBER(N230),TODAY()&gt;N230),"超期未收汇","有回款待收汇"))))</f>
        <v/>
      </c>
      <c r="P230" s="34" t="str">
        <f aca="false">IF($A230="","",SUMIFS(④退税核算!$H$4:$H$303,④退税核算!$A$4:$A$303,$A230))</f>
        <v/>
      </c>
      <c r="Q230" s="34" t="str">
        <f aca="false">IF($A230="","",SUMIFS(④退税核算!$H$4:$H$303,④退税核算!$A$4:$A$303,$A230,④退税核算!$D$4:$D$303,"未售-海外仓预退（HWC-YT）"))</f>
        <v/>
      </c>
      <c r="R230" s="30" t="str">
        <f aca="false">IF($A230="","",IF(COUNTIFS(④退税核算!$A$4:$A$303,$A230,④退税核算!$D$4:$D$303,"未售-海外仓预退（HWC-YT）",④退税核算!$I$4:$I$303,"&gt;0")=0,"",_xlfn.MINIFS(④退税核算!$J$4:$J$303,④退税核算!$A$4:$A$303,$A230,④退税核算!$D$4:$D$303,"未售-海外仓预退（HWC-YT）")))</f>
        <v/>
      </c>
      <c r="S230" s="35" t="str">
        <f aca="false">IF($A230="","",IF(COUNTIFS(④退税核算!$A$4:$A$303,$A230,④退税核算!$D$4:$D$303,"未售-海外仓预退（HWC-YT）")=0,"不涉及",IF(COUNTIFS(④退税核算!$A$4:$A$303,$A230,④退税核算!$S$4:$S$303,"已逾期*")&gt;0,"已逾期",IF(COUNTIFS(④退税核算!$A$4:$A$303,$A230,④退税核算!$S$4:$S$303,"临近*")&gt;0,"临近截止",IF(COUNTIFS(④退税核算!$A$4:$A$303,$A230,④退税核算!$S$4:$S$303,"待*")&gt;0,"待核算","已核算")))))</f>
        <v/>
      </c>
      <c r="T230" s="35" t="str">
        <f aca="false">IF($A230="","",IFERROR(INDEX(⑥单证留存!$P$4:$P$203,MATCH(①出口报关!B227,⑥单证留存!$A$4:$A$203,0)),"未登记"))</f>
        <v/>
      </c>
      <c r="U230" s="36" t="str">
        <f aca="false">IF($A230="","",IF(IF(OR(O230="超期未收汇",O230="超过收汇期限仍未销售")," 收汇超期","")&amp;IF(S230="已逾期"," 核算逾期","")&amp;IF(S230="临近截止"," 核算临近截止","")&amp;IF(LEFT(T230,1)="缺"," 单证"&amp;T230,"")&amp;IF(T230="未登记"," 单证未登记","")&amp;IF(AND(ISNUMBER(G230),N(G230)&lt;&gt;0)," 入仓差异"&amp;G230,"")="","正常",SUBSTITUTE(TRIM(IF(OR(O230="超期未收汇",O230="超过收汇期限仍未销售")," 收汇超期","")&amp;IF(S230="已逾期"," 核算逾期","")&amp;IF(S230="临近截止"," 核算临近截止","")&amp;IF(LEFT(T230,1)="缺"," 单证"&amp;T230,"")&amp;IF(T230="未登记"," 单证未登记","")&amp;IF(AND(ISNUMBER(G230),N(G230)&lt;&gt;0)," 入仓差异"&amp;G230,""))," ","、")))</f>
        <v/>
      </c>
    </row>
    <row r="231" customFormat="false" ht="21.75" hidden="false" customHeight="true" outlineLevel="0" collapsed="false">
      <c r="A231" s="29" t="str">
        <f aca="false">IF(①出口报关!A228="","",①出口报关!A228)</f>
        <v/>
      </c>
      <c r="B231" s="29" t="str">
        <f aca="false">IF($A231="","",①出口报关!I228)</f>
        <v/>
      </c>
      <c r="C231" s="29" t="str">
        <f aca="false">IF($A231="","",①出口报关!J228)</f>
        <v/>
      </c>
      <c r="D231" s="30" t="str">
        <f aca="false">IF($A231="","",IF(①出口报关!D228="","",①出口报关!D228))</f>
        <v/>
      </c>
      <c r="E231" s="31" t="str">
        <f aca="false">IF($A231="","",N(①出口报关!L228))</f>
        <v/>
      </c>
      <c r="F231" s="31" t="str">
        <f aca="false">IF($A231="","",IF(①出口报关!Y228="","未签收",①出口报关!Y228))</f>
        <v/>
      </c>
      <c r="G231" s="32" t="str">
        <f aca="false">IF(OR($A231="",NOT(ISNUMBER(F231))),"",F231-E231)</f>
        <v/>
      </c>
      <c r="H231" s="31" t="str">
        <f aca="false">IF($A231="","",SUMIFS(②销售核销!$I$4:$I$603,②销售核销!$E$4:$E$603,$A231))</f>
        <v/>
      </c>
      <c r="I231" s="31" t="str">
        <f aca="false">IF($A231="","",SUMIFS(⑤库存异常!$E$4:$E$203,⑤库存异常!$B$4:$B$203,$A231))</f>
        <v/>
      </c>
      <c r="J231" s="31" t="str">
        <f aca="false">IF($A231="","",IF(ISNUMBER(F231),F231,E231)-H231-I231)</f>
        <v/>
      </c>
      <c r="K231" s="33" t="str">
        <f aca="false">IF(OR($A231="",N(E231)=0),"",H231/E231)</f>
        <v/>
      </c>
      <c r="L231" s="34" t="str">
        <f aca="false">IF($A231="","",SUMIFS(②销售核销!$L$4:$L$603,②销售核销!$E$4:$E$603,$A231))</f>
        <v/>
      </c>
      <c r="M231" s="34" t="str">
        <f aca="false">IF($A231="","",SUMIFS(②销售核销!$L$4:$L$603,②销售核销!$E$4:$E$603,$A231,②销售核销!$M$4:$M$603,"已收汇"))</f>
        <v/>
      </c>
      <c r="N231" s="30" t="str">
        <f aca="false">IF(ISNUMBER(D231),DATE(YEAR(D231)+1,4,30),"")</f>
        <v/>
      </c>
      <c r="O231" s="35" t="str">
        <f aca="true">IF($A231="","",IF(N(H231)=0,IF(AND(ISNUMBER(N231),TODAY()&gt;N231),"超过收汇期限仍未销售","尚未销售"),IF(ROUND(M231,2)&gt;=ROUND(L231,2),"已售部分已收汇",IF(AND(ISNUMBER(N231),TODAY()&gt;N231),"超期未收汇","有回款待收汇"))))</f>
        <v/>
      </c>
      <c r="P231" s="34" t="str">
        <f aca="false">IF($A231="","",SUMIFS(④退税核算!$H$4:$H$303,④退税核算!$A$4:$A$303,$A231))</f>
        <v/>
      </c>
      <c r="Q231" s="34" t="str">
        <f aca="false">IF($A231="","",SUMIFS(④退税核算!$H$4:$H$303,④退税核算!$A$4:$A$303,$A231,④退税核算!$D$4:$D$303,"未售-海外仓预退（HWC-YT）"))</f>
        <v/>
      </c>
      <c r="R231" s="30" t="str">
        <f aca="false">IF($A231="","",IF(COUNTIFS(④退税核算!$A$4:$A$303,$A231,④退税核算!$D$4:$D$303,"未售-海外仓预退（HWC-YT）",④退税核算!$I$4:$I$303,"&gt;0")=0,"",_xlfn.MINIFS(④退税核算!$J$4:$J$303,④退税核算!$A$4:$A$303,$A231,④退税核算!$D$4:$D$303,"未售-海外仓预退（HWC-YT）")))</f>
        <v/>
      </c>
      <c r="S231" s="35" t="str">
        <f aca="false">IF($A231="","",IF(COUNTIFS(④退税核算!$A$4:$A$303,$A231,④退税核算!$D$4:$D$303,"未售-海外仓预退（HWC-YT）")=0,"不涉及",IF(COUNTIFS(④退税核算!$A$4:$A$303,$A231,④退税核算!$S$4:$S$303,"已逾期*")&gt;0,"已逾期",IF(COUNTIFS(④退税核算!$A$4:$A$303,$A231,④退税核算!$S$4:$S$303,"临近*")&gt;0,"临近截止",IF(COUNTIFS(④退税核算!$A$4:$A$303,$A231,④退税核算!$S$4:$S$303,"待*")&gt;0,"待核算","已核算")))))</f>
        <v/>
      </c>
      <c r="T231" s="35" t="str">
        <f aca="false">IF($A231="","",IFERROR(INDEX(⑥单证留存!$P$4:$P$203,MATCH(①出口报关!B228,⑥单证留存!$A$4:$A$203,0)),"未登记"))</f>
        <v/>
      </c>
      <c r="U231" s="36" t="str">
        <f aca="false">IF($A231="","",IF(IF(OR(O231="超期未收汇",O231="超过收汇期限仍未销售")," 收汇超期","")&amp;IF(S231="已逾期"," 核算逾期","")&amp;IF(S231="临近截止"," 核算临近截止","")&amp;IF(LEFT(T231,1)="缺"," 单证"&amp;T231,"")&amp;IF(T231="未登记"," 单证未登记","")&amp;IF(AND(ISNUMBER(G231),N(G231)&lt;&gt;0)," 入仓差异"&amp;G231,"")="","正常",SUBSTITUTE(TRIM(IF(OR(O231="超期未收汇",O231="超过收汇期限仍未销售")," 收汇超期","")&amp;IF(S231="已逾期"," 核算逾期","")&amp;IF(S231="临近截止"," 核算临近截止","")&amp;IF(LEFT(T231,1)="缺"," 单证"&amp;T231,"")&amp;IF(T231="未登记"," 单证未登记","")&amp;IF(AND(ISNUMBER(G231),N(G231)&lt;&gt;0)," 入仓差异"&amp;G231,""))," ","、")))</f>
        <v/>
      </c>
    </row>
    <row r="232" customFormat="false" ht="21.75" hidden="false" customHeight="true" outlineLevel="0" collapsed="false">
      <c r="A232" s="29" t="str">
        <f aca="false">IF(①出口报关!A229="","",①出口报关!A229)</f>
        <v/>
      </c>
      <c r="B232" s="29" t="str">
        <f aca="false">IF($A232="","",①出口报关!I229)</f>
        <v/>
      </c>
      <c r="C232" s="29" t="str">
        <f aca="false">IF($A232="","",①出口报关!J229)</f>
        <v/>
      </c>
      <c r="D232" s="30" t="str">
        <f aca="false">IF($A232="","",IF(①出口报关!D229="","",①出口报关!D229))</f>
        <v/>
      </c>
      <c r="E232" s="31" t="str">
        <f aca="false">IF($A232="","",N(①出口报关!L229))</f>
        <v/>
      </c>
      <c r="F232" s="31" t="str">
        <f aca="false">IF($A232="","",IF(①出口报关!Y229="","未签收",①出口报关!Y229))</f>
        <v/>
      </c>
      <c r="G232" s="32" t="str">
        <f aca="false">IF(OR($A232="",NOT(ISNUMBER(F232))),"",F232-E232)</f>
        <v/>
      </c>
      <c r="H232" s="31" t="str">
        <f aca="false">IF($A232="","",SUMIFS(②销售核销!$I$4:$I$603,②销售核销!$E$4:$E$603,$A232))</f>
        <v/>
      </c>
      <c r="I232" s="31" t="str">
        <f aca="false">IF($A232="","",SUMIFS(⑤库存异常!$E$4:$E$203,⑤库存异常!$B$4:$B$203,$A232))</f>
        <v/>
      </c>
      <c r="J232" s="31" t="str">
        <f aca="false">IF($A232="","",IF(ISNUMBER(F232),F232,E232)-H232-I232)</f>
        <v/>
      </c>
      <c r="K232" s="33" t="str">
        <f aca="false">IF(OR($A232="",N(E232)=0),"",H232/E232)</f>
        <v/>
      </c>
      <c r="L232" s="34" t="str">
        <f aca="false">IF($A232="","",SUMIFS(②销售核销!$L$4:$L$603,②销售核销!$E$4:$E$603,$A232))</f>
        <v/>
      </c>
      <c r="M232" s="34" t="str">
        <f aca="false">IF($A232="","",SUMIFS(②销售核销!$L$4:$L$603,②销售核销!$E$4:$E$603,$A232,②销售核销!$M$4:$M$603,"已收汇"))</f>
        <v/>
      </c>
      <c r="N232" s="30" t="str">
        <f aca="false">IF(ISNUMBER(D232),DATE(YEAR(D232)+1,4,30),"")</f>
        <v/>
      </c>
      <c r="O232" s="35" t="str">
        <f aca="true">IF($A232="","",IF(N(H232)=0,IF(AND(ISNUMBER(N232),TODAY()&gt;N232),"超过收汇期限仍未销售","尚未销售"),IF(ROUND(M232,2)&gt;=ROUND(L232,2),"已售部分已收汇",IF(AND(ISNUMBER(N232),TODAY()&gt;N232),"超期未收汇","有回款待收汇"))))</f>
        <v/>
      </c>
      <c r="P232" s="34" t="str">
        <f aca="false">IF($A232="","",SUMIFS(④退税核算!$H$4:$H$303,④退税核算!$A$4:$A$303,$A232))</f>
        <v/>
      </c>
      <c r="Q232" s="34" t="str">
        <f aca="false">IF($A232="","",SUMIFS(④退税核算!$H$4:$H$303,④退税核算!$A$4:$A$303,$A232,④退税核算!$D$4:$D$303,"未售-海外仓预退（HWC-YT）"))</f>
        <v/>
      </c>
      <c r="R232" s="30" t="str">
        <f aca="false">IF($A232="","",IF(COUNTIFS(④退税核算!$A$4:$A$303,$A232,④退税核算!$D$4:$D$303,"未售-海外仓预退（HWC-YT）",④退税核算!$I$4:$I$303,"&gt;0")=0,"",_xlfn.MINIFS(④退税核算!$J$4:$J$303,④退税核算!$A$4:$A$303,$A232,④退税核算!$D$4:$D$303,"未售-海外仓预退（HWC-YT）")))</f>
        <v/>
      </c>
      <c r="S232" s="35" t="str">
        <f aca="false">IF($A232="","",IF(COUNTIFS(④退税核算!$A$4:$A$303,$A232,④退税核算!$D$4:$D$303,"未售-海外仓预退（HWC-YT）")=0,"不涉及",IF(COUNTIFS(④退税核算!$A$4:$A$303,$A232,④退税核算!$S$4:$S$303,"已逾期*")&gt;0,"已逾期",IF(COUNTIFS(④退税核算!$A$4:$A$303,$A232,④退税核算!$S$4:$S$303,"临近*")&gt;0,"临近截止",IF(COUNTIFS(④退税核算!$A$4:$A$303,$A232,④退税核算!$S$4:$S$303,"待*")&gt;0,"待核算","已核算")))))</f>
        <v/>
      </c>
      <c r="T232" s="35" t="str">
        <f aca="false">IF($A232="","",IFERROR(INDEX(⑥单证留存!$P$4:$P$203,MATCH(①出口报关!B229,⑥单证留存!$A$4:$A$203,0)),"未登记"))</f>
        <v/>
      </c>
      <c r="U232" s="36" t="str">
        <f aca="false">IF($A232="","",IF(IF(OR(O232="超期未收汇",O232="超过收汇期限仍未销售")," 收汇超期","")&amp;IF(S232="已逾期"," 核算逾期","")&amp;IF(S232="临近截止"," 核算临近截止","")&amp;IF(LEFT(T232,1)="缺"," 单证"&amp;T232,"")&amp;IF(T232="未登记"," 单证未登记","")&amp;IF(AND(ISNUMBER(G232),N(G232)&lt;&gt;0)," 入仓差异"&amp;G232,"")="","正常",SUBSTITUTE(TRIM(IF(OR(O232="超期未收汇",O232="超过收汇期限仍未销售")," 收汇超期","")&amp;IF(S232="已逾期"," 核算逾期","")&amp;IF(S232="临近截止"," 核算临近截止","")&amp;IF(LEFT(T232,1)="缺"," 单证"&amp;T232,"")&amp;IF(T232="未登记"," 单证未登记","")&amp;IF(AND(ISNUMBER(G232),N(G232)&lt;&gt;0)," 入仓差异"&amp;G232,""))," ","、")))</f>
        <v/>
      </c>
    </row>
    <row r="233" customFormat="false" ht="21.75" hidden="false" customHeight="true" outlineLevel="0" collapsed="false">
      <c r="A233" s="29" t="str">
        <f aca="false">IF(①出口报关!A230="","",①出口报关!A230)</f>
        <v/>
      </c>
      <c r="B233" s="29" t="str">
        <f aca="false">IF($A233="","",①出口报关!I230)</f>
        <v/>
      </c>
      <c r="C233" s="29" t="str">
        <f aca="false">IF($A233="","",①出口报关!J230)</f>
        <v/>
      </c>
      <c r="D233" s="30" t="str">
        <f aca="false">IF($A233="","",IF(①出口报关!D230="","",①出口报关!D230))</f>
        <v/>
      </c>
      <c r="E233" s="31" t="str">
        <f aca="false">IF($A233="","",N(①出口报关!L230))</f>
        <v/>
      </c>
      <c r="F233" s="31" t="str">
        <f aca="false">IF($A233="","",IF(①出口报关!Y230="","未签收",①出口报关!Y230))</f>
        <v/>
      </c>
      <c r="G233" s="32" t="str">
        <f aca="false">IF(OR($A233="",NOT(ISNUMBER(F233))),"",F233-E233)</f>
        <v/>
      </c>
      <c r="H233" s="31" t="str">
        <f aca="false">IF($A233="","",SUMIFS(②销售核销!$I$4:$I$603,②销售核销!$E$4:$E$603,$A233))</f>
        <v/>
      </c>
      <c r="I233" s="31" t="str">
        <f aca="false">IF($A233="","",SUMIFS(⑤库存异常!$E$4:$E$203,⑤库存异常!$B$4:$B$203,$A233))</f>
        <v/>
      </c>
      <c r="J233" s="31" t="str">
        <f aca="false">IF($A233="","",IF(ISNUMBER(F233),F233,E233)-H233-I233)</f>
        <v/>
      </c>
      <c r="K233" s="33" t="str">
        <f aca="false">IF(OR($A233="",N(E233)=0),"",H233/E233)</f>
        <v/>
      </c>
      <c r="L233" s="34" t="str">
        <f aca="false">IF($A233="","",SUMIFS(②销售核销!$L$4:$L$603,②销售核销!$E$4:$E$603,$A233))</f>
        <v/>
      </c>
      <c r="M233" s="34" t="str">
        <f aca="false">IF($A233="","",SUMIFS(②销售核销!$L$4:$L$603,②销售核销!$E$4:$E$603,$A233,②销售核销!$M$4:$M$603,"已收汇"))</f>
        <v/>
      </c>
      <c r="N233" s="30" t="str">
        <f aca="false">IF(ISNUMBER(D233),DATE(YEAR(D233)+1,4,30),"")</f>
        <v/>
      </c>
      <c r="O233" s="35" t="str">
        <f aca="true">IF($A233="","",IF(N(H233)=0,IF(AND(ISNUMBER(N233),TODAY()&gt;N233),"超过收汇期限仍未销售","尚未销售"),IF(ROUND(M233,2)&gt;=ROUND(L233,2),"已售部分已收汇",IF(AND(ISNUMBER(N233),TODAY()&gt;N233),"超期未收汇","有回款待收汇"))))</f>
        <v/>
      </c>
      <c r="P233" s="34" t="str">
        <f aca="false">IF($A233="","",SUMIFS(④退税核算!$H$4:$H$303,④退税核算!$A$4:$A$303,$A233))</f>
        <v/>
      </c>
      <c r="Q233" s="34" t="str">
        <f aca="false">IF($A233="","",SUMIFS(④退税核算!$H$4:$H$303,④退税核算!$A$4:$A$303,$A233,④退税核算!$D$4:$D$303,"未售-海外仓预退（HWC-YT）"))</f>
        <v/>
      </c>
      <c r="R233" s="30" t="str">
        <f aca="false">IF($A233="","",IF(COUNTIFS(④退税核算!$A$4:$A$303,$A233,④退税核算!$D$4:$D$303,"未售-海外仓预退（HWC-YT）",④退税核算!$I$4:$I$303,"&gt;0")=0,"",_xlfn.MINIFS(④退税核算!$J$4:$J$303,④退税核算!$A$4:$A$303,$A233,④退税核算!$D$4:$D$303,"未售-海外仓预退（HWC-YT）")))</f>
        <v/>
      </c>
      <c r="S233" s="35" t="str">
        <f aca="false">IF($A233="","",IF(COUNTIFS(④退税核算!$A$4:$A$303,$A233,④退税核算!$D$4:$D$303,"未售-海外仓预退（HWC-YT）")=0,"不涉及",IF(COUNTIFS(④退税核算!$A$4:$A$303,$A233,④退税核算!$S$4:$S$303,"已逾期*")&gt;0,"已逾期",IF(COUNTIFS(④退税核算!$A$4:$A$303,$A233,④退税核算!$S$4:$S$303,"临近*")&gt;0,"临近截止",IF(COUNTIFS(④退税核算!$A$4:$A$303,$A233,④退税核算!$S$4:$S$303,"待*")&gt;0,"待核算","已核算")))))</f>
        <v/>
      </c>
      <c r="T233" s="35" t="str">
        <f aca="false">IF($A233="","",IFERROR(INDEX(⑥单证留存!$P$4:$P$203,MATCH(①出口报关!B230,⑥单证留存!$A$4:$A$203,0)),"未登记"))</f>
        <v/>
      </c>
      <c r="U233" s="36" t="str">
        <f aca="false">IF($A233="","",IF(IF(OR(O233="超期未收汇",O233="超过收汇期限仍未销售")," 收汇超期","")&amp;IF(S233="已逾期"," 核算逾期","")&amp;IF(S233="临近截止"," 核算临近截止","")&amp;IF(LEFT(T233,1)="缺"," 单证"&amp;T233,"")&amp;IF(T233="未登记"," 单证未登记","")&amp;IF(AND(ISNUMBER(G233),N(G233)&lt;&gt;0)," 入仓差异"&amp;G233,"")="","正常",SUBSTITUTE(TRIM(IF(OR(O233="超期未收汇",O233="超过收汇期限仍未销售")," 收汇超期","")&amp;IF(S233="已逾期"," 核算逾期","")&amp;IF(S233="临近截止"," 核算临近截止","")&amp;IF(LEFT(T233,1)="缺"," 单证"&amp;T233,"")&amp;IF(T233="未登记"," 单证未登记","")&amp;IF(AND(ISNUMBER(G233),N(G233)&lt;&gt;0)," 入仓差异"&amp;G233,""))," ","、")))</f>
        <v/>
      </c>
    </row>
    <row r="234" customFormat="false" ht="21.75" hidden="false" customHeight="true" outlineLevel="0" collapsed="false">
      <c r="A234" s="29" t="str">
        <f aca="false">IF(①出口报关!A231="","",①出口报关!A231)</f>
        <v/>
      </c>
      <c r="B234" s="29" t="str">
        <f aca="false">IF($A234="","",①出口报关!I231)</f>
        <v/>
      </c>
      <c r="C234" s="29" t="str">
        <f aca="false">IF($A234="","",①出口报关!J231)</f>
        <v/>
      </c>
      <c r="D234" s="30" t="str">
        <f aca="false">IF($A234="","",IF(①出口报关!D231="","",①出口报关!D231))</f>
        <v/>
      </c>
      <c r="E234" s="31" t="str">
        <f aca="false">IF($A234="","",N(①出口报关!L231))</f>
        <v/>
      </c>
      <c r="F234" s="31" t="str">
        <f aca="false">IF($A234="","",IF(①出口报关!Y231="","未签收",①出口报关!Y231))</f>
        <v/>
      </c>
      <c r="G234" s="32" t="str">
        <f aca="false">IF(OR($A234="",NOT(ISNUMBER(F234))),"",F234-E234)</f>
        <v/>
      </c>
      <c r="H234" s="31" t="str">
        <f aca="false">IF($A234="","",SUMIFS(②销售核销!$I$4:$I$603,②销售核销!$E$4:$E$603,$A234))</f>
        <v/>
      </c>
      <c r="I234" s="31" t="str">
        <f aca="false">IF($A234="","",SUMIFS(⑤库存异常!$E$4:$E$203,⑤库存异常!$B$4:$B$203,$A234))</f>
        <v/>
      </c>
      <c r="J234" s="31" t="str">
        <f aca="false">IF($A234="","",IF(ISNUMBER(F234),F234,E234)-H234-I234)</f>
        <v/>
      </c>
      <c r="K234" s="33" t="str">
        <f aca="false">IF(OR($A234="",N(E234)=0),"",H234/E234)</f>
        <v/>
      </c>
      <c r="L234" s="34" t="str">
        <f aca="false">IF($A234="","",SUMIFS(②销售核销!$L$4:$L$603,②销售核销!$E$4:$E$603,$A234))</f>
        <v/>
      </c>
      <c r="M234" s="34" t="str">
        <f aca="false">IF($A234="","",SUMIFS(②销售核销!$L$4:$L$603,②销售核销!$E$4:$E$603,$A234,②销售核销!$M$4:$M$603,"已收汇"))</f>
        <v/>
      </c>
      <c r="N234" s="30" t="str">
        <f aca="false">IF(ISNUMBER(D234),DATE(YEAR(D234)+1,4,30),"")</f>
        <v/>
      </c>
      <c r="O234" s="35" t="str">
        <f aca="true">IF($A234="","",IF(N(H234)=0,IF(AND(ISNUMBER(N234),TODAY()&gt;N234),"超过收汇期限仍未销售","尚未销售"),IF(ROUND(M234,2)&gt;=ROUND(L234,2),"已售部分已收汇",IF(AND(ISNUMBER(N234),TODAY()&gt;N234),"超期未收汇","有回款待收汇"))))</f>
        <v/>
      </c>
      <c r="P234" s="34" t="str">
        <f aca="false">IF($A234="","",SUMIFS(④退税核算!$H$4:$H$303,④退税核算!$A$4:$A$303,$A234))</f>
        <v/>
      </c>
      <c r="Q234" s="34" t="str">
        <f aca="false">IF($A234="","",SUMIFS(④退税核算!$H$4:$H$303,④退税核算!$A$4:$A$303,$A234,④退税核算!$D$4:$D$303,"未售-海外仓预退（HWC-YT）"))</f>
        <v/>
      </c>
      <c r="R234" s="30" t="str">
        <f aca="false">IF($A234="","",IF(COUNTIFS(④退税核算!$A$4:$A$303,$A234,④退税核算!$D$4:$D$303,"未售-海外仓预退（HWC-YT）",④退税核算!$I$4:$I$303,"&gt;0")=0,"",_xlfn.MINIFS(④退税核算!$J$4:$J$303,④退税核算!$A$4:$A$303,$A234,④退税核算!$D$4:$D$303,"未售-海外仓预退（HWC-YT）")))</f>
        <v/>
      </c>
      <c r="S234" s="35" t="str">
        <f aca="false">IF($A234="","",IF(COUNTIFS(④退税核算!$A$4:$A$303,$A234,④退税核算!$D$4:$D$303,"未售-海外仓预退（HWC-YT）")=0,"不涉及",IF(COUNTIFS(④退税核算!$A$4:$A$303,$A234,④退税核算!$S$4:$S$303,"已逾期*")&gt;0,"已逾期",IF(COUNTIFS(④退税核算!$A$4:$A$303,$A234,④退税核算!$S$4:$S$303,"临近*")&gt;0,"临近截止",IF(COUNTIFS(④退税核算!$A$4:$A$303,$A234,④退税核算!$S$4:$S$303,"待*")&gt;0,"待核算","已核算")))))</f>
        <v/>
      </c>
      <c r="T234" s="35" t="str">
        <f aca="false">IF($A234="","",IFERROR(INDEX(⑥单证留存!$P$4:$P$203,MATCH(①出口报关!B231,⑥单证留存!$A$4:$A$203,0)),"未登记"))</f>
        <v/>
      </c>
      <c r="U234" s="36" t="str">
        <f aca="false">IF($A234="","",IF(IF(OR(O234="超期未收汇",O234="超过收汇期限仍未销售")," 收汇超期","")&amp;IF(S234="已逾期"," 核算逾期","")&amp;IF(S234="临近截止"," 核算临近截止","")&amp;IF(LEFT(T234,1)="缺"," 单证"&amp;T234,"")&amp;IF(T234="未登记"," 单证未登记","")&amp;IF(AND(ISNUMBER(G234),N(G234)&lt;&gt;0)," 入仓差异"&amp;G234,"")="","正常",SUBSTITUTE(TRIM(IF(OR(O234="超期未收汇",O234="超过收汇期限仍未销售")," 收汇超期","")&amp;IF(S234="已逾期"," 核算逾期","")&amp;IF(S234="临近截止"," 核算临近截止","")&amp;IF(LEFT(T234,1)="缺"," 单证"&amp;T234,"")&amp;IF(T234="未登记"," 单证未登记","")&amp;IF(AND(ISNUMBER(G234),N(G234)&lt;&gt;0)," 入仓差异"&amp;G234,""))," ","、")))</f>
        <v/>
      </c>
    </row>
    <row r="235" customFormat="false" ht="21.75" hidden="false" customHeight="true" outlineLevel="0" collapsed="false">
      <c r="A235" s="29" t="str">
        <f aca="false">IF(①出口报关!A232="","",①出口报关!A232)</f>
        <v/>
      </c>
      <c r="B235" s="29" t="str">
        <f aca="false">IF($A235="","",①出口报关!I232)</f>
        <v/>
      </c>
      <c r="C235" s="29" t="str">
        <f aca="false">IF($A235="","",①出口报关!J232)</f>
        <v/>
      </c>
      <c r="D235" s="30" t="str">
        <f aca="false">IF($A235="","",IF(①出口报关!D232="","",①出口报关!D232))</f>
        <v/>
      </c>
      <c r="E235" s="31" t="str">
        <f aca="false">IF($A235="","",N(①出口报关!L232))</f>
        <v/>
      </c>
      <c r="F235" s="31" t="str">
        <f aca="false">IF($A235="","",IF(①出口报关!Y232="","未签收",①出口报关!Y232))</f>
        <v/>
      </c>
      <c r="G235" s="32" t="str">
        <f aca="false">IF(OR($A235="",NOT(ISNUMBER(F235))),"",F235-E235)</f>
        <v/>
      </c>
      <c r="H235" s="31" t="str">
        <f aca="false">IF($A235="","",SUMIFS(②销售核销!$I$4:$I$603,②销售核销!$E$4:$E$603,$A235))</f>
        <v/>
      </c>
      <c r="I235" s="31" t="str">
        <f aca="false">IF($A235="","",SUMIFS(⑤库存异常!$E$4:$E$203,⑤库存异常!$B$4:$B$203,$A235))</f>
        <v/>
      </c>
      <c r="J235" s="31" t="str">
        <f aca="false">IF($A235="","",IF(ISNUMBER(F235),F235,E235)-H235-I235)</f>
        <v/>
      </c>
      <c r="K235" s="33" t="str">
        <f aca="false">IF(OR($A235="",N(E235)=0),"",H235/E235)</f>
        <v/>
      </c>
      <c r="L235" s="34" t="str">
        <f aca="false">IF($A235="","",SUMIFS(②销售核销!$L$4:$L$603,②销售核销!$E$4:$E$603,$A235))</f>
        <v/>
      </c>
      <c r="M235" s="34" t="str">
        <f aca="false">IF($A235="","",SUMIFS(②销售核销!$L$4:$L$603,②销售核销!$E$4:$E$603,$A235,②销售核销!$M$4:$M$603,"已收汇"))</f>
        <v/>
      </c>
      <c r="N235" s="30" t="str">
        <f aca="false">IF(ISNUMBER(D235),DATE(YEAR(D235)+1,4,30),"")</f>
        <v/>
      </c>
      <c r="O235" s="35" t="str">
        <f aca="true">IF($A235="","",IF(N(H235)=0,IF(AND(ISNUMBER(N235),TODAY()&gt;N235),"超过收汇期限仍未销售","尚未销售"),IF(ROUND(M235,2)&gt;=ROUND(L235,2),"已售部分已收汇",IF(AND(ISNUMBER(N235),TODAY()&gt;N235),"超期未收汇","有回款待收汇"))))</f>
        <v/>
      </c>
      <c r="P235" s="34" t="str">
        <f aca="false">IF($A235="","",SUMIFS(④退税核算!$H$4:$H$303,④退税核算!$A$4:$A$303,$A235))</f>
        <v/>
      </c>
      <c r="Q235" s="34" t="str">
        <f aca="false">IF($A235="","",SUMIFS(④退税核算!$H$4:$H$303,④退税核算!$A$4:$A$303,$A235,④退税核算!$D$4:$D$303,"未售-海外仓预退（HWC-YT）"))</f>
        <v/>
      </c>
      <c r="R235" s="30" t="str">
        <f aca="false">IF($A235="","",IF(COUNTIFS(④退税核算!$A$4:$A$303,$A235,④退税核算!$D$4:$D$303,"未售-海外仓预退（HWC-YT）",④退税核算!$I$4:$I$303,"&gt;0")=0,"",_xlfn.MINIFS(④退税核算!$J$4:$J$303,④退税核算!$A$4:$A$303,$A235,④退税核算!$D$4:$D$303,"未售-海外仓预退（HWC-YT）")))</f>
        <v/>
      </c>
      <c r="S235" s="35" t="str">
        <f aca="false">IF($A235="","",IF(COUNTIFS(④退税核算!$A$4:$A$303,$A235,④退税核算!$D$4:$D$303,"未售-海外仓预退（HWC-YT）")=0,"不涉及",IF(COUNTIFS(④退税核算!$A$4:$A$303,$A235,④退税核算!$S$4:$S$303,"已逾期*")&gt;0,"已逾期",IF(COUNTIFS(④退税核算!$A$4:$A$303,$A235,④退税核算!$S$4:$S$303,"临近*")&gt;0,"临近截止",IF(COUNTIFS(④退税核算!$A$4:$A$303,$A235,④退税核算!$S$4:$S$303,"待*")&gt;0,"待核算","已核算")))))</f>
        <v/>
      </c>
      <c r="T235" s="35" t="str">
        <f aca="false">IF($A235="","",IFERROR(INDEX(⑥单证留存!$P$4:$P$203,MATCH(①出口报关!B232,⑥单证留存!$A$4:$A$203,0)),"未登记"))</f>
        <v/>
      </c>
      <c r="U235" s="36" t="str">
        <f aca="false">IF($A235="","",IF(IF(OR(O235="超期未收汇",O235="超过收汇期限仍未销售")," 收汇超期","")&amp;IF(S235="已逾期"," 核算逾期","")&amp;IF(S235="临近截止"," 核算临近截止","")&amp;IF(LEFT(T235,1)="缺"," 单证"&amp;T235,"")&amp;IF(T235="未登记"," 单证未登记","")&amp;IF(AND(ISNUMBER(G235),N(G235)&lt;&gt;0)," 入仓差异"&amp;G235,"")="","正常",SUBSTITUTE(TRIM(IF(OR(O235="超期未收汇",O235="超过收汇期限仍未销售")," 收汇超期","")&amp;IF(S235="已逾期"," 核算逾期","")&amp;IF(S235="临近截止"," 核算临近截止","")&amp;IF(LEFT(T235,1)="缺"," 单证"&amp;T235,"")&amp;IF(T235="未登记"," 单证未登记","")&amp;IF(AND(ISNUMBER(G235),N(G235)&lt;&gt;0)," 入仓差异"&amp;G235,""))," ","、")))</f>
        <v/>
      </c>
    </row>
    <row r="236" customFormat="false" ht="21.75" hidden="false" customHeight="true" outlineLevel="0" collapsed="false">
      <c r="A236" s="29" t="str">
        <f aca="false">IF(①出口报关!A233="","",①出口报关!A233)</f>
        <v/>
      </c>
      <c r="B236" s="29" t="str">
        <f aca="false">IF($A236="","",①出口报关!I233)</f>
        <v/>
      </c>
      <c r="C236" s="29" t="str">
        <f aca="false">IF($A236="","",①出口报关!J233)</f>
        <v/>
      </c>
      <c r="D236" s="30" t="str">
        <f aca="false">IF($A236="","",IF(①出口报关!D233="","",①出口报关!D233))</f>
        <v/>
      </c>
      <c r="E236" s="31" t="str">
        <f aca="false">IF($A236="","",N(①出口报关!L233))</f>
        <v/>
      </c>
      <c r="F236" s="31" t="str">
        <f aca="false">IF($A236="","",IF(①出口报关!Y233="","未签收",①出口报关!Y233))</f>
        <v/>
      </c>
      <c r="G236" s="32" t="str">
        <f aca="false">IF(OR($A236="",NOT(ISNUMBER(F236))),"",F236-E236)</f>
        <v/>
      </c>
      <c r="H236" s="31" t="str">
        <f aca="false">IF($A236="","",SUMIFS(②销售核销!$I$4:$I$603,②销售核销!$E$4:$E$603,$A236))</f>
        <v/>
      </c>
      <c r="I236" s="31" t="str">
        <f aca="false">IF($A236="","",SUMIFS(⑤库存异常!$E$4:$E$203,⑤库存异常!$B$4:$B$203,$A236))</f>
        <v/>
      </c>
      <c r="J236" s="31" t="str">
        <f aca="false">IF($A236="","",IF(ISNUMBER(F236),F236,E236)-H236-I236)</f>
        <v/>
      </c>
      <c r="K236" s="33" t="str">
        <f aca="false">IF(OR($A236="",N(E236)=0),"",H236/E236)</f>
        <v/>
      </c>
      <c r="L236" s="34" t="str">
        <f aca="false">IF($A236="","",SUMIFS(②销售核销!$L$4:$L$603,②销售核销!$E$4:$E$603,$A236))</f>
        <v/>
      </c>
      <c r="M236" s="34" t="str">
        <f aca="false">IF($A236="","",SUMIFS(②销售核销!$L$4:$L$603,②销售核销!$E$4:$E$603,$A236,②销售核销!$M$4:$M$603,"已收汇"))</f>
        <v/>
      </c>
      <c r="N236" s="30" t="str">
        <f aca="false">IF(ISNUMBER(D236),DATE(YEAR(D236)+1,4,30),"")</f>
        <v/>
      </c>
      <c r="O236" s="35" t="str">
        <f aca="true">IF($A236="","",IF(N(H236)=0,IF(AND(ISNUMBER(N236),TODAY()&gt;N236),"超过收汇期限仍未销售","尚未销售"),IF(ROUND(M236,2)&gt;=ROUND(L236,2),"已售部分已收汇",IF(AND(ISNUMBER(N236),TODAY()&gt;N236),"超期未收汇","有回款待收汇"))))</f>
        <v/>
      </c>
      <c r="P236" s="34" t="str">
        <f aca="false">IF($A236="","",SUMIFS(④退税核算!$H$4:$H$303,④退税核算!$A$4:$A$303,$A236))</f>
        <v/>
      </c>
      <c r="Q236" s="34" t="str">
        <f aca="false">IF($A236="","",SUMIFS(④退税核算!$H$4:$H$303,④退税核算!$A$4:$A$303,$A236,④退税核算!$D$4:$D$303,"未售-海外仓预退（HWC-YT）"))</f>
        <v/>
      </c>
      <c r="R236" s="30" t="str">
        <f aca="false">IF($A236="","",IF(COUNTIFS(④退税核算!$A$4:$A$303,$A236,④退税核算!$D$4:$D$303,"未售-海外仓预退（HWC-YT）",④退税核算!$I$4:$I$303,"&gt;0")=0,"",_xlfn.MINIFS(④退税核算!$J$4:$J$303,④退税核算!$A$4:$A$303,$A236,④退税核算!$D$4:$D$303,"未售-海外仓预退（HWC-YT）")))</f>
        <v/>
      </c>
      <c r="S236" s="35" t="str">
        <f aca="false">IF($A236="","",IF(COUNTIFS(④退税核算!$A$4:$A$303,$A236,④退税核算!$D$4:$D$303,"未售-海外仓预退（HWC-YT）")=0,"不涉及",IF(COUNTIFS(④退税核算!$A$4:$A$303,$A236,④退税核算!$S$4:$S$303,"已逾期*")&gt;0,"已逾期",IF(COUNTIFS(④退税核算!$A$4:$A$303,$A236,④退税核算!$S$4:$S$303,"临近*")&gt;0,"临近截止",IF(COUNTIFS(④退税核算!$A$4:$A$303,$A236,④退税核算!$S$4:$S$303,"待*")&gt;0,"待核算","已核算")))))</f>
        <v/>
      </c>
      <c r="T236" s="35" t="str">
        <f aca="false">IF($A236="","",IFERROR(INDEX(⑥单证留存!$P$4:$P$203,MATCH(①出口报关!B233,⑥单证留存!$A$4:$A$203,0)),"未登记"))</f>
        <v/>
      </c>
      <c r="U236" s="36" t="str">
        <f aca="false">IF($A236="","",IF(IF(OR(O236="超期未收汇",O236="超过收汇期限仍未销售")," 收汇超期","")&amp;IF(S236="已逾期"," 核算逾期","")&amp;IF(S236="临近截止"," 核算临近截止","")&amp;IF(LEFT(T236,1)="缺"," 单证"&amp;T236,"")&amp;IF(T236="未登记"," 单证未登记","")&amp;IF(AND(ISNUMBER(G236),N(G236)&lt;&gt;0)," 入仓差异"&amp;G236,"")="","正常",SUBSTITUTE(TRIM(IF(OR(O236="超期未收汇",O236="超过收汇期限仍未销售")," 收汇超期","")&amp;IF(S236="已逾期"," 核算逾期","")&amp;IF(S236="临近截止"," 核算临近截止","")&amp;IF(LEFT(T236,1)="缺"," 单证"&amp;T236,"")&amp;IF(T236="未登记"," 单证未登记","")&amp;IF(AND(ISNUMBER(G236),N(G236)&lt;&gt;0)," 入仓差异"&amp;G236,""))," ","、")))</f>
        <v/>
      </c>
    </row>
    <row r="237" customFormat="false" ht="21.75" hidden="false" customHeight="true" outlineLevel="0" collapsed="false">
      <c r="A237" s="29" t="str">
        <f aca="false">IF(①出口报关!A234="","",①出口报关!A234)</f>
        <v/>
      </c>
      <c r="B237" s="29" t="str">
        <f aca="false">IF($A237="","",①出口报关!I234)</f>
        <v/>
      </c>
      <c r="C237" s="29" t="str">
        <f aca="false">IF($A237="","",①出口报关!J234)</f>
        <v/>
      </c>
      <c r="D237" s="30" t="str">
        <f aca="false">IF($A237="","",IF(①出口报关!D234="","",①出口报关!D234))</f>
        <v/>
      </c>
      <c r="E237" s="31" t="str">
        <f aca="false">IF($A237="","",N(①出口报关!L234))</f>
        <v/>
      </c>
      <c r="F237" s="31" t="str">
        <f aca="false">IF($A237="","",IF(①出口报关!Y234="","未签收",①出口报关!Y234))</f>
        <v/>
      </c>
      <c r="G237" s="32" t="str">
        <f aca="false">IF(OR($A237="",NOT(ISNUMBER(F237))),"",F237-E237)</f>
        <v/>
      </c>
      <c r="H237" s="31" t="str">
        <f aca="false">IF($A237="","",SUMIFS(②销售核销!$I$4:$I$603,②销售核销!$E$4:$E$603,$A237))</f>
        <v/>
      </c>
      <c r="I237" s="31" t="str">
        <f aca="false">IF($A237="","",SUMIFS(⑤库存异常!$E$4:$E$203,⑤库存异常!$B$4:$B$203,$A237))</f>
        <v/>
      </c>
      <c r="J237" s="31" t="str">
        <f aca="false">IF($A237="","",IF(ISNUMBER(F237),F237,E237)-H237-I237)</f>
        <v/>
      </c>
      <c r="K237" s="33" t="str">
        <f aca="false">IF(OR($A237="",N(E237)=0),"",H237/E237)</f>
        <v/>
      </c>
      <c r="L237" s="34" t="str">
        <f aca="false">IF($A237="","",SUMIFS(②销售核销!$L$4:$L$603,②销售核销!$E$4:$E$603,$A237))</f>
        <v/>
      </c>
      <c r="M237" s="34" t="str">
        <f aca="false">IF($A237="","",SUMIFS(②销售核销!$L$4:$L$603,②销售核销!$E$4:$E$603,$A237,②销售核销!$M$4:$M$603,"已收汇"))</f>
        <v/>
      </c>
      <c r="N237" s="30" t="str">
        <f aca="false">IF(ISNUMBER(D237),DATE(YEAR(D237)+1,4,30),"")</f>
        <v/>
      </c>
      <c r="O237" s="35" t="str">
        <f aca="true">IF($A237="","",IF(N(H237)=0,IF(AND(ISNUMBER(N237),TODAY()&gt;N237),"超过收汇期限仍未销售","尚未销售"),IF(ROUND(M237,2)&gt;=ROUND(L237,2),"已售部分已收汇",IF(AND(ISNUMBER(N237),TODAY()&gt;N237),"超期未收汇","有回款待收汇"))))</f>
        <v/>
      </c>
      <c r="P237" s="34" t="str">
        <f aca="false">IF($A237="","",SUMIFS(④退税核算!$H$4:$H$303,④退税核算!$A$4:$A$303,$A237))</f>
        <v/>
      </c>
      <c r="Q237" s="34" t="str">
        <f aca="false">IF($A237="","",SUMIFS(④退税核算!$H$4:$H$303,④退税核算!$A$4:$A$303,$A237,④退税核算!$D$4:$D$303,"未售-海外仓预退（HWC-YT）"))</f>
        <v/>
      </c>
      <c r="R237" s="30" t="str">
        <f aca="false">IF($A237="","",IF(COUNTIFS(④退税核算!$A$4:$A$303,$A237,④退税核算!$D$4:$D$303,"未售-海外仓预退（HWC-YT）",④退税核算!$I$4:$I$303,"&gt;0")=0,"",_xlfn.MINIFS(④退税核算!$J$4:$J$303,④退税核算!$A$4:$A$303,$A237,④退税核算!$D$4:$D$303,"未售-海外仓预退（HWC-YT）")))</f>
        <v/>
      </c>
      <c r="S237" s="35" t="str">
        <f aca="false">IF($A237="","",IF(COUNTIFS(④退税核算!$A$4:$A$303,$A237,④退税核算!$D$4:$D$303,"未售-海外仓预退（HWC-YT）")=0,"不涉及",IF(COUNTIFS(④退税核算!$A$4:$A$303,$A237,④退税核算!$S$4:$S$303,"已逾期*")&gt;0,"已逾期",IF(COUNTIFS(④退税核算!$A$4:$A$303,$A237,④退税核算!$S$4:$S$303,"临近*")&gt;0,"临近截止",IF(COUNTIFS(④退税核算!$A$4:$A$303,$A237,④退税核算!$S$4:$S$303,"待*")&gt;0,"待核算","已核算")))))</f>
        <v/>
      </c>
      <c r="T237" s="35" t="str">
        <f aca="false">IF($A237="","",IFERROR(INDEX(⑥单证留存!$P$4:$P$203,MATCH(①出口报关!B234,⑥单证留存!$A$4:$A$203,0)),"未登记"))</f>
        <v/>
      </c>
      <c r="U237" s="36" t="str">
        <f aca="false">IF($A237="","",IF(IF(OR(O237="超期未收汇",O237="超过收汇期限仍未销售")," 收汇超期","")&amp;IF(S237="已逾期"," 核算逾期","")&amp;IF(S237="临近截止"," 核算临近截止","")&amp;IF(LEFT(T237,1)="缺"," 单证"&amp;T237,"")&amp;IF(T237="未登记"," 单证未登记","")&amp;IF(AND(ISNUMBER(G237),N(G237)&lt;&gt;0)," 入仓差异"&amp;G237,"")="","正常",SUBSTITUTE(TRIM(IF(OR(O237="超期未收汇",O237="超过收汇期限仍未销售")," 收汇超期","")&amp;IF(S237="已逾期"," 核算逾期","")&amp;IF(S237="临近截止"," 核算临近截止","")&amp;IF(LEFT(T237,1)="缺"," 单证"&amp;T237,"")&amp;IF(T237="未登记"," 单证未登记","")&amp;IF(AND(ISNUMBER(G237),N(G237)&lt;&gt;0)," 入仓差异"&amp;G237,""))," ","、")))</f>
        <v/>
      </c>
    </row>
    <row r="238" customFormat="false" ht="21.75" hidden="false" customHeight="true" outlineLevel="0" collapsed="false">
      <c r="A238" s="29" t="str">
        <f aca="false">IF(①出口报关!A235="","",①出口报关!A235)</f>
        <v/>
      </c>
      <c r="B238" s="29" t="str">
        <f aca="false">IF($A238="","",①出口报关!I235)</f>
        <v/>
      </c>
      <c r="C238" s="29" t="str">
        <f aca="false">IF($A238="","",①出口报关!J235)</f>
        <v/>
      </c>
      <c r="D238" s="30" t="str">
        <f aca="false">IF($A238="","",IF(①出口报关!D235="","",①出口报关!D235))</f>
        <v/>
      </c>
      <c r="E238" s="31" t="str">
        <f aca="false">IF($A238="","",N(①出口报关!L235))</f>
        <v/>
      </c>
      <c r="F238" s="31" t="str">
        <f aca="false">IF($A238="","",IF(①出口报关!Y235="","未签收",①出口报关!Y235))</f>
        <v/>
      </c>
      <c r="G238" s="32" t="str">
        <f aca="false">IF(OR($A238="",NOT(ISNUMBER(F238))),"",F238-E238)</f>
        <v/>
      </c>
      <c r="H238" s="31" t="str">
        <f aca="false">IF($A238="","",SUMIFS(②销售核销!$I$4:$I$603,②销售核销!$E$4:$E$603,$A238))</f>
        <v/>
      </c>
      <c r="I238" s="31" t="str">
        <f aca="false">IF($A238="","",SUMIFS(⑤库存异常!$E$4:$E$203,⑤库存异常!$B$4:$B$203,$A238))</f>
        <v/>
      </c>
      <c r="J238" s="31" t="str">
        <f aca="false">IF($A238="","",IF(ISNUMBER(F238),F238,E238)-H238-I238)</f>
        <v/>
      </c>
      <c r="K238" s="33" t="str">
        <f aca="false">IF(OR($A238="",N(E238)=0),"",H238/E238)</f>
        <v/>
      </c>
      <c r="L238" s="34" t="str">
        <f aca="false">IF($A238="","",SUMIFS(②销售核销!$L$4:$L$603,②销售核销!$E$4:$E$603,$A238))</f>
        <v/>
      </c>
      <c r="M238" s="34" t="str">
        <f aca="false">IF($A238="","",SUMIFS(②销售核销!$L$4:$L$603,②销售核销!$E$4:$E$603,$A238,②销售核销!$M$4:$M$603,"已收汇"))</f>
        <v/>
      </c>
      <c r="N238" s="30" t="str">
        <f aca="false">IF(ISNUMBER(D238),DATE(YEAR(D238)+1,4,30),"")</f>
        <v/>
      </c>
      <c r="O238" s="35" t="str">
        <f aca="true">IF($A238="","",IF(N(H238)=0,IF(AND(ISNUMBER(N238),TODAY()&gt;N238),"超过收汇期限仍未销售","尚未销售"),IF(ROUND(M238,2)&gt;=ROUND(L238,2),"已售部分已收汇",IF(AND(ISNUMBER(N238),TODAY()&gt;N238),"超期未收汇","有回款待收汇"))))</f>
        <v/>
      </c>
      <c r="P238" s="34" t="str">
        <f aca="false">IF($A238="","",SUMIFS(④退税核算!$H$4:$H$303,④退税核算!$A$4:$A$303,$A238))</f>
        <v/>
      </c>
      <c r="Q238" s="34" t="str">
        <f aca="false">IF($A238="","",SUMIFS(④退税核算!$H$4:$H$303,④退税核算!$A$4:$A$303,$A238,④退税核算!$D$4:$D$303,"未售-海外仓预退（HWC-YT）"))</f>
        <v/>
      </c>
      <c r="R238" s="30" t="str">
        <f aca="false">IF($A238="","",IF(COUNTIFS(④退税核算!$A$4:$A$303,$A238,④退税核算!$D$4:$D$303,"未售-海外仓预退（HWC-YT）",④退税核算!$I$4:$I$303,"&gt;0")=0,"",_xlfn.MINIFS(④退税核算!$J$4:$J$303,④退税核算!$A$4:$A$303,$A238,④退税核算!$D$4:$D$303,"未售-海外仓预退（HWC-YT）")))</f>
        <v/>
      </c>
      <c r="S238" s="35" t="str">
        <f aca="false">IF($A238="","",IF(COUNTIFS(④退税核算!$A$4:$A$303,$A238,④退税核算!$D$4:$D$303,"未售-海外仓预退（HWC-YT）")=0,"不涉及",IF(COUNTIFS(④退税核算!$A$4:$A$303,$A238,④退税核算!$S$4:$S$303,"已逾期*")&gt;0,"已逾期",IF(COUNTIFS(④退税核算!$A$4:$A$303,$A238,④退税核算!$S$4:$S$303,"临近*")&gt;0,"临近截止",IF(COUNTIFS(④退税核算!$A$4:$A$303,$A238,④退税核算!$S$4:$S$303,"待*")&gt;0,"待核算","已核算")))))</f>
        <v/>
      </c>
      <c r="T238" s="35" t="str">
        <f aca="false">IF($A238="","",IFERROR(INDEX(⑥单证留存!$P$4:$P$203,MATCH(①出口报关!B235,⑥单证留存!$A$4:$A$203,0)),"未登记"))</f>
        <v/>
      </c>
      <c r="U238" s="36" t="str">
        <f aca="false">IF($A238="","",IF(IF(OR(O238="超期未收汇",O238="超过收汇期限仍未销售")," 收汇超期","")&amp;IF(S238="已逾期"," 核算逾期","")&amp;IF(S238="临近截止"," 核算临近截止","")&amp;IF(LEFT(T238,1)="缺"," 单证"&amp;T238,"")&amp;IF(T238="未登记"," 单证未登记","")&amp;IF(AND(ISNUMBER(G238),N(G238)&lt;&gt;0)," 入仓差异"&amp;G238,"")="","正常",SUBSTITUTE(TRIM(IF(OR(O238="超期未收汇",O238="超过收汇期限仍未销售")," 收汇超期","")&amp;IF(S238="已逾期"," 核算逾期","")&amp;IF(S238="临近截止"," 核算临近截止","")&amp;IF(LEFT(T238,1)="缺"," 单证"&amp;T238,"")&amp;IF(T238="未登记"," 单证未登记","")&amp;IF(AND(ISNUMBER(G238),N(G238)&lt;&gt;0)," 入仓差异"&amp;G238,""))," ","、")))</f>
        <v/>
      </c>
    </row>
    <row r="239" customFormat="false" ht="21.75" hidden="false" customHeight="true" outlineLevel="0" collapsed="false">
      <c r="A239" s="29" t="str">
        <f aca="false">IF(①出口报关!A236="","",①出口报关!A236)</f>
        <v/>
      </c>
      <c r="B239" s="29" t="str">
        <f aca="false">IF($A239="","",①出口报关!I236)</f>
        <v/>
      </c>
      <c r="C239" s="29" t="str">
        <f aca="false">IF($A239="","",①出口报关!J236)</f>
        <v/>
      </c>
      <c r="D239" s="30" t="str">
        <f aca="false">IF($A239="","",IF(①出口报关!D236="","",①出口报关!D236))</f>
        <v/>
      </c>
      <c r="E239" s="31" t="str">
        <f aca="false">IF($A239="","",N(①出口报关!L236))</f>
        <v/>
      </c>
      <c r="F239" s="31" t="str">
        <f aca="false">IF($A239="","",IF(①出口报关!Y236="","未签收",①出口报关!Y236))</f>
        <v/>
      </c>
      <c r="G239" s="32" t="str">
        <f aca="false">IF(OR($A239="",NOT(ISNUMBER(F239))),"",F239-E239)</f>
        <v/>
      </c>
      <c r="H239" s="31" t="str">
        <f aca="false">IF($A239="","",SUMIFS(②销售核销!$I$4:$I$603,②销售核销!$E$4:$E$603,$A239))</f>
        <v/>
      </c>
      <c r="I239" s="31" t="str">
        <f aca="false">IF($A239="","",SUMIFS(⑤库存异常!$E$4:$E$203,⑤库存异常!$B$4:$B$203,$A239))</f>
        <v/>
      </c>
      <c r="J239" s="31" t="str">
        <f aca="false">IF($A239="","",IF(ISNUMBER(F239),F239,E239)-H239-I239)</f>
        <v/>
      </c>
      <c r="K239" s="33" t="str">
        <f aca="false">IF(OR($A239="",N(E239)=0),"",H239/E239)</f>
        <v/>
      </c>
      <c r="L239" s="34" t="str">
        <f aca="false">IF($A239="","",SUMIFS(②销售核销!$L$4:$L$603,②销售核销!$E$4:$E$603,$A239))</f>
        <v/>
      </c>
      <c r="M239" s="34" t="str">
        <f aca="false">IF($A239="","",SUMIFS(②销售核销!$L$4:$L$603,②销售核销!$E$4:$E$603,$A239,②销售核销!$M$4:$M$603,"已收汇"))</f>
        <v/>
      </c>
      <c r="N239" s="30" t="str">
        <f aca="false">IF(ISNUMBER(D239),DATE(YEAR(D239)+1,4,30),"")</f>
        <v/>
      </c>
      <c r="O239" s="35" t="str">
        <f aca="true">IF($A239="","",IF(N(H239)=0,IF(AND(ISNUMBER(N239),TODAY()&gt;N239),"超过收汇期限仍未销售","尚未销售"),IF(ROUND(M239,2)&gt;=ROUND(L239,2),"已售部分已收汇",IF(AND(ISNUMBER(N239),TODAY()&gt;N239),"超期未收汇","有回款待收汇"))))</f>
        <v/>
      </c>
      <c r="P239" s="34" t="str">
        <f aca="false">IF($A239="","",SUMIFS(④退税核算!$H$4:$H$303,④退税核算!$A$4:$A$303,$A239))</f>
        <v/>
      </c>
      <c r="Q239" s="34" t="str">
        <f aca="false">IF($A239="","",SUMIFS(④退税核算!$H$4:$H$303,④退税核算!$A$4:$A$303,$A239,④退税核算!$D$4:$D$303,"未售-海外仓预退（HWC-YT）"))</f>
        <v/>
      </c>
      <c r="R239" s="30" t="str">
        <f aca="false">IF($A239="","",IF(COUNTIFS(④退税核算!$A$4:$A$303,$A239,④退税核算!$D$4:$D$303,"未售-海外仓预退（HWC-YT）",④退税核算!$I$4:$I$303,"&gt;0")=0,"",_xlfn.MINIFS(④退税核算!$J$4:$J$303,④退税核算!$A$4:$A$303,$A239,④退税核算!$D$4:$D$303,"未售-海外仓预退（HWC-YT）")))</f>
        <v/>
      </c>
      <c r="S239" s="35" t="str">
        <f aca="false">IF($A239="","",IF(COUNTIFS(④退税核算!$A$4:$A$303,$A239,④退税核算!$D$4:$D$303,"未售-海外仓预退（HWC-YT）")=0,"不涉及",IF(COUNTIFS(④退税核算!$A$4:$A$303,$A239,④退税核算!$S$4:$S$303,"已逾期*")&gt;0,"已逾期",IF(COUNTIFS(④退税核算!$A$4:$A$303,$A239,④退税核算!$S$4:$S$303,"临近*")&gt;0,"临近截止",IF(COUNTIFS(④退税核算!$A$4:$A$303,$A239,④退税核算!$S$4:$S$303,"待*")&gt;0,"待核算","已核算")))))</f>
        <v/>
      </c>
      <c r="T239" s="35" t="str">
        <f aca="false">IF($A239="","",IFERROR(INDEX(⑥单证留存!$P$4:$P$203,MATCH(①出口报关!B236,⑥单证留存!$A$4:$A$203,0)),"未登记"))</f>
        <v/>
      </c>
      <c r="U239" s="36" t="str">
        <f aca="false">IF($A239="","",IF(IF(OR(O239="超期未收汇",O239="超过收汇期限仍未销售")," 收汇超期","")&amp;IF(S239="已逾期"," 核算逾期","")&amp;IF(S239="临近截止"," 核算临近截止","")&amp;IF(LEFT(T239,1)="缺"," 单证"&amp;T239,"")&amp;IF(T239="未登记"," 单证未登记","")&amp;IF(AND(ISNUMBER(G239),N(G239)&lt;&gt;0)," 入仓差异"&amp;G239,"")="","正常",SUBSTITUTE(TRIM(IF(OR(O239="超期未收汇",O239="超过收汇期限仍未销售")," 收汇超期","")&amp;IF(S239="已逾期"," 核算逾期","")&amp;IF(S239="临近截止"," 核算临近截止","")&amp;IF(LEFT(T239,1)="缺"," 单证"&amp;T239,"")&amp;IF(T239="未登记"," 单证未登记","")&amp;IF(AND(ISNUMBER(G239),N(G239)&lt;&gt;0)," 入仓差异"&amp;G239,""))," ","、")))</f>
        <v/>
      </c>
    </row>
    <row r="240" customFormat="false" ht="21.75" hidden="false" customHeight="true" outlineLevel="0" collapsed="false">
      <c r="A240" s="29" t="str">
        <f aca="false">IF(①出口报关!A237="","",①出口报关!A237)</f>
        <v/>
      </c>
      <c r="B240" s="29" t="str">
        <f aca="false">IF($A240="","",①出口报关!I237)</f>
        <v/>
      </c>
      <c r="C240" s="29" t="str">
        <f aca="false">IF($A240="","",①出口报关!J237)</f>
        <v/>
      </c>
      <c r="D240" s="30" t="str">
        <f aca="false">IF($A240="","",IF(①出口报关!D237="","",①出口报关!D237))</f>
        <v/>
      </c>
      <c r="E240" s="31" t="str">
        <f aca="false">IF($A240="","",N(①出口报关!L237))</f>
        <v/>
      </c>
      <c r="F240" s="31" t="str">
        <f aca="false">IF($A240="","",IF(①出口报关!Y237="","未签收",①出口报关!Y237))</f>
        <v/>
      </c>
      <c r="G240" s="32" t="str">
        <f aca="false">IF(OR($A240="",NOT(ISNUMBER(F240))),"",F240-E240)</f>
        <v/>
      </c>
      <c r="H240" s="31" t="str">
        <f aca="false">IF($A240="","",SUMIFS(②销售核销!$I$4:$I$603,②销售核销!$E$4:$E$603,$A240))</f>
        <v/>
      </c>
      <c r="I240" s="31" t="str">
        <f aca="false">IF($A240="","",SUMIFS(⑤库存异常!$E$4:$E$203,⑤库存异常!$B$4:$B$203,$A240))</f>
        <v/>
      </c>
      <c r="J240" s="31" t="str">
        <f aca="false">IF($A240="","",IF(ISNUMBER(F240),F240,E240)-H240-I240)</f>
        <v/>
      </c>
      <c r="K240" s="33" t="str">
        <f aca="false">IF(OR($A240="",N(E240)=0),"",H240/E240)</f>
        <v/>
      </c>
      <c r="L240" s="34" t="str">
        <f aca="false">IF($A240="","",SUMIFS(②销售核销!$L$4:$L$603,②销售核销!$E$4:$E$603,$A240))</f>
        <v/>
      </c>
      <c r="M240" s="34" t="str">
        <f aca="false">IF($A240="","",SUMIFS(②销售核销!$L$4:$L$603,②销售核销!$E$4:$E$603,$A240,②销售核销!$M$4:$M$603,"已收汇"))</f>
        <v/>
      </c>
      <c r="N240" s="30" t="str">
        <f aca="false">IF(ISNUMBER(D240),DATE(YEAR(D240)+1,4,30),"")</f>
        <v/>
      </c>
      <c r="O240" s="35" t="str">
        <f aca="true">IF($A240="","",IF(N(H240)=0,IF(AND(ISNUMBER(N240),TODAY()&gt;N240),"超过收汇期限仍未销售","尚未销售"),IF(ROUND(M240,2)&gt;=ROUND(L240,2),"已售部分已收汇",IF(AND(ISNUMBER(N240),TODAY()&gt;N240),"超期未收汇","有回款待收汇"))))</f>
        <v/>
      </c>
      <c r="P240" s="34" t="str">
        <f aca="false">IF($A240="","",SUMIFS(④退税核算!$H$4:$H$303,④退税核算!$A$4:$A$303,$A240))</f>
        <v/>
      </c>
      <c r="Q240" s="34" t="str">
        <f aca="false">IF($A240="","",SUMIFS(④退税核算!$H$4:$H$303,④退税核算!$A$4:$A$303,$A240,④退税核算!$D$4:$D$303,"未售-海外仓预退（HWC-YT）"))</f>
        <v/>
      </c>
      <c r="R240" s="30" t="str">
        <f aca="false">IF($A240="","",IF(COUNTIFS(④退税核算!$A$4:$A$303,$A240,④退税核算!$D$4:$D$303,"未售-海外仓预退（HWC-YT）",④退税核算!$I$4:$I$303,"&gt;0")=0,"",_xlfn.MINIFS(④退税核算!$J$4:$J$303,④退税核算!$A$4:$A$303,$A240,④退税核算!$D$4:$D$303,"未售-海外仓预退（HWC-YT）")))</f>
        <v/>
      </c>
      <c r="S240" s="35" t="str">
        <f aca="false">IF($A240="","",IF(COUNTIFS(④退税核算!$A$4:$A$303,$A240,④退税核算!$D$4:$D$303,"未售-海外仓预退（HWC-YT）")=0,"不涉及",IF(COUNTIFS(④退税核算!$A$4:$A$303,$A240,④退税核算!$S$4:$S$303,"已逾期*")&gt;0,"已逾期",IF(COUNTIFS(④退税核算!$A$4:$A$303,$A240,④退税核算!$S$4:$S$303,"临近*")&gt;0,"临近截止",IF(COUNTIFS(④退税核算!$A$4:$A$303,$A240,④退税核算!$S$4:$S$303,"待*")&gt;0,"待核算","已核算")))))</f>
        <v/>
      </c>
      <c r="T240" s="35" t="str">
        <f aca="false">IF($A240="","",IFERROR(INDEX(⑥单证留存!$P$4:$P$203,MATCH(①出口报关!B237,⑥单证留存!$A$4:$A$203,0)),"未登记"))</f>
        <v/>
      </c>
      <c r="U240" s="36" t="str">
        <f aca="false">IF($A240="","",IF(IF(OR(O240="超期未收汇",O240="超过收汇期限仍未销售")," 收汇超期","")&amp;IF(S240="已逾期"," 核算逾期","")&amp;IF(S240="临近截止"," 核算临近截止","")&amp;IF(LEFT(T240,1)="缺"," 单证"&amp;T240,"")&amp;IF(T240="未登记"," 单证未登记","")&amp;IF(AND(ISNUMBER(G240),N(G240)&lt;&gt;0)," 入仓差异"&amp;G240,"")="","正常",SUBSTITUTE(TRIM(IF(OR(O240="超期未收汇",O240="超过收汇期限仍未销售")," 收汇超期","")&amp;IF(S240="已逾期"," 核算逾期","")&amp;IF(S240="临近截止"," 核算临近截止","")&amp;IF(LEFT(T240,1)="缺"," 单证"&amp;T240,"")&amp;IF(T240="未登记"," 单证未登记","")&amp;IF(AND(ISNUMBER(G240),N(G240)&lt;&gt;0)," 入仓差异"&amp;G240,""))," ","、")))</f>
        <v/>
      </c>
    </row>
    <row r="241" customFormat="false" ht="21.75" hidden="false" customHeight="true" outlineLevel="0" collapsed="false">
      <c r="A241" s="29" t="str">
        <f aca="false">IF(①出口报关!A238="","",①出口报关!A238)</f>
        <v/>
      </c>
      <c r="B241" s="29" t="str">
        <f aca="false">IF($A241="","",①出口报关!I238)</f>
        <v/>
      </c>
      <c r="C241" s="29" t="str">
        <f aca="false">IF($A241="","",①出口报关!J238)</f>
        <v/>
      </c>
      <c r="D241" s="30" t="str">
        <f aca="false">IF($A241="","",IF(①出口报关!D238="","",①出口报关!D238))</f>
        <v/>
      </c>
      <c r="E241" s="31" t="str">
        <f aca="false">IF($A241="","",N(①出口报关!L238))</f>
        <v/>
      </c>
      <c r="F241" s="31" t="str">
        <f aca="false">IF($A241="","",IF(①出口报关!Y238="","未签收",①出口报关!Y238))</f>
        <v/>
      </c>
      <c r="G241" s="32" t="str">
        <f aca="false">IF(OR($A241="",NOT(ISNUMBER(F241))),"",F241-E241)</f>
        <v/>
      </c>
      <c r="H241" s="31" t="str">
        <f aca="false">IF($A241="","",SUMIFS(②销售核销!$I$4:$I$603,②销售核销!$E$4:$E$603,$A241))</f>
        <v/>
      </c>
      <c r="I241" s="31" t="str">
        <f aca="false">IF($A241="","",SUMIFS(⑤库存异常!$E$4:$E$203,⑤库存异常!$B$4:$B$203,$A241))</f>
        <v/>
      </c>
      <c r="J241" s="31" t="str">
        <f aca="false">IF($A241="","",IF(ISNUMBER(F241),F241,E241)-H241-I241)</f>
        <v/>
      </c>
      <c r="K241" s="33" t="str">
        <f aca="false">IF(OR($A241="",N(E241)=0),"",H241/E241)</f>
        <v/>
      </c>
      <c r="L241" s="34" t="str">
        <f aca="false">IF($A241="","",SUMIFS(②销售核销!$L$4:$L$603,②销售核销!$E$4:$E$603,$A241))</f>
        <v/>
      </c>
      <c r="M241" s="34" t="str">
        <f aca="false">IF($A241="","",SUMIFS(②销售核销!$L$4:$L$603,②销售核销!$E$4:$E$603,$A241,②销售核销!$M$4:$M$603,"已收汇"))</f>
        <v/>
      </c>
      <c r="N241" s="30" t="str">
        <f aca="false">IF(ISNUMBER(D241),DATE(YEAR(D241)+1,4,30),"")</f>
        <v/>
      </c>
      <c r="O241" s="35" t="str">
        <f aca="true">IF($A241="","",IF(N(H241)=0,IF(AND(ISNUMBER(N241),TODAY()&gt;N241),"超过收汇期限仍未销售","尚未销售"),IF(ROUND(M241,2)&gt;=ROUND(L241,2),"已售部分已收汇",IF(AND(ISNUMBER(N241),TODAY()&gt;N241),"超期未收汇","有回款待收汇"))))</f>
        <v/>
      </c>
      <c r="P241" s="34" t="str">
        <f aca="false">IF($A241="","",SUMIFS(④退税核算!$H$4:$H$303,④退税核算!$A$4:$A$303,$A241))</f>
        <v/>
      </c>
      <c r="Q241" s="34" t="str">
        <f aca="false">IF($A241="","",SUMIFS(④退税核算!$H$4:$H$303,④退税核算!$A$4:$A$303,$A241,④退税核算!$D$4:$D$303,"未售-海外仓预退（HWC-YT）"))</f>
        <v/>
      </c>
      <c r="R241" s="30" t="str">
        <f aca="false">IF($A241="","",IF(COUNTIFS(④退税核算!$A$4:$A$303,$A241,④退税核算!$D$4:$D$303,"未售-海外仓预退（HWC-YT）",④退税核算!$I$4:$I$303,"&gt;0")=0,"",_xlfn.MINIFS(④退税核算!$J$4:$J$303,④退税核算!$A$4:$A$303,$A241,④退税核算!$D$4:$D$303,"未售-海外仓预退（HWC-YT）")))</f>
        <v/>
      </c>
      <c r="S241" s="35" t="str">
        <f aca="false">IF($A241="","",IF(COUNTIFS(④退税核算!$A$4:$A$303,$A241,④退税核算!$D$4:$D$303,"未售-海外仓预退（HWC-YT）")=0,"不涉及",IF(COUNTIFS(④退税核算!$A$4:$A$303,$A241,④退税核算!$S$4:$S$303,"已逾期*")&gt;0,"已逾期",IF(COUNTIFS(④退税核算!$A$4:$A$303,$A241,④退税核算!$S$4:$S$303,"临近*")&gt;0,"临近截止",IF(COUNTIFS(④退税核算!$A$4:$A$303,$A241,④退税核算!$S$4:$S$303,"待*")&gt;0,"待核算","已核算")))))</f>
        <v/>
      </c>
      <c r="T241" s="35" t="str">
        <f aca="false">IF($A241="","",IFERROR(INDEX(⑥单证留存!$P$4:$P$203,MATCH(①出口报关!B238,⑥单证留存!$A$4:$A$203,0)),"未登记"))</f>
        <v/>
      </c>
      <c r="U241" s="36" t="str">
        <f aca="false">IF($A241="","",IF(IF(OR(O241="超期未收汇",O241="超过收汇期限仍未销售")," 收汇超期","")&amp;IF(S241="已逾期"," 核算逾期","")&amp;IF(S241="临近截止"," 核算临近截止","")&amp;IF(LEFT(T241,1)="缺"," 单证"&amp;T241,"")&amp;IF(T241="未登记"," 单证未登记","")&amp;IF(AND(ISNUMBER(G241),N(G241)&lt;&gt;0)," 入仓差异"&amp;G241,"")="","正常",SUBSTITUTE(TRIM(IF(OR(O241="超期未收汇",O241="超过收汇期限仍未销售")," 收汇超期","")&amp;IF(S241="已逾期"," 核算逾期","")&amp;IF(S241="临近截止"," 核算临近截止","")&amp;IF(LEFT(T241,1)="缺"," 单证"&amp;T241,"")&amp;IF(T241="未登记"," 单证未登记","")&amp;IF(AND(ISNUMBER(G241),N(G241)&lt;&gt;0)," 入仓差异"&amp;G241,""))," ","、")))</f>
        <v/>
      </c>
    </row>
    <row r="242" customFormat="false" ht="21.75" hidden="false" customHeight="true" outlineLevel="0" collapsed="false">
      <c r="A242" s="29" t="str">
        <f aca="false">IF(①出口报关!A239="","",①出口报关!A239)</f>
        <v/>
      </c>
      <c r="B242" s="29" t="str">
        <f aca="false">IF($A242="","",①出口报关!I239)</f>
        <v/>
      </c>
      <c r="C242" s="29" t="str">
        <f aca="false">IF($A242="","",①出口报关!J239)</f>
        <v/>
      </c>
      <c r="D242" s="30" t="str">
        <f aca="false">IF($A242="","",IF(①出口报关!D239="","",①出口报关!D239))</f>
        <v/>
      </c>
      <c r="E242" s="31" t="str">
        <f aca="false">IF($A242="","",N(①出口报关!L239))</f>
        <v/>
      </c>
      <c r="F242" s="31" t="str">
        <f aca="false">IF($A242="","",IF(①出口报关!Y239="","未签收",①出口报关!Y239))</f>
        <v/>
      </c>
      <c r="G242" s="32" t="str">
        <f aca="false">IF(OR($A242="",NOT(ISNUMBER(F242))),"",F242-E242)</f>
        <v/>
      </c>
      <c r="H242" s="31" t="str">
        <f aca="false">IF($A242="","",SUMIFS(②销售核销!$I$4:$I$603,②销售核销!$E$4:$E$603,$A242))</f>
        <v/>
      </c>
      <c r="I242" s="31" t="str">
        <f aca="false">IF($A242="","",SUMIFS(⑤库存异常!$E$4:$E$203,⑤库存异常!$B$4:$B$203,$A242))</f>
        <v/>
      </c>
      <c r="J242" s="31" t="str">
        <f aca="false">IF($A242="","",IF(ISNUMBER(F242),F242,E242)-H242-I242)</f>
        <v/>
      </c>
      <c r="K242" s="33" t="str">
        <f aca="false">IF(OR($A242="",N(E242)=0),"",H242/E242)</f>
        <v/>
      </c>
      <c r="L242" s="34" t="str">
        <f aca="false">IF($A242="","",SUMIFS(②销售核销!$L$4:$L$603,②销售核销!$E$4:$E$603,$A242))</f>
        <v/>
      </c>
      <c r="M242" s="34" t="str">
        <f aca="false">IF($A242="","",SUMIFS(②销售核销!$L$4:$L$603,②销售核销!$E$4:$E$603,$A242,②销售核销!$M$4:$M$603,"已收汇"))</f>
        <v/>
      </c>
      <c r="N242" s="30" t="str">
        <f aca="false">IF(ISNUMBER(D242),DATE(YEAR(D242)+1,4,30),"")</f>
        <v/>
      </c>
      <c r="O242" s="35" t="str">
        <f aca="true">IF($A242="","",IF(N(H242)=0,IF(AND(ISNUMBER(N242),TODAY()&gt;N242),"超过收汇期限仍未销售","尚未销售"),IF(ROUND(M242,2)&gt;=ROUND(L242,2),"已售部分已收汇",IF(AND(ISNUMBER(N242),TODAY()&gt;N242),"超期未收汇","有回款待收汇"))))</f>
        <v/>
      </c>
      <c r="P242" s="34" t="str">
        <f aca="false">IF($A242="","",SUMIFS(④退税核算!$H$4:$H$303,④退税核算!$A$4:$A$303,$A242))</f>
        <v/>
      </c>
      <c r="Q242" s="34" t="str">
        <f aca="false">IF($A242="","",SUMIFS(④退税核算!$H$4:$H$303,④退税核算!$A$4:$A$303,$A242,④退税核算!$D$4:$D$303,"未售-海外仓预退（HWC-YT）"))</f>
        <v/>
      </c>
      <c r="R242" s="30" t="str">
        <f aca="false">IF($A242="","",IF(COUNTIFS(④退税核算!$A$4:$A$303,$A242,④退税核算!$D$4:$D$303,"未售-海外仓预退（HWC-YT）",④退税核算!$I$4:$I$303,"&gt;0")=0,"",_xlfn.MINIFS(④退税核算!$J$4:$J$303,④退税核算!$A$4:$A$303,$A242,④退税核算!$D$4:$D$303,"未售-海外仓预退（HWC-YT）")))</f>
        <v/>
      </c>
      <c r="S242" s="35" t="str">
        <f aca="false">IF($A242="","",IF(COUNTIFS(④退税核算!$A$4:$A$303,$A242,④退税核算!$D$4:$D$303,"未售-海外仓预退（HWC-YT）")=0,"不涉及",IF(COUNTIFS(④退税核算!$A$4:$A$303,$A242,④退税核算!$S$4:$S$303,"已逾期*")&gt;0,"已逾期",IF(COUNTIFS(④退税核算!$A$4:$A$303,$A242,④退税核算!$S$4:$S$303,"临近*")&gt;0,"临近截止",IF(COUNTIFS(④退税核算!$A$4:$A$303,$A242,④退税核算!$S$4:$S$303,"待*")&gt;0,"待核算","已核算")))))</f>
        <v/>
      </c>
      <c r="T242" s="35" t="str">
        <f aca="false">IF($A242="","",IFERROR(INDEX(⑥单证留存!$P$4:$P$203,MATCH(①出口报关!B239,⑥单证留存!$A$4:$A$203,0)),"未登记"))</f>
        <v/>
      </c>
      <c r="U242" s="36" t="str">
        <f aca="false">IF($A242="","",IF(IF(OR(O242="超期未收汇",O242="超过收汇期限仍未销售")," 收汇超期","")&amp;IF(S242="已逾期"," 核算逾期","")&amp;IF(S242="临近截止"," 核算临近截止","")&amp;IF(LEFT(T242,1)="缺"," 单证"&amp;T242,"")&amp;IF(T242="未登记"," 单证未登记","")&amp;IF(AND(ISNUMBER(G242),N(G242)&lt;&gt;0)," 入仓差异"&amp;G242,"")="","正常",SUBSTITUTE(TRIM(IF(OR(O242="超期未收汇",O242="超过收汇期限仍未销售")," 收汇超期","")&amp;IF(S242="已逾期"," 核算逾期","")&amp;IF(S242="临近截止"," 核算临近截止","")&amp;IF(LEFT(T242,1)="缺"," 单证"&amp;T242,"")&amp;IF(T242="未登记"," 单证未登记","")&amp;IF(AND(ISNUMBER(G242),N(G242)&lt;&gt;0)," 入仓差异"&amp;G242,""))," ","、")))</f>
        <v/>
      </c>
    </row>
    <row r="243" customFormat="false" ht="21.75" hidden="false" customHeight="true" outlineLevel="0" collapsed="false">
      <c r="A243" s="29" t="str">
        <f aca="false">IF(①出口报关!A240="","",①出口报关!A240)</f>
        <v/>
      </c>
      <c r="B243" s="29" t="str">
        <f aca="false">IF($A243="","",①出口报关!I240)</f>
        <v/>
      </c>
      <c r="C243" s="29" t="str">
        <f aca="false">IF($A243="","",①出口报关!J240)</f>
        <v/>
      </c>
      <c r="D243" s="30" t="str">
        <f aca="false">IF($A243="","",IF(①出口报关!D240="","",①出口报关!D240))</f>
        <v/>
      </c>
      <c r="E243" s="31" t="str">
        <f aca="false">IF($A243="","",N(①出口报关!L240))</f>
        <v/>
      </c>
      <c r="F243" s="31" t="str">
        <f aca="false">IF($A243="","",IF(①出口报关!Y240="","未签收",①出口报关!Y240))</f>
        <v/>
      </c>
      <c r="G243" s="32" t="str">
        <f aca="false">IF(OR($A243="",NOT(ISNUMBER(F243))),"",F243-E243)</f>
        <v/>
      </c>
      <c r="H243" s="31" t="str">
        <f aca="false">IF($A243="","",SUMIFS(②销售核销!$I$4:$I$603,②销售核销!$E$4:$E$603,$A243))</f>
        <v/>
      </c>
      <c r="I243" s="31" t="str">
        <f aca="false">IF($A243="","",SUMIFS(⑤库存异常!$E$4:$E$203,⑤库存异常!$B$4:$B$203,$A243))</f>
        <v/>
      </c>
      <c r="J243" s="31" t="str">
        <f aca="false">IF($A243="","",IF(ISNUMBER(F243),F243,E243)-H243-I243)</f>
        <v/>
      </c>
      <c r="K243" s="33" t="str">
        <f aca="false">IF(OR($A243="",N(E243)=0),"",H243/E243)</f>
        <v/>
      </c>
      <c r="L243" s="34" t="str">
        <f aca="false">IF($A243="","",SUMIFS(②销售核销!$L$4:$L$603,②销售核销!$E$4:$E$603,$A243))</f>
        <v/>
      </c>
      <c r="M243" s="34" t="str">
        <f aca="false">IF($A243="","",SUMIFS(②销售核销!$L$4:$L$603,②销售核销!$E$4:$E$603,$A243,②销售核销!$M$4:$M$603,"已收汇"))</f>
        <v/>
      </c>
      <c r="N243" s="30" t="str">
        <f aca="false">IF(ISNUMBER(D243),DATE(YEAR(D243)+1,4,30),"")</f>
        <v/>
      </c>
      <c r="O243" s="35" t="str">
        <f aca="true">IF($A243="","",IF(N(H243)=0,IF(AND(ISNUMBER(N243),TODAY()&gt;N243),"超过收汇期限仍未销售","尚未销售"),IF(ROUND(M243,2)&gt;=ROUND(L243,2),"已售部分已收汇",IF(AND(ISNUMBER(N243),TODAY()&gt;N243),"超期未收汇","有回款待收汇"))))</f>
        <v/>
      </c>
      <c r="P243" s="34" t="str">
        <f aca="false">IF($A243="","",SUMIFS(④退税核算!$H$4:$H$303,④退税核算!$A$4:$A$303,$A243))</f>
        <v/>
      </c>
      <c r="Q243" s="34" t="str">
        <f aca="false">IF($A243="","",SUMIFS(④退税核算!$H$4:$H$303,④退税核算!$A$4:$A$303,$A243,④退税核算!$D$4:$D$303,"未售-海外仓预退（HWC-YT）"))</f>
        <v/>
      </c>
      <c r="R243" s="30" t="str">
        <f aca="false">IF($A243="","",IF(COUNTIFS(④退税核算!$A$4:$A$303,$A243,④退税核算!$D$4:$D$303,"未售-海外仓预退（HWC-YT）",④退税核算!$I$4:$I$303,"&gt;0")=0,"",_xlfn.MINIFS(④退税核算!$J$4:$J$303,④退税核算!$A$4:$A$303,$A243,④退税核算!$D$4:$D$303,"未售-海外仓预退（HWC-YT）")))</f>
        <v/>
      </c>
      <c r="S243" s="35" t="str">
        <f aca="false">IF($A243="","",IF(COUNTIFS(④退税核算!$A$4:$A$303,$A243,④退税核算!$D$4:$D$303,"未售-海外仓预退（HWC-YT）")=0,"不涉及",IF(COUNTIFS(④退税核算!$A$4:$A$303,$A243,④退税核算!$S$4:$S$303,"已逾期*")&gt;0,"已逾期",IF(COUNTIFS(④退税核算!$A$4:$A$303,$A243,④退税核算!$S$4:$S$303,"临近*")&gt;0,"临近截止",IF(COUNTIFS(④退税核算!$A$4:$A$303,$A243,④退税核算!$S$4:$S$303,"待*")&gt;0,"待核算","已核算")))))</f>
        <v/>
      </c>
      <c r="T243" s="35" t="str">
        <f aca="false">IF($A243="","",IFERROR(INDEX(⑥单证留存!$P$4:$P$203,MATCH(①出口报关!B240,⑥单证留存!$A$4:$A$203,0)),"未登记"))</f>
        <v/>
      </c>
      <c r="U243" s="36" t="str">
        <f aca="false">IF($A243="","",IF(IF(OR(O243="超期未收汇",O243="超过收汇期限仍未销售")," 收汇超期","")&amp;IF(S243="已逾期"," 核算逾期","")&amp;IF(S243="临近截止"," 核算临近截止","")&amp;IF(LEFT(T243,1)="缺"," 单证"&amp;T243,"")&amp;IF(T243="未登记"," 单证未登记","")&amp;IF(AND(ISNUMBER(G243),N(G243)&lt;&gt;0)," 入仓差异"&amp;G243,"")="","正常",SUBSTITUTE(TRIM(IF(OR(O243="超期未收汇",O243="超过收汇期限仍未销售")," 收汇超期","")&amp;IF(S243="已逾期"," 核算逾期","")&amp;IF(S243="临近截止"," 核算临近截止","")&amp;IF(LEFT(T243,1)="缺"," 单证"&amp;T243,"")&amp;IF(T243="未登记"," 单证未登记","")&amp;IF(AND(ISNUMBER(G243),N(G243)&lt;&gt;0)," 入仓差异"&amp;G243,""))," ","、")))</f>
        <v/>
      </c>
    </row>
    <row r="244" customFormat="false" ht="21.75" hidden="false" customHeight="true" outlineLevel="0" collapsed="false">
      <c r="A244" s="29" t="str">
        <f aca="false">IF(①出口报关!A241="","",①出口报关!A241)</f>
        <v/>
      </c>
      <c r="B244" s="29" t="str">
        <f aca="false">IF($A244="","",①出口报关!I241)</f>
        <v/>
      </c>
      <c r="C244" s="29" t="str">
        <f aca="false">IF($A244="","",①出口报关!J241)</f>
        <v/>
      </c>
      <c r="D244" s="30" t="str">
        <f aca="false">IF($A244="","",IF(①出口报关!D241="","",①出口报关!D241))</f>
        <v/>
      </c>
      <c r="E244" s="31" t="str">
        <f aca="false">IF($A244="","",N(①出口报关!L241))</f>
        <v/>
      </c>
      <c r="F244" s="31" t="str">
        <f aca="false">IF($A244="","",IF(①出口报关!Y241="","未签收",①出口报关!Y241))</f>
        <v/>
      </c>
      <c r="G244" s="32" t="str">
        <f aca="false">IF(OR($A244="",NOT(ISNUMBER(F244))),"",F244-E244)</f>
        <v/>
      </c>
      <c r="H244" s="31" t="str">
        <f aca="false">IF($A244="","",SUMIFS(②销售核销!$I$4:$I$603,②销售核销!$E$4:$E$603,$A244))</f>
        <v/>
      </c>
      <c r="I244" s="31" t="str">
        <f aca="false">IF($A244="","",SUMIFS(⑤库存异常!$E$4:$E$203,⑤库存异常!$B$4:$B$203,$A244))</f>
        <v/>
      </c>
      <c r="J244" s="31" t="str">
        <f aca="false">IF($A244="","",IF(ISNUMBER(F244),F244,E244)-H244-I244)</f>
        <v/>
      </c>
      <c r="K244" s="33" t="str">
        <f aca="false">IF(OR($A244="",N(E244)=0),"",H244/E244)</f>
        <v/>
      </c>
      <c r="L244" s="34" t="str">
        <f aca="false">IF($A244="","",SUMIFS(②销售核销!$L$4:$L$603,②销售核销!$E$4:$E$603,$A244))</f>
        <v/>
      </c>
      <c r="M244" s="34" t="str">
        <f aca="false">IF($A244="","",SUMIFS(②销售核销!$L$4:$L$603,②销售核销!$E$4:$E$603,$A244,②销售核销!$M$4:$M$603,"已收汇"))</f>
        <v/>
      </c>
      <c r="N244" s="30" t="str">
        <f aca="false">IF(ISNUMBER(D244),DATE(YEAR(D244)+1,4,30),"")</f>
        <v/>
      </c>
      <c r="O244" s="35" t="str">
        <f aca="true">IF($A244="","",IF(N(H244)=0,IF(AND(ISNUMBER(N244),TODAY()&gt;N244),"超过收汇期限仍未销售","尚未销售"),IF(ROUND(M244,2)&gt;=ROUND(L244,2),"已售部分已收汇",IF(AND(ISNUMBER(N244),TODAY()&gt;N244),"超期未收汇","有回款待收汇"))))</f>
        <v/>
      </c>
      <c r="P244" s="34" t="str">
        <f aca="false">IF($A244="","",SUMIFS(④退税核算!$H$4:$H$303,④退税核算!$A$4:$A$303,$A244))</f>
        <v/>
      </c>
      <c r="Q244" s="34" t="str">
        <f aca="false">IF($A244="","",SUMIFS(④退税核算!$H$4:$H$303,④退税核算!$A$4:$A$303,$A244,④退税核算!$D$4:$D$303,"未售-海外仓预退（HWC-YT）"))</f>
        <v/>
      </c>
      <c r="R244" s="30" t="str">
        <f aca="false">IF($A244="","",IF(COUNTIFS(④退税核算!$A$4:$A$303,$A244,④退税核算!$D$4:$D$303,"未售-海外仓预退（HWC-YT）",④退税核算!$I$4:$I$303,"&gt;0")=0,"",_xlfn.MINIFS(④退税核算!$J$4:$J$303,④退税核算!$A$4:$A$303,$A244,④退税核算!$D$4:$D$303,"未售-海外仓预退（HWC-YT）")))</f>
        <v/>
      </c>
      <c r="S244" s="35" t="str">
        <f aca="false">IF($A244="","",IF(COUNTIFS(④退税核算!$A$4:$A$303,$A244,④退税核算!$D$4:$D$303,"未售-海外仓预退（HWC-YT）")=0,"不涉及",IF(COUNTIFS(④退税核算!$A$4:$A$303,$A244,④退税核算!$S$4:$S$303,"已逾期*")&gt;0,"已逾期",IF(COUNTIFS(④退税核算!$A$4:$A$303,$A244,④退税核算!$S$4:$S$303,"临近*")&gt;0,"临近截止",IF(COUNTIFS(④退税核算!$A$4:$A$303,$A244,④退税核算!$S$4:$S$303,"待*")&gt;0,"待核算","已核算")))))</f>
        <v/>
      </c>
      <c r="T244" s="35" t="str">
        <f aca="false">IF($A244="","",IFERROR(INDEX(⑥单证留存!$P$4:$P$203,MATCH(①出口报关!B241,⑥单证留存!$A$4:$A$203,0)),"未登记"))</f>
        <v/>
      </c>
      <c r="U244" s="36" t="str">
        <f aca="false">IF($A244="","",IF(IF(OR(O244="超期未收汇",O244="超过收汇期限仍未销售")," 收汇超期","")&amp;IF(S244="已逾期"," 核算逾期","")&amp;IF(S244="临近截止"," 核算临近截止","")&amp;IF(LEFT(T244,1)="缺"," 单证"&amp;T244,"")&amp;IF(T244="未登记"," 单证未登记","")&amp;IF(AND(ISNUMBER(G244),N(G244)&lt;&gt;0)," 入仓差异"&amp;G244,"")="","正常",SUBSTITUTE(TRIM(IF(OR(O244="超期未收汇",O244="超过收汇期限仍未销售")," 收汇超期","")&amp;IF(S244="已逾期"," 核算逾期","")&amp;IF(S244="临近截止"," 核算临近截止","")&amp;IF(LEFT(T244,1)="缺"," 单证"&amp;T244,"")&amp;IF(T244="未登记"," 单证未登记","")&amp;IF(AND(ISNUMBER(G244),N(G244)&lt;&gt;0)," 入仓差异"&amp;G244,""))," ","、")))</f>
        <v/>
      </c>
    </row>
    <row r="245" customFormat="false" ht="21.75" hidden="false" customHeight="true" outlineLevel="0" collapsed="false">
      <c r="A245" s="29" t="str">
        <f aca="false">IF(①出口报关!A242="","",①出口报关!A242)</f>
        <v/>
      </c>
      <c r="B245" s="29" t="str">
        <f aca="false">IF($A245="","",①出口报关!I242)</f>
        <v/>
      </c>
      <c r="C245" s="29" t="str">
        <f aca="false">IF($A245="","",①出口报关!J242)</f>
        <v/>
      </c>
      <c r="D245" s="30" t="str">
        <f aca="false">IF($A245="","",IF(①出口报关!D242="","",①出口报关!D242))</f>
        <v/>
      </c>
      <c r="E245" s="31" t="str">
        <f aca="false">IF($A245="","",N(①出口报关!L242))</f>
        <v/>
      </c>
      <c r="F245" s="31" t="str">
        <f aca="false">IF($A245="","",IF(①出口报关!Y242="","未签收",①出口报关!Y242))</f>
        <v/>
      </c>
      <c r="G245" s="32" t="str">
        <f aca="false">IF(OR($A245="",NOT(ISNUMBER(F245))),"",F245-E245)</f>
        <v/>
      </c>
      <c r="H245" s="31" t="str">
        <f aca="false">IF($A245="","",SUMIFS(②销售核销!$I$4:$I$603,②销售核销!$E$4:$E$603,$A245))</f>
        <v/>
      </c>
      <c r="I245" s="31" t="str">
        <f aca="false">IF($A245="","",SUMIFS(⑤库存异常!$E$4:$E$203,⑤库存异常!$B$4:$B$203,$A245))</f>
        <v/>
      </c>
      <c r="J245" s="31" t="str">
        <f aca="false">IF($A245="","",IF(ISNUMBER(F245),F245,E245)-H245-I245)</f>
        <v/>
      </c>
      <c r="K245" s="33" t="str">
        <f aca="false">IF(OR($A245="",N(E245)=0),"",H245/E245)</f>
        <v/>
      </c>
      <c r="L245" s="34" t="str">
        <f aca="false">IF($A245="","",SUMIFS(②销售核销!$L$4:$L$603,②销售核销!$E$4:$E$603,$A245))</f>
        <v/>
      </c>
      <c r="M245" s="34" t="str">
        <f aca="false">IF($A245="","",SUMIFS(②销售核销!$L$4:$L$603,②销售核销!$E$4:$E$603,$A245,②销售核销!$M$4:$M$603,"已收汇"))</f>
        <v/>
      </c>
      <c r="N245" s="30" t="str">
        <f aca="false">IF(ISNUMBER(D245),DATE(YEAR(D245)+1,4,30),"")</f>
        <v/>
      </c>
      <c r="O245" s="35" t="str">
        <f aca="true">IF($A245="","",IF(N(H245)=0,IF(AND(ISNUMBER(N245),TODAY()&gt;N245),"超过收汇期限仍未销售","尚未销售"),IF(ROUND(M245,2)&gt;=ROUND(L245,2),"已售部分已收汇",IF(AND(ISNUMBER(N245),TODAY()&gt;N245),"超期未收汇","有回款待收汇"))))</f>
        <v/>
      </c>
      <c r="P245" s="34" t="str">
        <f aca="false">IF($A245="","",SUMIFS(④退税核算!$H$4:$H$303,④退税核算!$A$4:$A$303,$A245))</f>
        <v/>
      </c>
      <c r="Q245" s="34" t="str">
        <f aca="false">IF($A245="","",SUMIFS(④退税核算!$H$4:$H$303,④退税核算!$A$4:$A$303,$A245,④退税核算!$D$4:$D$303,"未售-海外仓预退（HWC-YT）"))</f>
        <v/>
      </c>
      <c r="R245" s="30" t="str">
        <f aca="false">IF($A245="","",IF(COUNTIFS(④退税核算!$A$4:$A$303,$A245,④退税核算!$D$4:$D$303,"未售-海外仓预退（HWC-YT）",④退税核算!$I$4:$I$303,"&gt;0")=0,"",_xlfn.MINIFS(④退税核算!$J$4:$J$303,④退税核算!$A$4:$A$303,$A245,④退税核算!$D$4:$D$303,"未售-海外仓预退（HWC-YT）")))</f>
        <v/>
      </c>
      <c r="S245" s="35" t="str">
        <f aca="false">IF($A245="","",IF(COUNTIFS(④退税核算!$A$4:$A$303,$A245,④退税核算!$D$4:$D$303,"未售-海外仓预退（HWC-YT）")=0,"不涉及",IF(COUNTIFS(④退税核算!$A$4:$A$303,$A245,④退税核算!$S$4:$S$303,"已逾期*")&gt;0,"已逾期",IF(COUNTIFS(④退税核算!$A$4:$A$303,$A245,④退税核算!$S$4:$S$303,"临近*")&gt;0,"临近截止",IF(COUNTIFS(④退税核算!$A$4:$A$303,$A245,④退税核算!$S$4:$S$303,"待*")&gt;0,"待核算","已核算")))))</f>
        <v/>
      </c>
      <c r="T245" s="35" t="str">
        <f aca="false">IF($A245="","",IFERROR(INDEX(⑥单证留存!$P$4:$P$203,MATCH(①出口报关!B242,⑥单证留存!$A$4:$A$203,0)),"未登记"))</f>
        <v/>
      </c>
      <c r="U245" s="36" t="str">
        <f aca="false">IF($A245="","",IF(IF(OR(O245="超期未收汇",O245="超过收汇期限仍未销售")," 收汇超期","")&amp;IF(S245="已逾期"," 核算逾期","")&amp;IF(S245="临近截止"," 核算临近截止","")&amp;IF(LEFT(T245,1)="缺"," 单证"&amp;T245,"")&amp;IF(T245="未登记"," 单证未登记","")&amp;IF(AND(ISNUMBER(G245),N(G245)&lt;&gt;0)," 入仓差异"&amp;G245,"")="","正常",SUBSTITUTE(TRIM(IF(OR(O245="超期未收汇",O245="超过收汇期限仍未销售")," 收汇超期","")&amp;IF(S245="已逾期"," 核算逾期","")&amp;IF(S245="临近截止"," 核算临近截止","")&amp;IF(LEFT(T245,1)="缺"," 单证"&amp;T245,"")&amp;IF(T245="未登记"," 单证未登记","")&amp;IF(AND(ISNUMBER(G245),N(G245)&lt;&gt;0)," 入仓差异"&amp;G245,""))," ","、")))</f>
        <v/>
      </c>
    </row>
    <row r="246" customFormat="false" ht="21.75" hidden="false" customHeight="true" outlineLevel="0" collapsed="false">
      <c r="A246" s="29" t="str">
        <f aca="false">IF(①出口报关!A243="","",①出口报关!A243)</f>
        <v/>
      </c>
      <c r="B246" s="29" t="str">
        <f aca="false">IF($A246="","",①出口报关!I243)</f>
        <v/>
      </c>
      <c r="C246" s="29" t="str">
        <f aca="false">IF($A246="","",①出口报关!J243)</f>
        <v/>
      </c>
      <c r="D246" s="30" t="str">
        <f aca="false">IF($A246="","",IF(①出口报关!D243="","",①出口报关!D243))</f>
        <v/>
      </c>
      <c r="E246" s="31" t="str">
        <f aca="false">IF($A246="","",N(①出口报关!L243))</f>
        <v/>
      </c>
      <c r="F246" s="31" t="str">
        <f aca="false">IF($A246="","",IF(①出口报关!Y243="","未签收",①出口报关!Y243))</f>
        <v/>
      </c>
      <c r="G246" s="32" t="str">
        <f aca="false">IF(OR($A246="",NOT(ISNUMBER(F246))),"",F246-E246)</f>
        <v/>
      </c>
      <c r="H246" s="31" t="str">
        <f aca="false">IF($A246="","",SUMIFS(②销售核销!$I$4:$I$603,②销售核销!$E$4:$E$603,$A246))</f>
        <v/>
      </c>
      <c r="I246" s="31" t="str">
        <f aca="false">IF($A246="","",SUMIFS(⑤库存异常!$E$4:$E$203,⑤库存异常!$B$4:$B$203,$A246))</f>
        <v/>
      </c>
      <c r="J246" s="31" t="str">
        <f aca="false">IF($A246="","",IF(ISNUMBER(F246),F246,E246)-H246-I246)</f>
        <v/>
      </c>
      <c r="K246" s="33" t="str">
        <f aca="false">IF(OR($A246="",N(E246)=0),"",H246/E246)</f>
        <v/>
      </c>
      <c r="L246" s="34" t="str">
        <f aca="false">IF($A246="","",SUMIFS(②销售核销!$L$4:$L$603,②销售核销!$E$4:$E$603,$A246))</f>
        <v/>
      </c>
      <c r="M246" s="34" t="str">
        <f aca="false">IF($A246="","",SUMIFS(②销售核销!$L$4:$L$603,②销售核销!$E$4:$E$603,$A246,②销售核销!$M$4:$M$603,"已收汇"))</f>
        <v/>
      </c>
      <c r="N246" s="30" t="str">
        <f aca="false">IF(ISNUMBER(D246),DATE(YEAR(D246)+1,4,30),"")</f>
        <v/>
      </c>
      <c r="O246" s="35" t="str">
        <f aca="true">IF($A246="","",IF(N(H246)=0,IF(AND(ISNUMBER(N246),TODAY()&gt;N246),"超过收汇期限仍未销售","尚未销售"),IF(ROUND(M246,2)&gt;=ROUND(L246,2),"已售部分已收汇",IF(AND(ISNUMBER(N246),TODAY()&gt;N246),"超期未收汇","有回款待收汇"))))</f>
        <v/>
      </c>
      <c r="P246" s="34" t="str">
        <f aca="false">IF($A246="","",SUMIFS(④退税核算!$H$4:$H$303,④退税核算!$A$4:$A$303,$A246))</f>
        <v/>
      </c>
      <c r="Q246" s="34" t="str">
        <f aca="false">IF($A246="","",SUMIFS(④退税核算!$H$4:$H$303,④退税核算!$A$4:$A$303,$A246,④退税核算!$D$4:$D$303,"未售-海外仓预退（HWC-YT）"))</f>
        <v/>
      </c>
      <c r="R246" s="30" t="str">
        <f aca="false">IF($A246="","",IF(COUNTIFS(④退税核算!$A$4:$A$303,$A246,④退税核算!$D$4:$D$303,"未售-海外仓预退（HWC-YT）",④退税核算!$I$4:$I$303,"&gt;0")=0,"",_xlfn.MINIFS(④退税核算!$J$4:$J$303,④退税核算!$A$4:$A$303,$A246,④退税核算!$D$4:$D$303,"未售-海外仓预退（HWC-YT）")))</f>
        <v/>
      </c>
      <c r="S246" s="35" t="str">
        <f aca="false">IF($A246="","",IF(COUNTIFS(④退税核算!$A$4:$A$303,$A246,④退税核算!$D$4:$D$303,"未售-海外仓预退（HWC-YT）")=0,"不涉及",IF(COUNTIFS(④退税核算!$A$4:$A$303,$A246,④退税核算!$S$4:$S$303,"已逾期*")&gt;0,"已逾期",IF(COUNTIFS(④退税核算!$A$4:$A$303,$A246,④退税核算!$S$4:$S$303,"临近*")&gt;0,"临近截止",IF(COUNTIFS(④退税核算!$A$4:$A$303,$A246,④退税核算!$S$4:$S$303,"待*")&gt;0,"待核算","已核算")))))</f>
        <v/>
      </c>
      <c r="T246" s="35" t="str">
        <f aca="false">IF($A246="","",IFERROR(INDEX(⑥单证留存!$P$4:$P$203,MATCH(①出口报关!B243,⑥单证留存!$A$4:$A$203,0)),"未登记"))</f>
        <v/>
      </c>
      <c r="U246" s="36" t="str">
        <f aca="false">IF($A246="","",IF(IF(OR(O246="超期未收汇",O246="超过收汇期限仍未销售")," 收汇超期","")&amp;IF(S246="已逾期"," 核算逾期","")&amp;IF(S246="临近截止"," 核算临近截止","")&amp;IF(LEFT(T246,1)="缺"," 单证"&amp;T246,"")&amp;IF(T246="未登记"," 单证未登记","")&amp;IF(AND(ISNUMBER(G246),N(G246)&lt;&gt;0)," 入仓差异"&amp;G246,"")="","正常",SUBSTITUTE(TRIM(IF(OR(O246="超期未收汇",O246="超过收汇期限仍未销售")," 收汇超期","")&amp;IF(S246="已逾期"," 核算逾期","")&amp;IF(S246="临近截止"," 核算临近截止","")&amp;IF(LEFT(T246,1)="缺"," 单证"&amp;T246,"")&amp;IF(T246="未登记"," 单证未登记","")&amp;IF(AND(ISNUMBER(G246),N(G246)&lt;&gt;0)," 入仓差异"&amp;G246,""))," ","、")))</f>
        <v/>
      </c>
    </row>
    <row r="247" customFormat="false" ht="21.75" hidden="false" customHeight="true" outlineLevel="0" collapsed="false">
      <c r="A247" s="29" t="str">
        <f aca="false">IF(①出口报关!A244="","",①出口报关!A244)</f>
        <v/>
      </c>
      <c r="B247" s="29" t="str">
        <f aca="false">IF($A247="","",①出口报关!I244)</f>
        <v/>
      </c>
      <c r="C247" s="29" t="str">
        <f aca="false">IF($A247="","",①出口报关!J244)</f>
        <v/>
      </c>
      <c r="D247" s="30" t="str">
        <f aca="false">IF($A247="","",IF(①出口报关!D244="","",①出口报关!D244))</f>
        <v/>
      </c>
      <c r="E247" s="31" t="str">
        <f aca="false">IF($A247="","",N(①出口报关!L244))</f>
        <v/>
      </c>
      <c r="F247" s="31" t="str">
        <f aca="false">IF($A247="","",IF(①出口报关!Y244="","未签收",①出口报关!Y244))</f>
        <v/>
      </c>
      <c r="G247" s="32" t="str">
        <f aca="false">IF(OR($A247="",NOT(ISNUMBER(F247))),"",F247-E247)</f>
        <v/>
      </c>
      <c r="H247" s="31" t="str">
        <f aca="false">IF($A247="","",SUMIFS(②销售核销!$I$4:$I$603,②销售核销!$E$4:$E$603,$A247))</f>
        <v/>
      </c>
      <c r="I247" s="31" t="str">
        <f aca="false">IF($A247="","",SUMIFS(⑤库存异常!$E$4:$E$203,⑤库存异常!$B$4:$B$203,$A247))</f>
        <v/>
      </c>
      <c r="J247" s="31" t="str">
        <f aca="false">IF($A247="","",IF(ISNUMBER(F247),F247,E247)-H247-I247)</f>
        <v/>
      </c>
      <c r="K247" s="33" t="str">
        <f aca="false">IF(OR($A247="",N(E247)=0),"",H247/E247)</f>
        <v/>
      </c>
      <c r="L247" s="34" t="str">
        <f aca="false">IF($A247="","",SUMIFS(②销售核销!$L$4:$L$603,②销售核销!$E$4:$E$603,$A247))</f>
        <v/>
      </c>
      <c r="M247" s="34" t="str">
        <f aca="false">IF($A247="","",SUMIFS(②销售核销!$L$4:$L$603,②销售核销!$E$4:$E$603,$A247,②销售核销!$M$4:$M$603,"已收汇"))</f>
        <v/>
      </c>
      <c r="N247" s="30" t="str">
        <f aca="false">IF(ISNUMBER(D247),DATE(YEAR(D247)+1,4,30),"")</f>
        <v/>
      </c>
      <c r="O247" s="35" t="str">
        <f aca="true">IF($A247="","",IF(N(H247)=0,IF(AND(ISNUMBER(N247),TODAY()&gt;N247),"超过收汇期限仍未销售","尚未销售"),IF(ROUND(M247,2)&gt;=ROUND(L247,2),"已售部分已收汇",IF(AND(ISNUMBER(N247),TODAY()&gt;N247),"超期未收汇","有回款待收汇"))))</f>
        <v/>
      </c>
      <c r="P247" s="34" t="str">
        <f aca="false">IF($A247="","",SUMIFS(④退税核算!$H$4:$H$303,④退税核算!$A$4:$A$303,$A247))</f>
        <v/>
      </c>
      <c r="Q247" s="34" t="str">
        <f aca="false">IF($A247="","",SUMIFS(④退税核算!$H$4:$H$303,④退税核算!$A$4:$A$303,$A247,④退税核算!$D$4:$D$303,"未售-海外仓预退（HWC-YT）"))</f>
        <v/>
      </c>
      <c r="R247" s="30" t="str">
        <f aca="false">IF($A247="","",IF(COUNTIFS(④退税核算!$A$4:$A$303,$A247,④退税核算!$D$4:$D$303,"未售-海外仓预退（HWC-YT）",④退税核算!$I$4:$I$303,"&gt;0")=0,"",_xlfn.MINIFS(④退税核算!$J$4:$J$303,④退税核算!$A$4:$A$303,$A247,④退税核算!$D$4:$D$303,"未售-海外仓预退（HWC-YT）")))</f>
        <v/>
      </c>
      <c r="S247" s="35" t="str">
        <f aca="false">IF($A247="","",IF(COUNTIFS(④退税核算!$A$4:$A$303,$A247,④退税核算!$D$4:$D$303,"未售-海外仓预退（HWC-YT）")=0,"不涉及",IF(COUNTIFS(④退税核算!$A$4:$A$303,$A247,④退税核算!$S$4:$S$303,"已逾期*")&gt;0,"已逾期",IF(COUNTIFS(④退税核算!$A$4:$A$303,$A247,④退税核算!$S$4:$S$303,"临近*")&gt;0,"临近截止",IF(COUNTIFS(④退税核算!$A$4:$A$303,$A247,④退税核算!$S$4:$S$303,"待*")&gt;0,"待核算","已核算")))))</f>
        <v/>
      </c>
      <c r="T247" s="35" t="str">
        <f aca="false">IF($A247="","",IFERROR(INDEX(⑥单证留存!$P$4:$P$203,MATCH(①出口报关!B244,⑥单证留存!$A$4:$A$203,0)),"未登记"))</f>
        <v/>
      </c>
      <c r="U247" s="36" t="str">
        <f aca="false">IF($A247="","",IF(IF(OR(O247="超期未收汇",O247="超过收汇期限仍未销售")," 收汇超期","")&amp;IF(S247="已逾期"," 核算逾期","")&amp;IF(S247="临近截止"," 核算临近截止","")&amp;IF(LEFT(T247,1)="缺"," 单证"&amp;T247,"")&amp;IF(T247="未登记"," 单证未登记","")&amp;IF(AND(ISNUMBER(G247),N(G247)&lt;&gt;0)," 入仓差异"&amp;G247,"")="","正常",SUBSTITUTE(TRIM(IF(OR(O247="超期未收汇",O247="超过收汇期限仍未销售")," 收汇超期","")&amp;IF(S247="已逾期"," 核算逾期","")&amp;IF(S247="临近截止"," 核算临近截止","")&amp;IF(LEFT(T247,1)="缺"," 单证"&amp;T247,"")&amp;IF(T247="未登记"," 单证未登记","")&amp;IF(AND(ISNUMBER(G247),N(G247)&lt;&gt;0)," 入仓差异"&amp;G247,""))," ","、")))</f>
        <v/>
      </c>
    </row>
    <row r="248" customFormat="false" ht="21.75" hidden="false" customHeight="true" outlineLevel="0" collapsed="false">
      <c r="A248" s="29" t="str">
        <f aca="false">IF(①出口报关!A245="","",①出口报关!A245)</f>
        <v/>
      </c>
      <c r="B248" s="29" t="str">
        <f aca="false">IF($A248="","",①出口报关!I245)</f>
        <v/>
      </c>
      <c r="C248" s="29" t="str">
        <f aca="false">IF($A248="","",①出口报关!J245)</f>
        <v/>
      </c>
      <c r="D248" s="30" t="str">
        <f aca="false">IF($A248="","",IF(①出口报关!D245="","",①出口报关!D245))</f>
        <v/>
      </c>
      <c r="E248" s="31" t="str">
        <f aca="false">IF($A248="","",N(①出口报关!L245))</f>
        <v/>
      </c>
      <c r="F248" s="31" t="str">
        <f aca="false">IF($A248="","",IF(①出口报关!Y245="","未签收",①出口报关!Y245))</f>
        <v/>
      </c>
      <c r="G248" s="32" t="str">
        <f aca="false">IF(OR($A248="",NOT(ISNUMBER(F248))),"",F248-E248)</f>
        <v/>
      </c>
      <c r="H248" s="31" t="str">
        <f aca="false">IF($A248="","",SUMIFS(②销售核销!$I$4:$I$603,②销售核销!$E$4:$E$603,$A248))</f>
        <v/>
      </c>
      <c r="I248" s="31" t="str">
        <f aca="false">IF($A248="","",SUMIFS(⑤库存异常!$E$4:$E$203,⑤库存异常!$B$4:$B$203,$A248))</f>
        <v/>
      </c>
      <c r="J248" s="31" t="str">
        <f aca="false">IF($A248="","",IF(ISNUMBER(F248),F248,E248)-H248-I248)</f>
        <v/>
      </c>
      <c r="K248" s="33" t="str">
        <f aca="false">IF(OR($A248="",N(E248)=0),"",H248/E248)</f>
        <v/>
      </c>
      <c r="L248" s="34" t="str">
        <f aca="false">IF($A248="","",SUMIFS(②销售核销!$L$4:$L$603,②销售核销!$E$4:$E$603,$A248))</f>
        <v/>
      </c>
      <c r="M248" s="34" t="str">
        <f aca="false">IF($A248="","",SUMIFS(②销售核销!$L$4:$L$603,②销售核销!$E$4:$E$603,$A248,②销售核销!$M$4:$M$603,"已收汇"))</f>
        <v/>
      </c>
      <c r="N248" s="30" t="str">
        <f aca="false">IF(ISNUMBER(D248),DATE(YEAR(D248)+1,4,30),"")</f>
        <v/>
      </c>
      <c r="O248" s="35" t="str">
        <f aca="true">IF($A248="","",IF(N(H248)=0,IF(AND(ISNUMBER(N248),TODAY()&gt;N248),"超过收汇期限仍未销售","尚未销售"),IF(ROUND(M248,2)&gt;=ROUND(L248,2),"已售部分已收汇",IF(AND(ISNUMBER(N248),TODAY()&gt;N248),"超期未收汇","有回款待收汇"))))</f>
        <v/>
      </c>
      <c r="P248" s="34" t="str">
        <f aca="false">IF($A248="","",SUMIFS(④退税核算!$H$4:$H$303,④退税核算!$A$4:$A$303,$A248))</f>
        <v/>
      </c>
      <c r="Q248" s="34" t="str">
        <f aca="false">IF($A248="","",SUMIFS(④退税核算!$H$4:$H$303,④退税核算!$A$4:$A$303,$A248,④退税核算!$D$4:$D$303,"未售-海外仓预退（HWC-YT）"))</f>
        <v/>
      </c>
      <c r="R248" s="30" t="str">
        <f aca="false">IF($A248="","",IF(COUNTIFS(④退税核算!$A$4:$A$303,$A248,④退税核算!$D$4:$D$303,"未售-海外仓预退（HWC-YT）",④退税核算!$I$4:$I$303,"&gt;0")=0,"",_xlfn.MINIFS(④退税核算!$J$4:$J$303,④退税核算!$A$4:$A$303,$A248,④退税核算!$D$4:$D$303,"未售-海外仓预退（HWC-YT）")))</f>
        <v/>
      </c>
      <c r="S248" s="35" t="str">
        <f aca="false">IF($A248="","",IF(COUNTIFS(④退税核算!$A$4:$A$303,$A248,④退税核算!$D$4:$D$303,"未售-海外仓预退（HWC-YT）")=0,"不涉及",IF(COUNTIFS(④退税核算!$A$4:$A$303,$A248,④退税核算!$S$4:$S$303,"已逾期*")&gt;0,"已逾期",IF(COUNTIFS(④退税核算!$A$4:$A$303,$A248,④退税核算!$S$4:$S$303,"临近*")&gt;0,"临近截止",IF(COUNTIFS(④退税核算!$A$4:$A$303,$A248,④退税核算!$S$4:$S$303,"待*")&gt;0,"待核算","已核算")))))</f>
        <v/>
      </c>
      <c r="T248" s="35" t="str">
        <f aca="false">IF($A248="","",IFERROR(INDEX(⑥单证留存!$P$4:$P$203,MATCH(①出口报关!B245,⑥单证留存!$A$4:$A$203,0)),"未登记"))</f>
        <v/>
      </c>
      <c r="U248" s="36" t="str">
        <f aca="false">IF($A248="","",IF(IF(OR(O248="超期未收汇",O248="超过收汇期限仍未销售")," 收汇超期","")&amp;IF(S248="已逾期"," 核算逾期","")&amp;IF(S248="临近截止"," 核算临近截止","")&amp;IF(LEFT(T248,1)="缺"," 单证"&amp;T248,"")&amp;IF(T248="未登记"," 单证未登记","")&amp;IF(AND(ISNUMBER(G248),N(G248)&lt;&gt;0)," 入仓差异"&amp;G248,"")="","正常",SUBSTITUTE(TRIM(IF(OR(O248="超期未收汇",O248="超过收汇期限仍未销售")," 收汇超期","")&amp;IF(S248="已逾期"," 核算逾期","")&amp;IF(S248="临近截止"," 核算临近截止","")&amp;IF(LEFT(T248,1)="缺"," 单证"&amp;T248,"")&amp;IF(T248="未登记"," 单证未登记","")&amp;IF(AND(ISNUMBER(G248),N(G248)&lt;&gt;0)," 入仓差异"&amp;G248,""))," ","、")))</f>
        <v/>
      </c>
    </row>
    <row r="249" customFormat="false" ht="21.75" hidden="false" customHeight="true" outlineLevel="0" collapsed="false">
      <c r="A249" s="29" t="str">
        <f aca="false">IF(①出口报关!A246="","",①出口报关!A246)</f>
        <v/>
      </c>
      <c r="B249" s="29" t="str">
        <f aca="false">IF($A249="","",①出口报关!I246)</f>
        <v/>
      </c>
      <c r="C249" s="29" t="str">
        <f aca="false">IF($A249="","",①出口报关!J246)</f>
        <v/>
      </c>
      <c r="D249" s="30" t="str">
        <f aca="false">IF($A249="","",IF(①出口报关!D246="","",①出口报关!D246))</f>
        <v/>
      </c>
      <c r="E249" s="31" t="str">
        <f aca="false">IF($A249="","",N(①出口报关!L246))</f>
        <v/>
      </c>
      <c r="F249" s="31" t="str">
        <f aca="false">IF($A249="","",IF(①出口报关!Y246="","未签收",①出口报关!Y246))</f>
        <v/>
      </c>
      <c r="G249" s="32" t="str">
        <f aca="false">IF(OR($A249="",NOT(ISNUMBER(F249))),"",F249-E249)</f>
        <v/>
      </c>
      <c r="H249" s="31" t="str">
        <f aca="false">IF($A249="","",SUMIFS(②销售核销!$I$4:$I$603,②销售核销!$E$4:$E$603,$A249))</f>
        <v/>
      </c>
      <c r="I249" s="31" t="str">
        <f aca="false">IF($A249="","",SUMIFS(⑤库存异常!$E$4:$E$203,⑤库存异常!$B$4:$B$203,$A249))</f>
        <v/>
      </c>
      <c r="J249" s="31" t="str">
        <f aca="false">IF($A249="","",IF(ISNUMBER(F249),F249,E249)-H249-I249)</f>
        <v/>
      </c>
      <c r="K249" s="33" t="str">
        <f aca="false">IF(OR($A249="",N(E249)=0),"",H249/E249)</f>
        <v/>
      </c>
      <c r="L249" s="34" t="str">
        <f aca="false">IF($A249="","",SUMIFS(②销售核销!$L$4:$L$603,②销售核销!$E$4:$E$603,$A249))</f>
        <v/>
      </c>
      <c r="M249" s="34" t="str">
        <f aca="false">IF($A249="","",SUMIFS(②销售核销!$L$4:$L$603,②销售核销!$E$4:$E$603,$A249,②销售核销!$M$4:$M$603,"已收汇"))</f>
        <v/>
      </c>
      <c r="N249" s="30" t="str">
        <f aca="false">IF(ISNUMBER(D249),DATE(YEAR(D249)+1,4,30),"")</f>
        <v/>
      </c>
      <c r="O249" s="35" t="str">
        <f aca="true">IF($A249="","",IF(N(H249)=0,IF(AND(ISNUMBER(N249),TODAY()&gt;N249),"超过收汇期限仍未销售","尚未销售"),IF(ROUND(M249,2)&gt;=ROUND(L249,2),"已售部分已收汇",IF(AND(ISNUMBER(N249),TODAY()&gt;N249),"超期未收汇","有回款待收汇"))))</f>
        <v/>
      </c>
      <c r="P249" s="34" t="str">
        <f aca="false">IF($A249="","",SUMIFS(④退税核算!$H$4:$H$303,④退税核算!$A$4:$A$303,$A249))</f>
        <v/>
      </c>
      <c r="Q249" s="34" t="str">
        <f aca="false">IF($A249="","",SUMIFS(④退税核算!$H$4:$H$303,④退税核算!$A$4:$A$303,$A249,④退税核算!$D$4:$D$303,"未售-海外仓预退（HWC-YT）"))</f>
        <v/>
      </c>
      <c r="R249" s="30" t="str">
        <f aca="false">IF($A249="","",IF(COUNTIFS(④退税核算!$A$4:$A$303,$A249,④退税核算!$D$4:$D$303,"未售-海外仓预退（HWC-YT）",④退税核算!$I$4:$I$303,"&gt;0")=0,"",_xlfn.MINIFS(④退税核算!$J$4:$J$303,④退税核算!$A$4:$A$303,$A249,④退税核算!$D$4:$D$303,"未售-海外仓预退（HWC-YT）")))</f>
        <v/>
      </c>
      <c r="S249" s="35" t="str">
        <f aca="false">IF($A249="","",IF(COUNTIFS(④退税核算!$A$4:$A$303,$A249,④退税核算!$D$4:$D$303,"未售-海外仓预退（HWC-YT）")=0,"不涉及",IF(COUNTIFS(④退税核算!$A$4:$A$303,$A249,④退税核算!$S$4:$S$303,"已逾期*")&gt;0,"已逾期",IF(COUNTIFS(④退税核算!$A$4:$A$303,$A249,④退税核算!$S$4:$S$303,"临近*")&gt;0,"临近截止",IF(COUNTIFS(④退税核算!$A$4:$A$303,$A249,④退税核算!$S$4:$S$303,"待*")&gt;0,"待核算","已核算")))))</f>
        <v/>
      </c>
      <c r="T249" s="35" t="str">
        <f aca="false">IF($A249="","",IFERROR(INDEX(⑥单证留存!$P$4:$P$203,MATCH(①出口报关!B246,⑥单证留存!$A$4:$A$203,0)),"未登记"))</f>
        <v/>
      </c>
      <c r="U249" s="36" t="str">
        <f aca="false">IF($A249="","",IF(IF(OR(O249="超期未收汇",O249="超过收汇期限仍未销售")," 收汇超期","")&amp;IF(S249="已逾期"," 核算逾期","")&amp;IF(S249="临近截止"," 核算临近截止","")&amp;IF(LEFT(T249,1)="缺"," 单证"&amp;T249,"")&amp;IF(T249="未登记"," 单证未登记","")&amp;IF(AND(ISNUMBER(G249),N(G249)&lt;&gt;0)," 入仓差异"&amp;G249,"")="","正常",SUBSTITUTE(TRIM(IF(OR(O249="超期未收汇",O249="超过收汇期限仍未销售")," 收汇超期","")&amp;IF(S249="已逾期"," 核算逾期","")&amp;IF(S249="临近截止"," 核算临近截止","")&amp;IF(LEFT(T249,1)="缺"," 单证"&amp;T249,"")&amp;IF(T249="未登记"," 单证未登记","")&amp;IF(AND(ISNUMBER(G249),N(G249)&lt;&gt;0)," 入仓差异"&amp;G249,""))," ","、")))</f>
        <v/>
      </c>
    </row>
    <row r="250" customFormat="false" ht="21.75" hidden="false" customHeight="true" outlineLevel="0" collapsed="false">
      <c r="A250" s="29" t="str">
        <f aca="false">IF(①出口报关!A247="","",①出口报关!A247)</f>
        <v/>
      </c>
      <c r="B250" s="29" t="str">
        <f aca="false">IF($A250="","",①出口报关!I247)</f>
        <v/>
      </c>
      <c r="C250" s="29" t="str">
        <f aca="false">IF($A250="","",①出口报关!J247)</f>
        <v/>
      </c>
      <c r="D250" s="30" t="str">
        <f aca="false">IF($A250="","",IF(①出口报关!D247="","",①出口报关!D247))</f>
        <v/>
      </c>
      <c r="E250" s="31" t="str">
        <f aca="false">IF($A250="","",N(①出口报关!L247))</f>
        <v/>
      </c>
      <c r="F250" s="31" t="str">
        <f aca="false">IF($A250="","",IF(①出口报关!Y247="","未签收",①出口报关!Y247))</f>
        <v/>
      </c>
      <c r="G250" s="32" t="str">
        <f aca="false">IF(OR($A250="",NOT(ISNUMBER(F250))),"",F250-E250)</f>
        <v/>
      </c>
      <c r="H250" s="31" t="str">
        <f aca="false">IF($A250="","",SUMIFS(②销售核销!$I$4:$I$603,②销售核销!$E$4:$E$603,$A250))</f>
        <v/>
      </c>
      <c r="I250" s="31" t="str">
        <f aca="false">IF($A250="","",SUMIFS(⑤库存异常!$E$4:$E$203,⑤库存异常!$B$4:$B$203,$A250))</f>
        <v/>
      </c>
      <c r="J250" s="31" t="str">
        <f aca="false">IF($A250="","",IF(ISNUMBER(F250),F250,E250)-H250-I250)</f>
        <v/>
      </c>
      <c r="K250" s="33" t="str">
        <f aca="false">IF(OR($A250="",N(E250)=0),"",H250/E250)</f>
        <v/>
      </c>
      <c r="L250" s="34" t="str">
        <f aca="false">IF($A250="","",SUMIFS(②销售核销!$L$4:$L$603,②销售核销!$E$4:$E$603,$A250))</f>
        <v/>
      </c>
      <c r="M250" s="34" t="str">
        <f aca="false">IF($A250="","",SUMIFS(②销售核销!$L$4:$L$603,②销售核销!$E$4:$E$603,$A250,②销售核销!$M$4:$M$603,"已收汇"))</f>
        <v/>
      </c>
      <c r="N250" s="30" t="str">
        <f aca="false">IF(ISNUMBER(D250),DATE(YEAR(D250)+1,4,30),"")</f>
        <v/>
      </c>
      <c r="O250" s="35" t="str">
        <f aca="true">IF($A250="","",IF(N(H250)=0,IF(AND(ISNUMBER(N250),TODAY()&gt;N250),"超过收汇期限仍未销售","尚未销售"),IF(ROUND(M250,2)&gt;=ROUND(L250,2),"已售部分已收汇",IF(AND(ISNUMBER(N250),TODAY()&gt;N250),"超期未收汇","有回款待收汇"))))</f>
        <v/>
      </c>
      <c r="P250" s="34" t="str">
        <f aca="false">IF($A250="","",SUMIFS(④退税核算!$H$4:$H$303,④退税核算!$A$4:$A$303,$A250))</f>
        <v/>
      </c>
      <c r="Q250" s="34" t="str">
        <f aca="false">IF($A250="","",SUMIFS(④退税核算!$H$4:$H$303,④退税核算!$A$4:$A$303,$A250,④退税核算!$D$4:$D$303,"未售-海外仓预退（HWC-YT）"))</f>
        <v/>
      </c>
      <c r="R250" s="30" t="str">
        <f aca="false">IF($A250="","",IF(COUNTIFS(④退税核算!$A$4:$A$303,$A250,④退税核算!$D$4:$D$303,"未售-海外仓预退（HWC-YT）",④退税核算!$I$4:$I$303,"&gt;0")=0,"",_xlfn.MINIFS(④退税核算!$J$4:$J$303,④退税核算!$A$4:$A$303,$A250,④退税核算!$D$4:$D$303,"未售-海外仓预退（HWC-YT）")))</f>
        <v/>
      </c>
      <c r="S250" s="35" t="str">
        <f aca="false">IF($A250="","",IF(COUNTIFS(④退税核算!$A$4:$A$303,$A250,④退税核算!$D$4:$D$303,"未售-海外仓预退（HWC-YT）")=0,"不涉及",IF(COUNTIFS(④退税核算!$A$4:$A$303,$A250,④退税核算!$S$4:$S$303,"已逾期*")&gt;0,"已逾期",IF(COUNTIFS(④退税核算!$A$4:$A$303,$A250,④退税核算!$S$4:$S$303,"临近*")&gt;0,"临近截止",IF(COUNTIFS(④退税核算!$A$4:$A$303,$A250,④退税核算!$S$4:$S$303,"待*")&gt;0,"待核算","已核算")))))</f>
        <v/>
      </c>
      <c r="T250" s="35" t="str">
        <f aca="false">IF($A250="","",IFERROR(INDEX(⑥单证留存!$P$4:$P$203,MATCH(①出口报关!B247,⑥单证留存!$A$4:$A$203,0)),"未登记"))</f>
        <v/>
      </c>
      <c r="U250" s="36" t="str">
        <f aca="false">IF($A250="","",IF(IF(OR(O250="超期未收汇",O250="超过收汇期限仍未销售")," 收汇超期","")&amp;IF(S250="已逾期"," 核算逾期","")&amp;IF(S250="临近截止"," 核算临近截止","")&amp;IF(LEFT(T250,1)="缺"," 单证"&amp;T250,"")&amp;IF(T250="未登记"," 单证未登记","")&amp;IF(AND(ISNUMBER(G250),N(G250)&lt;&gt;0)," 入仓差异"&amp;G250,"")="","正常",SUBSTITUTE(TRIM(IF(OR(O250="超期未收汇",O250="超过收汇期限仍未销售")," 收汇超期","")&amp;IF(S250="已逾期"," 核算逾期","")&amp;IF(S250="临近截止"," 核算临近截止","")&amp;IF(LEFT(T250,1)="缺"," 单证"&amp;T250,"")&amp;IF(T250="未登记"," 单证未登记","")&amp;IF(AND(ISNUMBER(G250),N(G250)&lt;&gt;0)," 入仓差异"&amp;G250,""))," ","、")))</f>
        <v/>
      </c>
    </row>
    <row r="251" customFormat="false" ht="21.75" hidden="false" customHeight="true" outlineLevel="0" collapsed="false">
      <c r="A251" s="29" t="str">
        <f aca="false">IF(①出口报关!A248="","",①出口报关!A248)</f>
        <v/>
      </c>
      <c r="B251" s="29" t="str">
        <f aca="false">IF($A251="","",①出口报关!I248)</f>
        <v/>
      </c>
      <c r="C251" s="29" t="str">
        <f aca="false">IF($A251="","",①出口报关!J248)</f>
        <v/>
      </c>
      <c r="D251" s="30" t="str">
        <f aca="false">IF($A251="","",IF(①出口报关!D248="","",①出口报关!D248))</f>
        <v/>
      </c>
      <c r="E251" s="31" t="str">
        <f aca="false">IF($A251="","",N(①出口报关!L248))</f>
        <v/>
      </c>
      <c r="F251" s="31" t="str">
        <f aca="false">IF($A251="","",IF(①出口报关!Y248="","未签收",①出口报关!Y248))</f>
        <v/>
      </c>
      <c r="G251" s="32" t="str">
        <f aca="false">IF(OR($A251="",NOT(ISNUMBER(F251))),"",F251-E251)</f>
        <v/>
      </c>
      <c r="H251" s="31" t="str">
        <f aca="false">IF($A251="","",SUMIFS(②销售核销!$I$4:$I$603,②销售核销!$E$4:$E$603,$A251))</f>
        <v/>
      </c>
      <c r="I251" s="31" t="str">
        <f aca="false">IF($A251="","",SUMIFS(⑤库存异常!$E$4:$E$203,⑤库存异常!$B$4:$B$203,$A251))</f>
        <v/>
      </c>
      <c r="J251" s="31" t="str">
        <f aca="false">IF($A251="","",IF(ISNUMBER(F251),F251,E251)-H251-I251)</f>
        <v/>
      </c>
      <c r="K251" s="33" t="str">
        <f aca="false">IF(OR($A251="",N(E251)=0),"",H251/E251)</f>
        <v/>
      </c>
      <c r="L251" s="34" t="str">
        <f aca="false">IF($A251="","",SUMIFS(②销售核销!$L$4:$L$603,②销售核销!$E$4:$E$603,$A251))</f>
        <v/>
      </c>
      <c r="M251" s="34" t="str">
        <f aca="false">IF($A251="","",SUMIFS(②销售核销!$L$4:$L$603,②销售核销!$E$4:$E$603,$A251,②销售核销!$M$4:$M$603,"已收汇"))</f>
        <v/>
      </c>
      <c r="N251" s="30" t="str">
        <f aca="false">IF(ISNUMBER(D251),DATE(YEAR(D251)+1,4,30),"")</f>
        <v/>
      </c>
      <c r="O251" s="35" t="str">
        <f aca="true">IF($A251="","",IF(N(H251)=0,IF(AND(ISNUMBER(N251),TODAY()&gt;N251),"超过收汇期限仍未销售","尚未销售"),IF(ROUND(M251,2)&gt;=ROUND(L251,2),"已售部分已收汇",IF(AND(ISNUMBER(N251),TODAY()&gt;N251),"超期未收汇","有回款待收汇"))))</f>
        <v/>
      </c>
      <c r="P251" s="34" t="str">
        <f aca="false">IF($A251="","",SUMIFS(④退税核算!$H$4:$H$303,④退税核算!$A$4:$A$303,$A251))</f>
        <v/>
      </c>
      <c r="Q251" s="34" t="str">
        <f aca="false">IF($A251="","",SUMIFS(④退税核算!$H$4:$H$303,④退税核算!$A$4:$A$303,$A251,④退税核算!$D$4:$D$303,"未售-海外仓预退（HWC-YT）"))</f>
        <v/>
      </c>
      <c r="R251" s="30" t="str">
        <f aca="false">IF($A251="","",IF(COUNTIFS(④退税核算!$A$4:$A$303,$A251,④退税核算!$D$4:$D$303,"未售-海外仓预退（HWC-YT）",④退税核算!$I$4:$I$303,"&gt;0")=0,"",_xlfn.MINIFS(④退税核算!$J$4:$J$303,④退税核算!$A$4:$A$303,$A251,④退税核算!$D$4:$D$303,"未售-海外仓预退（HWC-YT）")))</f>
        <v/>
      </c>
      <c r="S251" s="35" t="str">
        <f aca="false">IF($A251="","",IF(COUNTIFS(④退税核算!$A$4:$A$303,$A251,④退税核算!$D$4:$D$303,"未售-海外仓预退（HWC-YT）")=0,"不涉及",IF(COUNTIFS(④退税核算!$A$4:$A$303,$A251,④退税核算!$S$4:$S$303,"已逾期*")&gt;0,"已逾期",IF(COUNTIFS(④退税核算!$A$4:$A$303,$A251,④退税核算!$S$4:$S$303,"临近*")&gt;0,"临近截止",IF(COUNTIFS(④退税核算!$A$4:$A$303,$A251,④退税核算!$S$4:$S$303,"待*")&gt;0,"待核算","已核算")))))</f>
        <v/>
      </c>
      <c r="T251" s="35" t="str">
        <f aca="false">IF($A251="","",IFERROR(INDEX(⑥单证留存!$P$4:$P$203,MATCH(①出口报关!B248,⑥单证留存!$A$4:$A$203,0)),"未登记"))</f>
        <v/>
      </c>
      <c r="U251" s="36" t="str">
        <f aca="false">IF($A251="","",IF(IF(OR(O251="超期未收汇",O251="超过收汇期限仍未销售")," 收汇超期","")&amp;IF(S251="已逾期"," 核算逾期","")&amp;IF(S251="临近截止"," 核算临近截止","")&amp;IF(LEFT(T251,1)="缺"," 单证"&amp;T251,"")&amp;IF(T251="未登记"," 单证未登记","")&amp;IF(AND(ISNUMBER(G251),N(G251)&lt;&gt;0)," 入仓差异"&amp;G251,"")="","正常",SUBSTITUTE(TRIM(IF(OR(O251="超期未收汇",O251="超过收汇期限仍未销售")," 收汇超期","")&amp;IF(S251="已逾期"," 核算逾期","")&amp;IF(S251="临近截止"," 核算临近截止","")&amp;IF(LEFT(T251,1)="缺"," 单证"&amp;T251,"")&amp;IF(T251="未登记"," 单证未登记","")&amp;IF(AND(ISNUMBER(G251),N(G251)&lt;&gt;0)," 入仓差异"&amp;G251,""))," ","、")))</f>
        <v/>
      </c>
    </row>
    <row r="252" customFormat="false" ht="21.75" hidden="false" customHeight="true" outlineLevel="0" collapsed="false">
      <c r="A252" s="29" t="str">
        <f aca="false">IF(①出口报关!A249="","",①出口报关!A249)</f>
        <v/>
      </c>
      <c r="B252" s="29" t="str">
        <f aca="false">IF($A252="","",①出口报关!I249)</f>
        <v/>
      </c>
      <c r="C252" s="29" t="str">
        <f aca="false">IF($A252="","",①出口报关!J249)</f>
        <v/>
      </c>
      <c r="D252" s="30" t="str">
        <f aca="false">IF($A252="","",IF(①出口报关!D249="","",①出口报关!D249))</f>
        <v/>
      </c>
      <c r="E252" s="31" t="str">
        <f aca="false">IF($A252="","",N(①出口报关!L249))</f>
        <v/>
      </c>
      <c r="F252" s="31" t="str">
        <f aca="false">IF($A252="","",IF(①出口报关!Y249="","未签收",①出口报关!Y249))</f>
        <v/>
      </c>
      <c r="G252" s="32" t="str">
        <f aca="false">IF(OR($A252="",NOT(ISNUMBER(F252))),"",F252-E252)</f>
        <v/>
      </c>
      <c r="H252" s="31" t="str">
        <f aca="false">IF($A252="","",SUMIFS(②销售核销!$I$4:$I$603,②销售核销!$E$4:$E$603,$A252))</f>
        <v/>
      </c>
      <c r="I252" s="31" t="str">
        <f aca="false">IF($A252="","",SUMIFS(⑤库存异常!$E$4:$E$203,⑤库存异常!$B$4:$B$203,$A252))</f>
        <v/>
      </c>
      <c r="J252" s="31" t="str">
        <f aca="false">IF($A252="","",IF(ISNUMBER(F252),F252,E252)-H252-I252)</f>
        <v/>
      </c>
      <c r="K252" s="33" t="str">
        <f aca="false">IF(OR($A252="",N(E252)=0),"",H252/E252)</f>
        <v/>
      </c>
      <c r="L252" s="34" t="str">
        <f aca="false">IF($A252="","",SUMIFS(②销售核销!$L$4:$L$603,②销售核销!$E$4:$E$603,$A252))</f>
        <v/>
      </c>
      <c r="M252" s="34" t="str">
        <f aca="false">IF($A252="","",SUMIFS(②销售核销!$L$4:$L$603,②销售核销!$E$4:$E$603,$A252,②销售核销!$M$4:$M$603,"已收汇"))</f>
        <v/>
      </c>
      <c r="N252" s="30" t="str">
        <f aca="false">IF(ISNUMBER(D252),DATE(YEAR(D252)+1,4,30),"")</f>
        <v/>
      </c>
      <c r="O252" s="35" t="str">
        <f aca="true">IF($A252="","",IF(N(H252)=0,IF(AND(ISNUMBER(N252),TODAY()&gt;N252),"超过收汇期限仍未销售","尚未销售"),IF(ROUND(M252,2)&gt;=ROUND(L252,2),"已售部分已收汇",IF(AND(ISNUMBER(N252),TODAY()&gt;N252),"超期未收汇","有回款待收汇"))))</f>
        <v/>
      </c>
      <c r="P252" s="34" t="str">
        <f aca="false">IF($A252="","",SUMIFS(④退税核算!$H$4:$H$303,④退税核算!$A$4:$A$303,$A252))</f>
        <v/>
      </c>
      <c r="Q252" s="34" t="str">
        <f aca="false">IF($A252="","",SUMIFS(④退税核算!$H$4:$H$303,④退税核算!$A$4:$A$303,$A252,④退税核算!$D$4:$D$303,"未售-海外仓预退（HWC-YT）"))</f>
        <v/>
      </c>
      <c r="R252" s="30" t="str">
        <f aca="false">IF($A252="","",IF(COUNTIFS(④退税核算!$A$4:$A$303,$A252,④退税核算!$D$4:$D$303,"未售-海外仓预退（HWC-YT）",④退税核算!$I$4:$I$303,"&gt;0")=0,"",_xlfn.MINIFS(④退税核算!$J$4:$J$303,④退税核算!$A$4:$A$303,$A252,④退税核算!$D$4:$D$303,"未售-海外仓预退（HWC-YT）")))</f>
        <v/>
      </c>
      <c r="S252" s="35" t="str">
        <f aca="false">IF($A252="","",IF(COUNTIFS(④退税核算!$A$4:$A$303,$A252,④退税核算!$D$4:$D$303,"未售-海外仓预退（HWC-YT）")=0,"不涉及",IF(COUNTIFS(④退税核算!$A$4:$A$303,$A252,④退税核算!$S$4:$S$303,"已逾期*")&gt;0,"已逾期",IF(COUNTIFS(④退税核算!$A$4:$A$303,$A252,④退税核算!$S$4:$S$303,"临近*")&gt;0,"临近截止",IF(COUNTIFS(④退税核算!$A$4:$A$303,$A252,④退税核算!$S$4:$S$303,"待*")&gt;0,"待核算","已核算")))))</f>
        <v/>
      </c>
      <c r="T252" s="35" t="str">
        <f aca="false">IF($A252="","",IFERROR(INDEX(⑥单证留存!$P$4:$P$203,MATCH(①出口报关!B249,⑥单证留存!$A$4:$A$203,0)),"未登记"))</f>
        <v/>
      </c>
      <c r="U252" s="36" t="str">
        <f aca="false">IF($A252="","",IF(IF(OR(O252="超期未收汇",O252="超过收汇期限仍未销售")," 收汇超期","")&amp;IF(S252="已逾期"," 核算逾期","")&amp;IF(S252="临近截止"," 核算临近截止","")&amp;IF(LEFT(T252,1)="缺"," 单证"&amp;T252,"")&amp;IF(T252="未登记"," 单证未登记","")&amp;IF(AND(ISNUMBER(G252),N(G252)&lt;&gt;0)," 入仓差异"&amp;G252,"")="","正常",SUBSTITUTE(TRIM(IF(OR(O252="超期未收汇",O252="超过收汇期限仍未销售")," 收汇超期","")&amp;IF(S252="已逾期"," 核算逾期","")&amp;IF(S252="临近截止"," 核算临近截止","")&amp;IF(LEFT(T252,1)="缺"," 单证"&amp;T252,"")&amp;IF(T252="未登记"," 单证未登记","")&amp;IF(AND(ISNUMBER(G252),N(G252)&lt;&gt;0)," 入仓差异"&amp;G252,""))," ","、")))</f>
        <v/>
      </c>
    </row>
    <row r="253" customFormat="false" ht="21.75" hidden="false" customHeight="true" outlineLevel="0" collapsed="false">
      <c r="A253" s="29" t="str">
        <f aca="false">IF(①出口报关!A250="","",①出口报关!A250)</f>
        <v/>
      </c>
      <c r="B253" s="29" t="str">
        <f aca="false">IF($A253="","",①出口报关!I250)</f>
        <v/>
      </c>
      <c r="C253" s="29" t="str">
        <f aca="false">IF($A253="","",①出口报关!J250)</f>
        <v/>
      </c>
      <c r="D253" s="30" t="str">
        <f aca="false">IF($A253="","",IF(①出口报关!D250="","",①出口报关!D250))</f>
        <v/>
      </c>
      <c r="E253" s="31" t="str">
        <f aca="false">IF($A253="","",N(①出口报关!L250))</f>
        <v/>
      </c>
      <c r="F253" s="31" t="str">
        <f aca="false">IF($A253="","",IF(①出口报关!Y250="","未签收",①出口报关!Y250))</f>
        <v/>
      </c>
      <c r="G253" s="32" t="str">
        <f aca="false">IF(OR($A253="",NOT(ISNUMBER(F253))),"",F253-E253)</f>
        <v/>
      </c>
      <c r="H253" s="31" t="str">
        <f aca="false">IF($A253="","",SUMIFS(②销售核销!$I$4:$I$603,②销售核销!$E$4:$E$603,$A253))</f>
        <v/>
      </c>
      <c r="I253" s="31" t="str">
        <f aca="false">IF($A253="","",SUMIFS(⑤库存异常!$E$4:$E$203,⑤库存异常!$B$4:$B$203,$A253))</f>
        <v/>
      </c>
      <c r="J253" s="31" t="str">
        <f aca="false">IF($A253="","",IF(ISNUMBER(F253),F253,E253)-H253-I253)</f>
        <v/>
      </c>
      <c r="K253" s="33" t="str">
        <f aca="false">IF(OR($A253="",N(E253)=0),"",H253/E253)</f>
        <v/>
      </c>
      <c r="L253" s="34" t="str">
        <f aca="false">IF($A253="","",SUMIFS(②销售核销!$L$4:$L$603,②销售核销!$E$4:$E$603,$A253))</f>
        <v/>
      </c>
      <c r="M253" s="34" t="str">
        <f aca="false">IF($A253="","",SUMIFS(②销售核销!$L$4:$L$603,②销售核销!$E$4:$E$603,$A253,②销售核销!$M$4:$M$603,"已收汇"))</f>
        <v/>
      </c>
      <c r="N253" s="30" t="str">
        <f aca="false">IF(ISNUMBER(D253),DATE(YEAR(D253)+1,4,30),"")</f>
        <v/>
      </c>
      <c r="O253" s="35" t="str">
        <f aca="true">IF($A253="","",IF(N(H253)=0,IF(AND(ISNUMBER(N253),TODAY()&gt;N253),"超过收汇期限仍未销售","尚未销售"),IF(ROUND(M253,2)&gt;=ROUND(L253,2),"已售部分已收汇",IF(AND(ISNUMBER(N253),TODAY()&gt;N253),"超期未收汇","有回款待收汇"))))</f>
        <v/>
      </c>
      <c r="P253" s="34" t="str">
        <f aca="false">IF($A253="","",SUMIFS(④退税核算!$H$4:$H$303,④退税核算!$A$4:$A$303,$A253))</f>
        <v/>
      </c>
      <c r="Q253" s="34" t="str">
        <f aca="false">IF($A253="","",SUMIFS(④退税核算!$H$4:$H$303,④退税核算!$A$4:$A$303,$A253,④退税核算!$D$4:$D$303,"未售-海外仓预退（HWC-YT）"))</f>
        <v/>
      </c>
      <c r="R253" s="30" t="str">
        <f aca="false">IF($A253="","",IF(COUNTIFS(④退税核算!$A$4:$A$303,$A253,④退税核算!$D$4:$D$303,"未售-海外仓预退（HWC-YT）",④退税核算!$I$4:$I$303,"&gt;0")=0,"",_xlfn.MINIFS(④退税核算!$J$4:$J$303,④退税核算!$A$4:$A$303,$A253,④退税核算!$D$4:$D$303,"未售-海外仓预退（HWC-YT）")))</f>
        <v/>
      </c>
      <c r="S253" s="35" t="str">
        <f aca="false">IF($A253="","",IF(COUNTIFS(④退税核算!$A$4:$A$303,$A253,④退税核算!$D$4:$D$303,"未售-海外仓预退（HWC-YT）")=0,"不涉及",IF(COUNTIFS(④退税核算!$A$4:$A$303,$A253,④退税核算!$S$4:$S$303,"已逾期*")&gt;0,"已逾期",IF(COUNTIFS(④退税核算!$A$4:$A$303,$A253,④退税核算!$S$4:$S$303,"临近*")&gt;0,"临近截止",IF(COUNTIFS(④退税核算!$A$4:$A$303,$A253,④退税核算!$S$4:$S$303,"待*")&gt;0,"待核算","已核算")))))</f>
        <v/>
      </c>
      <c r="T253" s="35" t="str">
        <f aca="false">IF($A253="","",IFERROR(INDEX(⑥单证留存!$P$4:$P$203,MATCH(①出口报关!B250,⑥单证留存!$A$4:$A$203,0)),"未登记"))</f>
        <v/>
      </c>
      <c r="U253" s="36" t="str">
        <f aca="false">IF($A253="","",IF(IF(OR(O253="超期未收汇",O253="超过收汇期限仍未销售")," 收汇超期","")&amp;IF(S253="已逾期"," 核算逾期","")&amp;IF(S253="临近截止"," 核算临近截止","")&amp;IF(LEFT(T253,1)="缺"," 单证"&amp;T253,"")&amp;IF(T253="未登记"," 单证未登记","")&amp;IF(AND(ISNUMBER(G253),N(G253)&lt;&gt;0)," 入仓差异"&amp;G253,"")="","正常",SUBSTITUTE(TRIM(IF(OR(O253="超期未收汇",O253="超过收汇期限仍未销售")," 收汇超期","")&amp;IF(S253="已逾期"," 核算逾期","")&amp;IF(S253="临近截止"," 核算临近截止","")&amp;IF(LEFT(T253,1)="缺"," 单证"&amp;T253,"")&amp;IF(T253="未登记"," 单证未登记","")&amp;IF(AND(ISNUMBER(G253),N(G253)&lt;&gt;0)," 入仓差异"&amp;G253,""))," ","、")))</f>
        <v/>
      </c>
    </row>
    <row r="254" customFormat="false" ht="21.75" hidden="false" customHeight="true" outlineLevel="0" collapsed="false">
      <c r="A254" s="29" t="str">
        <f aca="false">IF(①出口报关!A251="","",①出口报关!A251)</f>
        <v/>
      </c>
      <c r="B254" s="29" t="str">
        <f aca="false">IF($A254="","",①出口报关!I251)</f>
        <v/>
      </c>
      <c r="C254" s="29" t="str">
        <f aca="false">IF($A254="","",①出口报关!J251)</f>
        <v/>
      </c>
      <c r="D254" s="30" t="str">
        <f aca="false">IF($A254="","",IF(①出口报关!D251="","",①出口报关!D251))</f>
        <v/>
      </c>
      <c r="E254" s="31" t="str">
        <f aca="false">IF($A254="","",N(①出口报关!L251))</f>
        <v/>
      </c>
      <c r="F254" s="31" t="str">
        <f aca="false">IF($A254="","",IF(①出口报关!Y251="","未签收",①出口报关!Y251))</f>
        <v/>
      </c>
      <c r="G254" s="32" t="str">
        <f aca="false">IF(OR($A254="",NOT(ISNUMBER(F254))),"",F254-E254)</f>
        <v/>
      </c>
      <c r="H254" s="31" t="str">
        <f aca="false">IF($A254="","",SUMIFS(②销售核销!$I$4:$I$603,②销售核销!$E$4:$E$603,$A254))</f>
        <v/>
      </c>
      <c r="I254" s="31" t="str">
        <f aca="false">IF($A254="","",SUMIFS(⑤库存异常!$E$4:$E$203,⑤库存异常!$B$4:$B$203,$A254))</f>
        <v/>
      </c>
      <c r="J254" s="31" t="str">
        <f aca="false">IF($A254="","",IF(ISNUMBER(F254),F254,E254)-H254-I254)</f>
        <v/>
      </c>
      <c r="K254" s="33" t="str">
        <f aca="false">IF(OR($A254="",N(E254)=0),"",H254/E254)</f>
        <v/>
      </c>
      <c r="L254" s="34" t="str">
        <f aca="false">IF($A254="","",SUMIFS(②销售核销!$L$4:$L$603,②销售核销!$E$4:$E$603,$A254))</f>
        <v/>
      </c>
      <c r="M254" s="34" t="str">
        <f aca="false">IF($A254="","",SUMIFS(②销售核销!$L$4:$L$603,②销售核销!$E$4:$E$603,$A254,②销售核销!$M$4:$M$603,"已收汇"))</f>
        <v/>
      </c>
      <c r="N254" s="30" t="str">
        <f aca="false">IF(ISNUMBER(D254),DATE(YEAR(D254)+1,4,30),"")</f>
        <v/>
      </c>
      <c r="O254" s="35" t="str">
        <f aca="true">IF($A254="","",IF(N(H254)=0,IF(AND(ISNUMBER(N254),TODAY()&gt;N254),"超过收汇期限仍未销售","尚未销售"),IF(ROUND(M254,2)&gt;=ROUND(L254,2),"已售部分已收汇",IF(AND(ISNUMBER(N254),TODAY()&gt;N254),"超期未收汇","有回款待收汇"))))</f>
        <v/>
      </c>
      <c r="P254" s="34" t="str">
        <f aca="false">IF($A254="","",SUMIFS(④退税核算!$H$4:$H$303,④退税核算!$A$4:$A$303,$A254))</f>
        <v/>
      </c>
      <c r="Q254" s="34" t="str">
        <f aca="false">IF($A254="","",SUMIFS(④退税核算!$H$4:$H$303,④退税核算!$A$4:$A$303,$A254,④退税核算!$D$4:$D$303,"未售-海外仓预退（HWC-YT）"))</f>
        <v/>
      </c>
      <c r="R254" s="30" t="str">
        <f aca="false">IF($A254="","",IF(COUNTIFS(④退税核算!$A$4:$A$303,$A254,④退税核算!$D$4:$D$303,"未售-海外仓预退（HWC-YT）",④退税核算!$I$4:$I$303,"&gt;0")=0,"",_xlfn.MINIFS(④退税核算!$J$4:$J$303,④退税核算!$A$4:$A$303,$A254,④退税核算!$D$4:$D$303,"未售-海外仓预退（HWC-YT）")))</f>
        <v/>
      </c>
      <c r="S254" s="35" t="str">
        <f aca="false">IF($A254="","",IF(COUNTIFS(④退税核算!$A$4:$A$303,$A254,④退税核算!$D$4:$D$303,"未售-海外仓预退（HWC-YT）")=0,"不涉及",IF(COUNTIFS(④退税核算!$A$4:$A$303,$A254,④退税核算!$S$4:$S$303,"已逾期*")&gt;0,"已逾期",IF(COUNTIFS(④退税核算!$A$4:$A$303,$A254,④退税核算!$S$4:$S$303,"临近*")&gt;0,"临近截止",IF(COUNTIFS(④退税核算!$A$4:$A$303,$A254,④退税核算!$S$4:$S$303,"待*")&gt;0,"待核算","已核算")))))</f>
        <v/>
      </c>
      <c r="T254" s="35" t="str">
        <f aca="false">IF($A254="","",IFERROR(INDEX(⑥单证留存!$P$4:$P$203,MATCH(①出口报关!B251,⑥单证留存!$A$4:$A$203,0)),"未登记"))</f>
        <v/>
      </c>
      <c r="U254" s="36" t="str">
        <f aca="false">IF($A254="","",IF(IF(OR(O254="超期未收汇",O254="超过收汇期限仍未销售")," 收汇超期","")&amp;IF(S254="已逾期"," 核算逾期","")&amp;IF(S254="临近截止"," 核算临近截止","")&amp;IF(LEFT(T254,1)="缺"," 单证"&amp;T254,"")&amp;IF(T254="未登记"," 单证未登记","")&amp;IF(AND(ISNUMBER(G254),N(G254)&lt;&gt;0)," 入仓差异"&amp;G254,"")="","正常",SUBSTITUTE(TRIM(IF(OR(O254="超期未收汇",O254="超过收汇期限仍未销售")," 收汇超期","")&amp;IF(S254="已逾期"," 核算逾期","")&amp;IF(S254="临近截止"," 核算临近截止","")&amp;IF(LEFT(T254,1)="缺"," 单证"&amp;T254,"")&amp;IF(T254="未登记"," 单证未登记","")&amp;IF(AND(ISNUMBER(G254),N(G254)&lt;&gt;0)," 入仓差异"&amp;G254,""))," ","、")))</f>
        <v/>
      </c>
    </row>
    <row r="255" customFormat="false" ht="21.75" hidden="false" customHeight="true" outlineLevel="0" collapsed="false">
      <c r="A255" s="29" t="str">
        <f aca="false">IF(①出口报关!A252="","",①出口报关!A252)</f>
        <v/>
      </c>
      <c r="B255" s="29" t="str">
        <f aca="false">IF($A255="","",①出口报关!I252)</f>
        <v/>
      </c>
      <c r="C255" s="29" t="str">
        <f aca="false">IF($A255="","",①出口报关!J252)</f>
        <v/>
      </c>
      <c r="D255" s="30" t="str">
        <f aca="false">IF($A255="","",IF(①出口报关!D252="","",①出口报关!D252))</f>
        <v/>
      </c>
      <c r="E255" s="31" t="str">
        <f aca="false">IF($A255="","",N(①出口报关!L252))</f>
        <v/>
      </c>
      <c r="F255" s="31" t="str">
        <f aca="false">IF($A255="","",IF(①出口报关!Y252="","未签收",①出口报关!Y252))</f>
        <v/>
      </c>
      <c r="G255" s="32" t="str">
        <f aca="false">IF(OR($A255="",NOT(ISNUMBER(F255))),"",F255-E255)</f>
        <v/>
      </c>
      <c r="H255" s="31" t="str">
        <f aca="false">IF($A255="","",SUMIFS(②销售核销!$I$4:$I$603,②销售核销!$E$4:$E$603,$A255))</f>
        <v/>
      </c>
      <c r="I255" s="31" t="str">
        <f aca="false">IF($A255="","",SUMIFS(⑤库存异常!$E$4:$E$203,⑤库存异常!$B$4:$B$203,$A255))</f>
        <v/>
      </c>
      <c r="J255" s="31" t="str">
        <f aca="false">IF($A255="","",IF(ISNUMBER(F255),F255,E255)-H255-I255)</f>
        <v/>
      </c>
      <c r="K255" s="33" t="str">
        <f aca="false">IF(OR($A255="",N(E255)=0),"",H255/E255)</f>
        <v/>
      </c>
      <c r="L255" s="34" t="str">
        <f aca="false">IF($A255="","",SUMIFS(②销售核销!$L$4:$L$603,②销售核销!$E$4:$E$603,$A255))</f>
        <v/>
      </c>
      <c r="M255" s="34" t="str">
        <f aca="false">IF($A255="","",SUMIFS(②销售核销!$L$4:$L$603,②销售核销!$E$4:$E$603,$A255,②销售核销!$M$4:$M$603,"已收汇"))</f>
        <v/>
      </c>
      <c r="N255" s="30" t="str">
        <f aca="false">IF(ISNUMBER(D255),DATE(YEAR(D255)+1,4,30),"")</f>
        <v/>
      </c>
      <c r="O255" s="35" t="str">
        <f aca="true">IF($A255="","",IF(N(H255)=0,IF(AND(ISNUMBER(N255),TODAY()&gt;N255),"超过收汇期限仍未销售","尚未销售"),IF(ROUND(M255,2)&gt;=ROUND(L255,2),"已售部分已收汇",IF(AND(ISNUMBER(N255),TODAY()&gt;N255),"超期未收汇","有回款待收汇"))))</f>
        <v/>
      </c>
      <c r="P255" s="34" t="str">
        <f aca="false">IF($A255="","",SUMIFS(④退税核算!$H$4:$H$303,④退税核算!$A$4:$A$303,$A255))</f>
        <v/>
      </c>
      <c r="Q255" s="34" t="str">
        <f aca="false">IF($A255="","",SUMIFS(④退税核算!$H$4:$H$303,④退税核算!$A$4:$A$303,$A255,④退税核算!$D$4:$D$303,"未售-海外仓预退（HWC-YT）"))</f>
        <v/>
      </c>
      <c r="R255" s="30" t="str">
        <f aca="false">IF($A255="","",IF(COUNTIFS(④退税核算!$A$4:$A$303,$A255,④退税核算!$D$4:$D$303,"未售-海外仓预退（HWC-YT）",④退税核算!$I$4:$I$303,"&gt;0")=0,"",_xlfn.MINIFS(④退税核算!$J$4:$J$303,④退税核算!$A$4:$A$303,$A255,④退税核算!$D$4:$D$303,"未售-海外仓预退（HWC-YT）")))</f>
        <v/>
      </c>
      <c r="S255" s="35" t="str">
        <f aca="false">IF($A255="","",IF(COUNTIFS(④退税核算!$A$4:$A$303,$A255,④退税核算!$D$4:$D$303,"未售-海外仓预退（HWC-YT）")=0,"不涉及",IF(COUNTIFS(④退税核算!$A$4:$A$303,$A255,④退税核算!$S$4:$S$303,"已逾期*")&gt;0,"已逾期",IF(COUNTIFS(④退税核算!$A$4:$A$303,$A255,④退税核算!$S$4:$S$303,"临近*")&gt;0,"临近截止",IF(COUNTIFS(④退税核算!$A$4:$A$303,$A255,④退税核算!$S$4:$S$303,"待*")&gt;0,"待核算","已核算")))))</f>
        <v/>
      </c>
      <c r="T255" s="35" t="str">
        <f aca="false">IF($A255="","",IFERROR(INDEX(⑥单证留存!$P$4:$P$203,MATCH(①出口报关!B252,⑥单证留存!$A$4:$A$203,0)),"未登记"))</f>
        <v/>
      </c>
      <c r="U255" s="36" t="str">
        <f aca="false">IF($A255="","",IF(IF(OR(O255="超期未收汇",O255="超过收汇期限仍未销售")," 收汇超期","")&amp;IF(S255="已逾期"," 核算逾期","")&amp;IF(S255="临近截止"," 核算临近截止","")&amp;IF(LEFT(T255,1)="缺"," 单证"&amp;T255,"")&amp;IF(T255="未登记"," 单证未登记","")&amp;IF(AND(ISNUMBER(G255),N(G255)&lt;&gt;0)," 入仓差异"&amp;G255,"")="","正常",SUBSTITUTE(TRIM(IF(OR(O255="超期未收汇",O255="超过收汇期限仍未销售")," 收汇超期","")&amp;IF(S255="已逾期"," 核算逾期","")&amp;IF(S255="临近截止"," 核算临近截止","")&amp;IF(LEFT(T255,1)="缺"," 单证"&amp;T255,"")&amp;IF(T255="未登记"," 单证未登记","")&amp;IF(AND(ISNUMBER(G255),N(G255)&lt;&gt;0)," 入仓差异"&amp;G255,""))," ","、")))</f>
        <v/>
      </c>
    </row>
    <row r="256" customFormat="false" ht="21.75" hidden="false" customHeight="true" outlineLevel="0" collapsed="false">
      <c r="A256" s="29" t="str">
        <f aca="false">IF(①出口报关!A253="","",①出口报关!A253)</f>
        <v/>
      </c>
      <c r="B256" s="29" t="str">
        <f aca="false">IF($A256="","",①出口报关!I253)</f>
        <v/>
      </c>
      <c r="C256" s="29" t="str">
        <f aca="false">IF($A256="","",①出口报关!J253)</f>
        <v/>
      </c>
      <c r="D256" s="30" t="str">
        <f aca="false">IF($A256="","",IF(①出口报关!D253="","",①出口报关!D253))</f>
        <v/>
      </c>
      <c r="E256" s="31" t="str">
        <f aca="false">IF($A256="","",N(①出口报关!L253))</f>
        <v/>
      </c>
      <c r="F256" s="31" t="str">
        <f aca="false">IF($A256="","",IF(①出口报关!Y253="","未签收",①出口报关!Y253))</f>
        <v/>
      </c>
      <c r="G256" s="32" t="str">
        <f aca="false">IF(OR($A256="",NOT(ISNUMBER(F256))),"",F256-E256)</f>
        <v/>
      </c>
      <c r="H256" s="31" t="str">
        <f aca="false">IF($A256="","",SUMIFS(②销售核销!$I$4:$I$603,②销售核销!$E$4:$E$603,$A256))</f>
        <v/>
      </c>
      <c r="I256" s="31" t="str">
        <f aca="false">IF($A256="","",SUMIFS(⑤库存异常!$E$4:$E$203,⑤库存异常!$B$4:$B$203,$A256))</f>
        <v/>
      </c>
      <c r="J256" s="31" t="str">
        <f aca="false">IF($A256="","",IF(ISNUMBER(F256),F256,E256)-H256-I256)</f>
        <v/>
      </c>
      <c r="K256" s="33" t="str">
        <f aca="false">IF(OR($A256="",N(E256)=0),"",H256/E256)</f>
        <v/>
      </c>
      <c r="L256" s="34" t="str">
        <f aca="false">IF($A256="","",SUMIFS(②销售核销!$L$4:$L$603,②销售核销!$E$4:$E$603,$A256))</f>
        <v/>
      </c>
      <c r="M256" s="34" t="str">
        <f aca="false">IF($A256="","",SUMIFS(②销售核销!$L$4:$L$603,②销售核销!$E$4:$E$603,$A256,②销售核销!$M$4:$M$603,"已收汇"))</f>
        <v/>
      </c>
      <c r="N256" s="30" t="str">
        <f aca="false">IF(ISNUMBER(D256),DATE(YEAR(D256)+1,4,30),"")</f>
        <v/>
      </c>
      <c r="O256" s="35" t="str">
        <f aca="true">IF($A256="","",IF(N(H256)=0,IF(AND(ISNUMBER(N256),TODAY()&gt;N256),"超过收汇期限仍未销售","尚未销售"),IF(ROUND(M256,2)&gt;=ROUND(L256,2),"已售部分已收汇",IF(AND(ISNUMBER(N256),TODAY()&gt;N256),"超期未收汇","有回款待收汇"))))</f>
        <v/>
      </c>
      <c r="P256" s="34" t="str">
        <f aca="false">IF($A256="","",SUMIFS(④退税核算!$H$4:$H$303,④退税核算!$A$4:$A$303,$A256))</f>
        <v/>
      </c>
      <c r="Q256" s="34" t="str">
        <f aca="false">IF($A256="","",SUMIFS(④退税核算!$H$4:$H$303,④退税核算!$A$4:$A$303,$A256,④退税核算!$D$4:$D$303,"未售-海外仓预退（HWC-YT）"))</f>
        <v/>
      </c>
      <c r="R256" s="30" t="str">
        <f aca="false">IF($A256="","",IF(COUNTIFS(④退税核算!$A$4:$A$303,$A256,④退税核算!$D$4:$D$303,"未售-海外仓预退（HWC-YT）",④退税核算!$I$4:$I$303,"&gt;0")=0,"",_xlfn.MINIFS(④退税核算!$J$4:$J$303,④退税核算!$A$4:$A$303,$A256,④退税核算!$D$4:$D$303,"未售-海外仓预退（HWC-YT）")))</f>
        <v/>
      </c>
      <c r="S256" s="35" t="str">
        <f aca="false">IF($A256="","",IF(COUNTIFS(④退税核算!$A$4:$A$303,$A256,④退税核算!$D$4:$D$303,"未售-海外仓预退（HWC-YT）")=0,"不涉及",IF(COUNTIFS(④退税核算!$A$4:$A$303,$A256,④退税核算!$S$4:$S$303,"已逾期*")&gt;0,"已逾期",IF(COUNTIFS(④退税核算!$A$4:$A$303,$A256,④退税核算!$S$4:$S$303,"临近*")&gt;0,"临近截止",IF(COUNTIFS(④退税核算!$A$4:$A$303,$A256,④退税核算!$S$4:$S$303,"待*")&gt;0,"待核算","已核算")))))</f>
        <v/>
      </c>
      <c r="T256" s="35" t="str">
        <f aca="false">IF($A256="","",IFERROR(INDEX(⑥单证留存!$P$4:$P$203,MATCH(①出口报关!B253,⑥单证留存!$A$4:$A$203,0)),"未登记"))</f>
        <v/>
      </c>
      <c r="U256" s="36" t="str">
        <f aca="false">IF($A256="","",IF(IF(OR(O256="超期未收汇",O256="超过收汇期限仍未销售")," 收汇超期","")&amp;IF(S256="已逾期"," 核算逾期","")&amp;IF(S256="临近截止"," 核算临近截止","")&amp;IF(LEFT(T256,1)="缺"," 单证"&amp;T256,"")&amp;IF(T256="未登记"," 单证未登记","")&amp;IF(AND(ISNUMBER(G256),N(G256)&lt;&gt;0)," 入仓差异"&amp;G256,"")="","正常",SUBSTITUTE(TRIM(IF(OR(O256="超期未收汇",O256="超过收汇期限仍未销售")," 收汇超期","")&amp;IF(S256="已逾期"," 核算逾期","")&amp;IF(S256="临近截止"," 核算临近截止","")&amp;IF(LEFT(T256,1)="缺"," 单证"&amp;T256,"")&amp;IF(T256="未登记"," 单证未登记","")&amp;IF(AND(ISNUMBER(G256),N(G256)&lt;&gt;0)," 入仓差异"&amp;G256,""))," ","、")))</f>
        <v/>
      </c>
    </row>
    <row r="257" customFormat="false" ht="21.75" hidden="false" customHeight="true" outlineLevel="0" collapsed="false">
      <c r="A257" s="29" t="str">
        <f aca="false">IF(①出口报关!A254="","",①出口报关!A254)</f>
        <v/>
      </c>
      <c r="B257" s="29" t="str">
        <f aca="false">IF($A257="","",①出口报关!I254)</f>
        <v/>
      </c>
      <c r="C257" s="29" t="str">
        <f aca="false">IF($A257="","",①出口报关!J254)</f>
        <v/>
      </c>
      <c r="D257" s="30" t="str">
        <f aca="false">IF($A257="","",IF(①出口报关!D254="","",①出口报关!D254))</f>
        <v/>
      </c>
      <c r="E257" s="31" t="str">
        <f aca="false">IF($A257="","",N(①出口报关!L254))</f>
        <v/>
      </c>
      <c r="F257" s="31" t="str">
        <f aca="false">IF($A257="","",IF(①出口报关!Y254="","未签收",①出口报关!Y254))</f>
        <v/>
      </c>
      <c r="G257" s="32" t="str">
        <f aca="false">IF(OR($A257="",NOT(ISNUMBER(F257))),"",F257-E257)</f>
        <v/>
      </c>
      <c r="H257" s="31" t="str">
        <f aca="false">IF($A257="","",SUMIFS(②销售核销!$I$4:$I$603,②销售核销!$E$4:$E$603,$A257))</f>
        <v/>
      </c>
      <c r="I257" s="31" t="str">
        <f aca="false">IF($A257="","",SUMIFS(⑤库存异常!$E$4:$E$203,⑤库存异常!$B$4:$B$203,$A257))</f>
        <v/>
      </c>
      <c r="J257" s="31" t="str">
        <f aca="false">IF($A257="","",IF(ISNUMBER(F257),F257,E257)-H257-I257)</f>
        <v/>
      </c>
      <c r="K257" s="33" t="str">
        <f aca="false">IF(OR($A257="",N(E257)=0),"",H257/E257)</f>
        <v/>
      </c>
      <c r="L257" s="34" t="str">
        <f aca="false">IF($A257="","",SUMIFS(②销售核销!$L$4:$L$603,②销售核销!$E$4:$E$603,$A257))</f>
        <v/>
      </c>
      <c r="M257" s="34" t="str">
        <f aca="false">IF($A257="","",SUMIFS(②销售核销!$L$4:$L$603,②销售核销!$E$4:$E$603,$A257,②销售核销!$M$4:$M$603,"已收汇"))</f>
        <v/>
      </c>
      <c r="N257" s="30" t="str">
        <f aca="false">IF(ISNUMBER(D257),DATE(YEAR(D257)+1,4,30),"")</f>
        <v/>
      </c>
      <c r="O257" s="35" t="str">
        <f aca="true">IF($A257="","",IF(N(H257)=0,IF(AND(ISNUMBER(N257),TODAY()&gt;N257),"超过收汇期限仍未销售","尚未销售"),IF(ROUND(M257,2)&gt;=ROUND(L257,2),"已售部分已收汇",IF(AND(ISNUMBER(N257),TODAY()&gt;N257),"超期未收汇","有回款待收汇"))))</f>
        <v/>
      </c>
      <c r="P257" s="34" t="str">
        <f aca="false">IF($A257="","",SUMIFS(④退税核算!$H$4:$H$303,④退税核算!$A$4:$A$303,$A257))</f>
        <v/>
      </c>
      <c r="Q257" s="34" t="str">
        <f aca="false">IF($A257="","",SUMIFS(④退税核算!$H$4:$H$303,④退税核算!$A$4:$A$303,$A257,④退税核算!$D$4:$D$303,"未售-海外仓预退（HWC-YT）"))</f>
        <v/>
      </c>
      <c r="R257" s="30" t="str">
        <f aca="false">IF($A257="","",IF(COUNTIFS(④退税核算!$A$4:$A$303,$A257,④退税核算!$D$4:$D$303,"未售-海外仓预退（HWC-YT）",④退税核算!$I$4:$I$303,"&gt;0")=0,"",_xlfn.MINIFS(④退税核算!$J$4:$J$303,④退税核算!$A$4:$A$303,$A257,④退税核算!$D$4:$D$303,"未售-海外仓预退（HWC-YT）")))</f>
        <v/>
      </c>
      <c r="S257" s="35" t="str">
        <f aca="false">IF($A257="","",IF(COUNTIFS(④退税核算!$A$4:$A$303,$A257,④退税核算!$D$4:$D$303,"未售-海外仓预退（HWC-YT）")=0,"不涉及",IF(COUNTIFS(④退税核算!$A$4:$A$303,$A257,④退税核算!$S$4:$S$303,"已逾期*")&gt;0,"已逾期",IF(COUNTIFS(④退税核算!$A$4:$A$303,$A257,④退税核算!$S$4:$S$303,"临近*")&gt;0,"临近截止",IF(COUNTIFS(④退税核算!$A$4:$A$303,$A257,④退税核算!$S$4:$S$303,"待*")&gt;0,"待核算","已核算")))))</f>
        <v/>
      </c>
      <c r="T257" s="35" t="str">
        <f aca="false">IF($A257="","",IFERROR(INDEX(⑥单证留存!$P$4:$P$203,MATCH(①出口报关!B254,⑥单证留存!$A$4:$A$203,0)),"未登记"))</f>
        <v/>
      </c>
      <c r="U257" s="36" t="str">
        <f aca="false">IF($A257="","",IF(IF(OR(O257="超期未收汇",O257="超过收汇期限仍未销售")," 收汇超期","")&amp;IF(S257="已逾期"," 核算逾期","")&amp;IF(S257="临近截止"," 核算临近截止","")&amp;IF(LEFT(T257,1)="缺"," 单证"&amp;T257,"")&amp;IF(T257="未登记"," 单证未登记","")&amp;IF(AND(ISNUMBER(G257),N(G257)&lt;&gt;0)," 入仓差异"&amp;G257,"")="","正常",SUBSTITUTE(TRIM(IF(OR(O257="超期未收汇",O257="超过收汇期限仍未销售")," 收汇超期","")&amp;IF(S257="已逾期"," 核算逾期","")&amp;IF(S257="临近截止"," 核算临近截止","")&amp;IF(LEFT(T257,1)="缺"," 单证"&amp;T257,"")&amp;IF(T257="未登记"," 单证未登记","")&amp;IF(AND(ISNUMBER(G257),N(G257)&lt;&gt;0)," 入仓差异"&amp;G257,""))," ","、")))</f>
        <v/>
      </c>
    </row>
    <row r="258" customFormat="false" ht="21.75" hidden="false" customHeight="true" outlineLevel="0" collapsed="false">
      <c r="A258" s="29" t="str">
        <f aca="false">IF(①出口报关!A255="","",①出口报关!A255)</f>
        <v/>
      </c>
      <c r="B258" s="29" t="str">
        <f aca="false">IF($A258="","",①出口报关!I255)</f>
        <v/>
      </c>
      <c r="C258" s="29" t="str">
        <f aca="false">IF($A258="","",①出口报关!J255)</f>
        <v/>
      </c>
      <c r="D258" s="30" t="str">
        <f aca="false">IF($A258="","",IF(①出口报关!D255="","",①出口报关!D255))</f>
        <v/>
      </c>
      <c r="E258" s="31" t="str">
        <f aca="false">IF($A258="","",N(①出口报关!L255))</f>
        <v/>
      </c>
      <c r="F258" s="31" t="str">
        <f aca="false">IF($A258="","",IF(①出口报关!Y255="","未签收",①出口报关!Y255))</f>
        <v/>
      </c>
      <c r="G258" s="32" t="str">
        <f aca="false">IF(OR($A258="",NOT(ISNUMBER(F258))),"",F258-E258)</f>
        <v/>
      </c>
      <c r="H258" s="31" t="str">
        <f aca="false">IF($A258="","",SUMIFS(②销售核销!$I$4:$I$603,②销售核销!$E$4:$E$603,$A258))</f>
        <v/>
      </c>
      <c r="I258" s="31" t="str">
        <f aca="false">IF($A258="","",SUMIFS(⑤库存异常!$E$4:$E$203,⑤库存异常!$B$4:$B$203,$A258))</f>
        <v/>
      </c>
      <c r="J258" s="31" t="str">
        <f aca="false">IF($A258="","",IF(ISNUMBER(F258),F258,E258)-H258-I258)</f>
        <v/>
      </c>
      <c r="K258" s="33" t="str">
        <f aca="false">IF(OR($A258="",N(E258)=0),"",H258/E258)</f>
        <v/>
      </c>
      <c r="L258" s="34" t="str">
        <f aca="false">IF($A258="","",SUMIFS(②销售核销!$L$4:$L$603,②销售核销!$E$4:$E$603,$A258))</f>
        <v/>
      </c>
      <c r="M258" s="34" t="str">
        <f aca="false">IF($A258="","",SUMIFS(②销售核销!$L$4:$L$603,②销售核销!$E$4:$E$603,$A258,②销售核销!$M$4:$M$603,"已收汇"))</f>
        <v/>
      </c>
      <c r="N258" s="30" t="str">
        <f aca="false">IF(ISNUMBER(D258),DATE(YEAR(D258)+1,4,30),"")</f>
        <v/>
      </c>
      <c r="O258" s="35" t="str">
        <f aca="true">IF($A258="","",IF(N(H258)=0,IF(AND(ISNUMBER(N258),TODAY()&gt;N258),"超过收汇期限仍未销售","尚未销售"),IF(ROUND(M258,2)&gt;=ROUND(L258,2),"已售部分已收汇",IF(AND(ISNUMBER(N258),TODAY()&gt;N258),"超期未收汇","有回款待收汇"))))</f>
        <v/>
      </c>
      <c r="P258" s="34" t="str">
        <f aca="false">IF($A258="","",SUMIFS(④退税核算!$H$4:$H$303,④退税核算!$A$4:$A$303,$A258))</f>
        <v/>
      </c>
      <c r="Q258" s="34" t="str">
        <f aca="false">IF($A258="","",SUMIFS(④退税核算!$H$4:$H$303,④退税核算!$A$4:$A$303,$A258,④退税核算!$D$4:$D$303,"未售-海外仓预退（HWC-YT）"))</f>
        <v/>
      </c>
      <c r="R258" s="30" t="str">
        <f aca="false">IF($A258="","",IF(COUNTIFS(④退税核算!$A$4:$A$303,$A258,④退税核算!$D$4:$D$303,"未售-海外仓预退（HWC-YT）",④退税核算!$I$4:$I$303,"&gt;0")=0,"",_xlfn.MINIFS(④退税核算!$J$4:$J$303,④退税核算!$A$4:$A$303,$A258,④退税核算!$D$4:$D$303,"未售-海外仓预退（HWC-YT）")))</f>
        <v/>
      </c>
      <c r="S258" s="35" t="str">
        <f aca="false">IF($A258="","",IF(COUNTIFS(④退税核算!$A$4:$A$303,$A258,④退税核算!$D$4:$D$303,"未售-海外仓预退（HWC-YT）")=0,"不涉及",IF(COUNTIFS(④退税核算!$A$4:$A$303,$A258,④退税核算!$S$4:$S$303,"已逾期*")&gt;0,"已逾期",IF(COUNTIFS(④退税核算!$A$4:$A$303,$A258,④退税核算!$S$4:$S$303,"临近*")&gt;0,"临近截止",IF(COUNTIFS(④退税核算!$A$4:$A$303,$A258,④退税核算!$S$4:$S$303,"待*")&gt;0,"待核算","已核算")))))</f>
        <v/>
      </c>
      <c r="T258" s="35" t="str">
        <f aca="false">IF($A258="","",IFERROR(INDEX(⑥单证留存!$P$4:$P$203,MATCH(①出口报关!B255,⑥单证留存!$A$4:$A$203,0)),"未登记"))</f>
        <v/>
      </c>
      <c r="U258" s="36" t="str">
        <f aca="false">IF($A258="","",IF(IF(OR(O258="超期未收汇",O258="超过收汇期限仍未销售")," 收汇超期","")&amp;IF(S258="已逾期"," 核算逾期","")&amp;IF(S258="临近截止"," 核算临近截止","")&amp;IF(LEFT(T258,1)="缺"," 单证"&amp;T258,"")&amp;IF(T258="未登记"," 单证未登记","")&amp;IF(AND(ISNUMBER(G258),N(G258)&lt;&gt;0)," 入仓差异"&amp;G258,"")="","正常",SUBSTITUTE(TRIM(IF(OR(O258="超期未收汇",O258="超过收汇期限仍未销售")," 收汇超期","")&amp;IF(S258="已逾期"," 核算逾期","")&amp;IF(S258="临近截止"," 核算临近截止","")&amp;IF(LEFT(T258,1)="缺"," 单证"&amp;T258,"")&amp;IF(T258="未登记"," 单证未登记","")&amp;IF(AND(ISNUMBER(G258),N(G258)&lt;&gt;0)," 入仓差异"&amp;G258,""))," ","、")))</f>
        <v/>
      </c>
    </row>
    <row r="259" customFormat="false" ht="21.75" hidden="false" customHeight="true" outlineLevel="0" collapsed="false">
      <c r="A259" s="29" t="str">
        <f aca="false">IF(①出口报关!A256="","",①出口报关!A256)</f>
        <v/>
      </c>
      <c r="B259" s="29" t="str">
        <f aca="false">IF($A259="","",①出口报关!I256)</f>
        <v/>
      </c>
      <c r="C259" s="29" t="str">
        <f aca="false">IF($A259="","",①出口报关!J256)</f>
        <v/>
      </c>
      <c r="D259" s="30" t="str">
        <f aca="false">IF($A259="","",IF(①出口报关!D256="","",①出口报关!D256))</f>
        <v/>
      </c>
      <c r="E259" s="31" t="str">
        <f aca="false">IF($A259="","",N(①出口报关!L256))</f>
        <v/>
      </c>
      <c r="F259" s="31" t="str">
        <f aca="false">IF($A259="","",IF(①出口报关!Y256="","未签收",①出口报关!Y256))</f>
        <v/>
      </c>
      <c r="G259" s="32" t="str">
        <f aca="false">IF(OR($A259="",NOT(ISNUMBER(F259))),"",F259-E259)</f>
        <v/>
      </c>
      <c r="H259" s="31" t="str">
        <f aca="false">IF($A259="","",SUMIFS(②销售核销!$I$4:$I$603,②销售核销!$E$4:$E$603,$A259))</f>
        <v/>
      </c>
      <c r="I259" s="31" t="str">
        <f aca="false">IF($A259="","",SUMIFS(⑤库存异常!$E$4:$E$203,⑤库存异常!$B$4:$B$203,$A259))</f>
        <v/>
      </c>
      <c r="J259" s="31" t="str">
        <f aca="false">IF($A259="","",IF(ISNUMBER(F259),F259,E259)-H259-I259)</f>
        <v/>
      </c>
      <c r="K259" s="33" t="str">
        <f aca="false">IF(OR($A259="",N(E259)=0),"",H259/E259)</f>
        <v/>
      </c>
      <c r="L259" s="34" t="str">
        <f aca="false">IF($A259="","",SUMIFS(②销售核销!$L$4:$L$603,②销售核销!$E$4:$E$603,$A259))</f>
        <v/>
      </c>
      <c r="M259" s="34" t="str">
        <f aca="false">IF($A259="","",SUMIFS(②销售核销!$L$4:$L$603,②销售核销!$E$4:$E$603,$A259,②销售核销!$M$4:$M$603,"已收汇"))</f>
        <v/>
      </c>
      <c r="N259" s="30" t="str">
        <f aca="false">IF(ISNUMBER(D259),DATE(YEAR(D259)+1,4,30),"")</f>
        <v/>
      </c>
      <c r="O259" s="35" t="str">
        <f aca="true">IF($A259="","",IF(N(H259)=0,IF(AND(ISNUMBER(N259),TODAY()&gt;N259),"超过收汇期限仍未销售","尚未销售"),IF(ROUND(M259,2)&gt;=ROUND(L259,2),"已售部分已收汇",IF(AND(ISNUMBER(N259),TODAY()&gt;N259),"超期未收汇","有回款待收汇"))))</f>
        <v/>
      </c>
      <c r="P259" s="34" t="str">
        <f aca="false">IF($A259="","",SUMIFS(④退税核算!$H$4:$H$303,④退税核算!$A$4:$A$303,$A259))</f>
        <v/>
      </c>
      <c r="Q259" s="34" t="str">
        <f aca="false">IF($A259="","",SUMIFS(④退税核算!$H$4:$H$303,④退税核算!$A$4:$A$303,$A259,④退税核算!$D$4:$D$303,"未售-海外仓预退（HWC-YT）"))</f>
        <v/>
      </c>
      <c r="R259" s="30" t="str">
        <f aca="false">IF($A259="","",IF(COUNTIFS(④退税核算!$A$4:$A$303,$A259,④退税核算!$D$4:$D$303,"未售-海外仓预退（HWC-YT）",④退税核算!$I$4:$I$303,"&gt;0")=0,"",_xlfn.MINIFS(④退税核算!$J$4:$J$303,④退税核算!$A$4:$A$303,$A259,④退税核算!$D$4:$D$303,"未售-海外仓预退（HWC-YT）")))</f>
        <v/>
      </c>
      <c r="S259" s="35" t="str">
        <f aca="false">IF($A259="","",IF(COUNTIFS(④退税核算!$A$4:$A$303,$A259,④退税核算!$D$4:$D$303,"未售-海外仓预退（HWC-YT）")=0,"不涉及",IF(COUNTIFS(④退税核算!$A$4:$A$303,$A259,④退税核算!$S$4:$S$303,"已逾期*")&gt;0,"已逾期",IF(COUNTIFS(④退税核算!$A$4:$A$303,$A259,④退税核算!$S$4:$S$303,"临近*")&gt;0,"临近截止",IF(COUNTIFS(④退税核算!$A$4:$A$303,$A259,④退税核算!$S$4:$S$303,"待*")&gt;0,"待核算","已核算")))))</f>
        <v/>
      </c>
      <c r="T259" s="35" t="str">
        <f aca="false">IF($A259="","",IFERROR(INDEX(⑥单证留存!$P$4:$P$203,MATCH(①出口报关!B256,⑥单证留存!$A$4:$A$203,0)),"未登记"))</f>
        <v/>
      </c>
      <c r="U259" s="36" t="str">
        <f aca="false">IF($A259="","",IF(IF(OR(O259="超期未收汇",O259="超过收汇期限仍未销售")," 收汇超期","")&amp;IF(S259="已逾期"," 核算逾期","")&amp;IF(S259="临近截止"," 核算临近截止","")&amp;IF(LEFT(T259,1)="缺"," 单证"&amp;T259,"")&amp;IF(T259="未登记"," 单证未登记","")&amp;IF(AND(ISNUMBER(G259),N(G259)&lt;&gt;0)," 入仓差异"&amp;G259,"")="","正常",SUBSTITUTE(TRIM(IF(OR(O259="超期未收汇",O259="超过收汇期限仍未销售")," 收汇超期","")&amp;IF(S259="已逾期"," 核算逾期","")&amp;IF(S259="临近截止"," 核算临近截止","")&amp;IF(LEFT(T259,1)="缺"," 单证"&amp;T259,"")&amp;IF(T259="未登记"," 单证未登记","")&amp;IF(AND(ISNUMBER(G259),N(G259)&lt;&gt;0)," 入仓差异"&amp;G259,""))," ","、")))</f>
        <v/>
      </c>
    </row>
    <row r="260" customFormat="false" ht="21.75" hidden="false" customHeight="true" outlineLevel="0" collapsed="false">
      <c r="A260" s="29" t="str">
        <f aca="false">IF(①出口报关!A257="","",①出口报关!A257)</f>
        <v/>
      </c>
      <c r="B260" s="29" t="str">
        <f aca="false">IF($A260="","",①出口报关!I257)</f>
        <v/>
      </c>
      <c r="C260" s="29" t="str">
        <f aca="false">IF($A260="","",①出口报关!J257)</f>
        <v/>
      </c>
      <c r="D260" s="30" t="str">
        <f aca="false">IF($A260="","",IF(①出口报关!D257="","",①出口报关!D257))</f>
        <v/>
      </c>
      <c r="E260" s="31" t="str">
        <f aca="false">IF($A260="","",N(①出口报关!L257))</f>
        <v/>
      </c>
      <c r="F260" s="31" t="str">
        <f aca="false">IF($A260="","",IF(①出口报关!Y257="","未签收",①出口报关!Y257))</f>
        <v/>
      </c>
      <c r="G260" s="32" t="str">
        <f aca="false">IF(OR($A260="",NOT(ISNUMBER(F260))),"",F260-E260)</f>
        <v/>
      </c>
      <c r="H260" s="31" t="str">
        <f aca="false">IF($A260="","",SUMIFS(②销售核销!$I$4:$I$603,②销售核销!$E$4:$E$603,$A260))</f>
        <v/>
      </c>
      <c r="I260" s="31" t="str">
        <f aca="false">IF($A260="","",SUMIFS(⑤库存异常!$E$4:$E$203,⑤库存异常!$B$4:$B$203,$A260))</f>
        <v/>
      </c>
      <c r="J260" s="31" t="str">
        <f aca="false">IF($A260="","",IF(ISNUMBER(F260),F260,E260)-H260-I260)</f>
        <v/>
      </c>
      <c r="K260" s="33" t="str">
        <f aca="false">IF(OR($A260="",N(E260)=0),"",H260/E260)</f>
        <v/>
      </c>
      <c r="L260" s="34" t="str">
        <f aca="false">IF($A260="","",SUMIFS(②销售核销!$L$4:$L$603,②销售核销!$E$4:$E$603,$A260))</f>
        <v/>
      </c>
      <c r="M260" s="34" t="str">
        <f aca="false">IF($A260="","",SUMIFS(②销售核销!$L$4:$L$603,②销售核销!$E$4:$E$603,$A260,②销售核销!$M$4:$M$603,"已收汇"))</f>
        <v/>
      </c>
      <c r="N260" s="30" t="str">
        <f aca="false">IF(ISNUMBER(D260),DATE(YEAR(D260)+1,4,30),"")</f>
        <v/>
      </c>
      <c r="O260" s="35" t="str">
        <f aca="true">IF($A260="","",IF(N(H260)=0,IF(AND(ISNUMBER(N260),TODAY()&gt;N260),"超过收汇期限仍未销售","尚未销售"),IF(ROUND(M260,2)&gt;=ROUND(L260,2),"已售部分已收汇",IF(AND(ISNUMBER(N260),TODAY()&gt;N260),"超期未收汇","有回款待收汇"))))</f>
        <v/>
      </c>
      <c r="P260" s="34" t="str">
        <f aca="false">IF($A260="","",SUMIFS(④退税核算!$H$4:$H$303,④退税核算!$A$4:$A$303,$A260))</f>
        <v/>
      </c>
      <c r="Q260" s="34" t="str">
        <f aca="false">IF($A260="","",SUMIFS(④退税核算!$H$4:$H$303,④退税核算!$A$4:$A$303,$A260,④退税核算!$D$4:$D$303,"未售-海外仓预退（HWC-YT）"))</f>
        <v/>
      </c>
      <c r="R260" s="30" t="str">
        <f aca="false">IF($A260="","",IF(COUNTIFS(④退税核算!$A$4:$A$303,$A260,④退税核算!$D$4:$D$303,"未售-海外仓预退（HWC-YT）",④退税核算!$I$4:$I$303,"&gt;0")=0,"",_xlfn.MINIFS(④退税核算!$J$4:$J$303,④退税核算!$A$4:$A$303,$A260,④退税核算!$D$4:$D$303,"未售-海外仓预退（HWC-YT）")))</f>
        <v/>
      </c>
      <c r="S260" s="35" t="str">
        <f aca="false">IF($A260="","",IF(COUNTIFS(④退税核算!$A$4:$A$303,$A260,④退税核算!$D$4:$D$303,"未售-海外仓预退（HWC-YT）")=0,"不涉及",IF(COUNTIFS(④退税核算!$A$4:$A$303,$A260,④退税核算!$S$4:$S$303,"已逾期*")&gt;0,"已逾期",IF(COUNTIFS(④退税核算!$A$4:$A$303,$A260,④退税核算!$S$4:$S$303,"临近*")&gt;0,"临近截止",IF(COUNTIFS(④退税核算!$A$4:$A$303,$A260,④退税核算!$S$4:$S$303,"待*")&gt;0,"待核算","已核算")))))</f>
        <v/>
      </c>
      <c r="T260" s="35" t="str">
        <f aca="false">IF($A260="","",IFERROR(INDEX(⑥单证留存!$P$4:$P$203,MATCH(①出口报关!B257,⑥单证留存!$A$4:$A$203,0)),"未登记"))</f>
        <v/>
      </c>
      <c r="U260" s="36" t="str">
        <f aca="false">IF($A260="","",IF(IF(OR(O260="超期未收汇",O260="超过收汇期限仍未销售")," 收汇超期","")&amp;IF(S260="已逾期"," 核算逾期","")&amp;IF(S260="临近截止"," 核算临近截止","")&amp;IF(LEFT(T260,1)="缺"," 单证"&amp;T260,"")&amp;IF(T260="未登记"," 单证未登记","")&amp;IF(AND(ISNUMBER(G260),N(G260)&lt;&gt;0)," 入仓差异"&amp;G260,"")="","正常",SUBSTITUTE(TRIM(IF(OR(O260="超期未收汇",O260="超过收汇期限仍未销售")," 收汇超期","")&amp;IF(S260="已逾期"," 核算逾期","")&amp;IF(S260="临近截止"," 核算临近截止","")&amp;IF(LEFT(T260,1)="缺"," 单证"&amp;T260,"")&amp;IF(T260="未登记"," 单证未登记","")&amp;IF(AND(ISNUMBER(G260),N(G260)&lt;&gt;0)," 入仓差异"&amp;G260,""))," ","、")))</f>
        <v/>
      </c>
    </row>
    <row r="261" customFormat="false" ht="21.75" hidden="false" customHeight="true" outlineLevel="0" collapsed="false">
      <c r="A261" s="29" t="str">
        <f aca="false">IF(①出口报关!A258="","",①出口报关!A258)</f>
        <v/>
      </c>
      <c r="B261" s="29" t="str">
        <f aca="false">IF($A261="","",①出口报关!I258)</f>
        <v/>
      </c>
      <c r="C261" s="29" t="str">
        <f aca="false">IF($A261="","",①出口报关!J258)</f>
        <v/>
      </c>
      <c r="D261" s="30" t="str">
        <f aca="false">IF($A261="","",IF(①出口报关!D258="","",①出口报关!D258))</f>
        <v/>
      </c>
      <c r="E261" s="31" t="str">
        <f aca="false">IF($A261="","",N(①出口报关!L258))</f>
        <v/>
      </c>
      <c r="F261" s="31" t="str">
        <f aca="false">IF($A261="","",IF(①出口报关!Y258="","未签收",①出口报关!Y258))</f>
        <v/>
      </c>
      <c r="G261" s="32" t="str">
        <f aca="false">IF(OR($A261="",NOT(ISNUMBER(F261))),"",F261-E261)</f>
        <v/>
      </c>
      <c r="H261" s="31" t="str">
        <f aca="false">IF($A261="","",SUMIFS(②销售核销!$I$4:$I$603,②销售核销!$E$4:$E$603,$A261))</f>
        <v/>
      </c>
      <c r="I261" s="31" t="str">
        <f aca="false">IF($A261="","",SUMIFS(⑤库存异常!$E$4:$E$203,⑤库存异常!$B$4:$B$203,$A261))</f>
        <v/>
      </c>
      <c r="J261" s="31" t="str">
        <f aca="false">IF($A261="","",IF(ISNUMBER(F261),F261,E261)-H261-I261)</f>
        <v/>
      </c>
      <c r="K261" s="33" t="str">
        <f aca="false">IF(OR($A261="",N(E261)=0),"",H261/E261)</f>
        <v/>
      </c>
      <c r="L261" s="34" t="str">
        <f aca="false">IF($A261="","",SUMIFS(②销售核销!$L$4:$L$603,②销售核销!$E$4:$E$603,$A261))</f>
        <v/>
      </c>
      <c r="M261" s="34" t="str">
        <f aca="false">IF($A261="","",SUMIFS(②销售核销!$L$4:$L$603,②销售核销!$E$4:$E$603,$A261,②销售核销!$M$4:$M$603,"已收汇"))</f>
        <v/>
      </c>
      <c r="N261" s="30" t="str">
        <f aca="false">IF(ISNUMBER(D261),DATE(YEAR(D261)+1,4,30),"")</f>
        <v/>
      </c>
      <c r="O261" s="35" t="str">
        <f aca="true">IF($A261="","",IF(N(H261)=0,IF(AND(ISNUMBER(N261),TODAY()&gt;N261),"超过收汇期限仍未销售","尚未销售"),IF(ROUND(M261,2)&gt;=ROUND(L261,2),"已售部分已收汇",IF(AND(ISNUMBER(N261),TODAY()&gt;N261),"超期未收汇","有回款待收汇"))))</f>
        <v/>
      </c>
      <c r="P261" s="34" t="str">
        <f aca="false">IF($A261="","",SUMIFS(④退税核算!$H$4:$H$303,④退税核算!$A$4:$A$303,$A261))</f>
        <v/>
      </c>
      <c r="Q261" s="34" t="str">
        <f aca="false">IF($A261="","",SUMIFS(④退税核算!$H$4:$H$303,④退税核算!$A$4:$A$303,$A261,④退税核算!$D$4:$D$303,"未售-海外仓预退（HWC-YT）"))</f>
        <v/>
      </c>
      <c r="R261" s="30" t="str">
        <f aca="false">IF($A261="","",IF(COUNTIFS(④退税核算!$A$4:$A$303,$A261,④退税核算!$D$4:$D$303,"未售-海外仓预退（HWC-YT）",④退税核算!$I$4:$I$303,"&gt;0")=0,"",_xlfn.MINIFS(④退税核算!$J$4:$J$303,④退税核算!$A$4:$A$303,$A261,④退税核算!$D$4:$D$303,"未售-海外仓预退（HWC-YT）")))</f>
        <v/>
      </c>
      <c r="S261" s="35" t="str">
        <f aca="false">IF($A261="","",IF(COUNTIFS(④退税核算!$A$4:$A$303,$A261,④退税核算!$D$4:$D$303,"未售-海外仓预退（HWC-YT）")=0,"不涉及",IF(COUNTIFS(④退税核算!$A$4:$A$303,$A261,④退税核算!$S$4:$S$303,"已逾期*")&gt;0,"已逾期",IF(COUNTIFS(④退税核算!$A$4:$A$303,$A261,④退税核算!$S$4:$S$303,"临近*")&gt;0,"临近截止",IF(COUNTIFS(④退税核算!$A$4:$A$303,$A261,④退税核算!$S$4:$S$303,"待*")&gt;0,"待核算","已核算")))))</f>
        <v/>
      </c>
      <c r="T261" s="35" t="str">
        <f aca="false">IF($A261="","",IFERROR(INDEX(⑥单证留存!$P$4:$P$203,MATCH(①出口报关!B258,⑥单证留存!$A$4:$A$203,0)),"未登记"))</f>
        <v/>
      </c>
      <c r="U261" s="36" t="str">
        <f aca="false">IF($A261="","",IF(IF(OR(O261="超期未收汇",O261="超过收汇期限仍未销售")," 收汇超期","")&amp;IF(S261="已逾期"," 核算逾期","")&amp;IF(S261="临近截止"," 核算临近截止","")&amp;IF(LEFT(T261,1)="缺"," 单证"&amp;T261,"")&amp;IF(T261="未登记"," 单证未登记","")&amp;IF(AND(ISNUMBER(G261),N(G261)&lt;&gt;0)," 入仓差异"&amp;G261,"")="","正常",SUBSTITUTE(TRIM(IF(OR(O261="超期未收汇",O261="超过收汇期限仍未销售")," 收汇超期","")&amp;IF(S261="已逾期"," 核算逾期","")&amp;IF(S261="临近截止"," 核算临近截止","")&amp;IF(LEFT(T261,1)="缺"," 单证"&amp;T261,"")&amp;IF(T261="未登记"," 单证未登记","")&amp;IF(AND(ISNUMBER(G261),N(G261)&lt;&gt;0)," 入仓差异"&amp;G261,""))," ","、")))</f>
        <v/>
      </c>
    </row>
    <row r="262" customFormat="false" ht="21.75" hidden="false" customHeight="true" outlineLevel="0" collapsed="false">
      <c r="A262" s="29" t="str">
        <f aca="false">IF(①出口报关!A259="","",①出口报关!A259)</f>
        <v/>
      </c>
      <c r="B262" s="29" t="str">
        <f aca="false">IF($A262="","",①出口报关!I259)</f>
        <v/>
      </c>
      <c r="C262" s="29" t="str">
        <f aca="false">IF($A262="","",①出口报关!J259)</f>
        <v/>
      </c>
      <c r="D262" s="30" t="str">
        <f aca="false">IF($A262="","",IF(①出口报关!D259="","",①出口报关!D259))</f>
        <v/>
      </c>
      <c r="E262" s="31" t="str">
        <f aca="false">IF($A262="","",N(①出口报关!L259))</f>
        <v/>
      </c>
      <c r="F262" s="31" t="str">
        <f aca="false">IF($A262="","",IF(①出口报关!Y259="","未签收",①出口报关!Y259))</f>
        <v/>
      </c>
      <c r="G262" s="32" t="str">
        <f aca="false">IF(OR($A262="",NOT(ISNUMBER(F262))),"",F262-E262)</f>
        <v/>
      </c>
      <c r="H262" s="31" t="str">
        <f aca="false">IF($A262="","",SUMIFS(②销售核销!$I$4:$I$603,②销售核销!$E$4:$E$603,$A262))</f>
        <v/>
      </c>
      <c r="I262" s="31" t="str">
        <f aca="false">IF($A262="","",SUMIFS(⑤库存异常!$E$4:$E$203,⑤库存异常!$B$4:$B$203,$A262))</f>
        <v/>
      </c>
      <c r="J262" s="31" t="str">
        <f aca="false">IF($A262="","",IF(ISNUMBER(F262),F262,E262)-H262-I262)</f>
        <v/>
      </c>
      <c r="K262" s="33" t="str">
        <f aca="false">IF(OR($A262="",N(E262)=0),"",H262/E262)</f>
        <v/>
      </c>
      <c r="L262" s="34" t="str">
        <f aca="false">IF($A262="","",SUMIFS(②销售核销!$L$4:$L$603,②销售核销!$E$4:$E$603,$A262))</f>
        <v/>
      </c>
      <c r="M262" s="34" t="str">
        <f aca="false">IF($A262="","",SUMIFS(②销售核销!$L$4:$L$603,②销售核销!$E$4:$E$603,$A262,②销售核销!$M$4:$M$603,"已收汇"))</f>
        <v/>
      </c>
      <c r="N262" s="30" t="str">
        <f aca="false">IF(ISNUMBER(D262),DATE(YEAR(D262)+1,4,30),"")</f>
        <v/>
      </c>
      <c r="O262" s="35" t="str">
        <f aca="true">IF($A262="","",IF(N(H262)=0,IF(AND(ISNUMBER(N262),TODAY()&gt;N262),"超过收汇期限仍未销售","尚未销售"),IF(ROUND(M262,2)&gt;=ROUND(L262,2),"已售部分已收汇",IF(AND(ISNUMBER(N262),TODAY()&gt;N262),"超期未收汇","有回款待收汇"))))</f>
        <v/>
      </c>
      <c r="P262" s="34" t="str">
        <f aca="false">IF($A262="","",SUMIFS(④退税核算!$H$4:$H$303,④退税核算!$A$4:$A$303,$A262))</f>
        <v/>
      </c>
      <c r="Q262" s="34" t="str">
        <f aca="false">IF($A262="","",SUMIFS(④退税核算!$H$4:$H$303,④退税核算!$A$4:$A$303,$A262,④退税核算!$D$4:$D$303,"未售-海外仓预退（HWC-YT）"))</f>
        <v/>
      </c>
      <c r="R262" s="30" t="str">
        <f aca="false">IF($A262="","",IF(COUNTIFS(④退税核算!$A$4:$A$303,$A262,④退税核算!$D$4:$D$303,"未售-海外仓预退（HWC-YT）",④退税核算!$I$4:$I$303,"&gt;0")=0,"",_xlfn.MINIFS(④退税核算!$J$4:$J$303,④退税核算!$A$4:$A$303,$A262,④退税核算!$D$4:$D$303,"未售-海外仓预退（HWC-YT）")))</f>
        <v/>
      </c>
      <c r="S262" s="35" t="str">
        <f aca="false">IF($A262="","",IF(COUNTIFS(④退税核算!$A$4:$A$303,$A262,④退税核算!$D$4:$D$303,"未售-海外仓预退（HWC-YT）")=0,"不涉及",IF(COUNTIFS(④退税核算!$A$4:$A$303,$A262,④退税核算!$S$4:$S$303,"已逾期*")&gt;0,"已逾期",IF(COUNTIFS(④退税核算!$A$4:$A$303,$A262,④退税核算!$S$4:$S$303,"临近*")&gt;0,"临近截止",IF(COUNTIFS(④退税核算!$A$4:$A$303,$A262,④退税核算!$S$4:$S$303,"待*")&gt;0,"待核算","已核算")))))</f>
        <v/>
      </c>
      <c r="T262" s="35" t="str">
        <f aca="false">IF($A262="","",IFERROR(INDEX(⑥单证留存!$P$4:$P$203,MATCH(①出口报关!B259,⑥单证留存!$A$4:$A$203,0)),"未登记"))</f>
        <v/>
      </c>
      <c r="U262" s="36" t="str">
        <f aca="false">IF($A262="","",IF(IF(OR(O262="超期未收汇",O262="超过收汇期限仍未销售")," 收汇超期","")&amp;IF(S262="已逾期"," 核算逾期","")&amp;IF(S262="临近截止"," 核算临近截止","")&amp;IF(LEFT(T262,1)="缺"," 单证"&amp;T262,"")&amp;IF(T262="未登记"," 单证未登记","")&amp;IF(AND(ISNUMBER(G262),N(G262)&lt;&gt;0)," 入仓差异"&amp;G262,"")="","正常",SUBSTITUTE(TRIM(IF(OR(O262="超期未收汇",O262="超过收汇期限仍未销售")," 收汇超期","")&amp;IF(S262="已逾期"," 核算逾期","")&amp;IF(S262="临近截止"," 核算临近截止","")&amp;IF(LEFT(T262,1)="缺"," 单证"&amp;T262,"")&amp;IF(T262="未登记"," 单证未登记","")&amp;IF(AND(ISNUMBER(G262),N(G262)&lt;&gt;0)," 入仓差异"&amp;G262,""))," ","、")))</f>
        <v/>
      </c>
    </row>
    <row r="263" customFormat="false" ht="21.75" hidden="false" customHeight="true" outlineLevel="0" collapsed="false">
      <c r="A263" s="29" t="str">
        <f aca="false">IF(①出口报关!A260="","",①出口报关!A260)</f>
        <v/>
      </c>
      <c r="B263" s="29" t="str">
        <f aca="false">IF($A263="","",①出口报关!I260)</f>
        <v/>
      </c>
      <c r="C263" s="29" t="str">
        <f aca="false">IF($A263="","",①出口报关!J260)</f>
        <v/>
      </c>
      <c r="D263" s="30" t="str">
        <f aca="false">IF($A263="","",IF(①出口报关!D260="","",①出口报关!D260))</f>
        <v/>
      </c>
      <c r="E263" s="31" t="str">
        <f aca="false">IF($A263="","",N(①出口报关!L260))</f>
        <v/>
      </c>
      <c r="F263" s="31" t="str">
        <f aca="false">IF($A263="","",IF(①出口报关!Y260="","未签收",①出口报关!Y260))</f>
        <v/>
      </c>
      <c r="G263" s="32" t="str">
        <f aca="false">IF(OR($A263="",NOT(ISNUMBER(F263))),"",F263-E263)</f>
        <v/>
      </c>
      <c r="H263" s="31" t="str">
        <f aca="false">IF($A263="","",SUMIFS(②销售核销!$I$4:$I$603,②销售核销!$E$4:$E$603,$A263))</f>
        <v/>
      </c>
      <c r="I263" s="31" t="str">
        <f aca="false">IF($A263="","",SUMIFS(⑤库存异常!$E$4:$E$203,⑤库存异常!$B$4:$B$203,$A263))</f>
        <v/>
      </c>
      <c r="J263" s="31" t="str">
        <f aca="false">IF($A263="","",IF(ISNUMBER(F263),F263,E263)-H263-I263)</f>
        <v/>
      </c>
      <c r="K263" s="33" t="str">
        <f aca="false">IF(OR($A263="",N(E263)=0),"",H263/E263)</f>
        <v/>
      </c>
      <c r="L263" s="34" t="str">
        <f aca="false">IF($A263="","",SUMIFS(②销售核销!$L$4:$L$603,②销售核销!$E$4:$E$603,$A263))</f>
        <v/>
      </c>
      <c r="M263" s="34" t="str">
        <f aca="false">IF($A263="","",SUMIFS(②销售核销!$L$4:$L$603,②销售核销!$E$4:$E$603,$A263,②销售核销!$M$4:$M$603,"已收汇"))</f>
        <v/>
      </c>
      <c r="N263" s="30" t="str">
        <f aca="false">IF(ISNUMBER(D263),DATE(YEAR(D263)+1,4,30),"")</f>
        <v/>
      </c>
      <c r="O263" s="35" t="str">
        <f aca="true">IF($A263="","",IF(N(H263)=0,IF(AND(ISNUMBER(N263),TODAY()&gt;N263),"超过收汇期限仍未销售","尚未销售"),IF(ROUND(M263,2)&gt;=ROUND(L263,2),"已售部分已收汇",IF(AND(ISNUMBER(N263),TODAY()&gt;N263),"超期未收汇","有回款待收汇"))))</f>
        <v/>
      </c>
      <c r="P263" s="34" t="str">
        <f aca="false">IF($A263="","",SUMIFS(④退税核算!$H$4:$H$303,④退税核算!$A$4:$A$303,$A263))</f>
        <v/>
      </c>
      <c r="Q263" s="34" t="str">
        <f aca="false">IF($A263="","",SUMIFS(④退税核算!$H$4:$H$303,④退税核算!$A$4:$A$303,$A263,④退税核算!$D$4:$D$303,"未售-海外仓预退（HWC-YT）"))</f>
        <v/>
      </c>
      <c r="R263" s="30" t="str">
        <f aca="false">IF($A263="","",IF(COUNTIFS(④退税核算!$A$4:$A$303,$A263,④退税核算!$D$4:$D$303,"未售-海外仓预退（HWC-YT）",④退税核算!$I$4:$I$303,"&gt;0")=0,"",_xlfn.MINIFS(④退税核算!$J$4:$J$303,④退税核算!$A$4:$A$303,$A263,④退税核算!$D$4:$D$303,"未售-海外仓预退（HWC-YT）")))</f>
        <v/>
      </c>
      <c r="S263" s="35" t="str">
        <f aca="false">IF($A263="","",IF(COUNTIFS(④退税核算!$A$4:$A$303,$A263,④退税核算!$D$4:$D$303,"未售-海外仓预退（HWC-YT）")=0,"不涉及",IF(COUNTIFS(④退税核算!$A$4:$A$303,$A263,④退税核算!$S$4:$S$303,"已逾期*")&gt;0,"已逾期",IF(COUNTIFS(④退税核算!$A$4:$A$303,$A263,④退税核算!$S$4:$S$303,"临近*")&gt;0,"临近截止",IF(COUNTIFS(④退税核算!$A$4:$A$303,$A263,④退税核算!$S$4:$S$303,"待*")&gt;0,"待核算","已核算")))))</f>
        <v/>
      </c>
      <c r="T263" s="35" t="str">
        <f aca="false">IF($A263="","",IFERROR(INDEX(⑥单证留存!$P$4:$P$203,MATCH(①出口报关!B260,⑥单证留存!$A$4:$A$203,0)),"未登记"))</f>
        <v/>
      </c>
      <c r="U263" s="36" t="str">
        <f aca="false">IF($A263="","",IF(IF(OR(O263="超期未收汇",O263="超过收汇期限仍未销售")," 收汇超期","")&amp;IF(S263="已逾期"," 核算逾期","")&amp;IF(S263="临近截止"," 核算临近截止","")&amp;IF(LEFT(T263,1)="缺"," 单证"&amp;T263,"")&amp;IF(T263="未登记"," 单证未登记","")&amp;IF(AND(ISNUMBER(G263),N(G263)&lt;&gt;0)," 入仓差异"&amp;G263,"")="","正常",SUBSTITUTE(TRIM(IF(OR(O263="超期未收汇",O263="超过收汇期限仍未销售")," 收汇超期","")&amp;IF(S263="已逾期"," 核算逾期","")&amp;IF(S263="临近截止"," 核算临近截止","")&amp;IF(LEFT(T263,1)="缺"," 单证"&amp;T263,"")&amp;IF(T263="未登记"," 单证未登记","")&amp;IF(AND(ISNUMBER(G263),N(G263)&lt;&gt;0)," 入仓差异"&amp;G263,""))," ","、")))</f>
        <v/>
      </c>
    </row>
    <row r="264" customFormat="false" ht="21.75" hidden="false" customHeight="true" outlineLevel="0" collapsed="false">
      <c r="A264" s="29" t="str">
        <f aca="false">IF(①出口报关!A261="","",①出口报关!A261)</f>
        <v/>
      </c>
      <c r="B264" s="29" t="str">
        <f aca="false">IF($A264="","",①出口报关!I261)</f>
        <v/>
      </c>
      <c r="C264" s="29" t="str">
        <f aca="false">IF($A264="","",①出口报关!J261)</f>
        <v/>
      </c>
      <c r="D264" s="30" t="str">
        <f aca="false">IF($A264="","",IF(①出口报关!D261="","",①出口报关!D261))</f>
        <v/>
      </c>
      <c r="E264" s="31" t="str">
        <f aca="false">IF($A264="","",N(①出口报关!L261))</f>
        <v/>
      </c>
      <c r="F264" s="31" t="str">
        <f aca="false">IF($A264="","",IF(①出口报关!Y261="","未签收",①出口报关!Y261))</f>
        <v/>
      </c>
      <c r="G264" s="32" t="str">
        <f aca="false">IF(OR($A264="",NOT(ISNUMBER(F264))),"",F264-E264)</f>
        <v/>
      </c>
      <c r="H264" s="31" t="str">
        <f aca="false">IF($A264="","",SUMIFS(②销售核销!$I$4:$I$603,②销售核销!$E$4:$E$603,$A264))</f>
        <v/>
      </c>
      <c r="I264" s="31" t="str">
        <f aca="false">IF($A264="","",SUMIFS(⑤库存异常!$E$4:$E$203,⑤库存异常!$B$4:$B$203,$A264))</f>
        <v/>
      </c>
      <c r="J264" s="31" t="str">
        <f aca="false">IF($A264="","",IF(ISNUMBER(F264),F264,E264)-H264-I264)</f>
        <v/>
      </c>
      <c r="K264" s="33" t="str">
        <f aca="false">IF(OR($A264="",N(E264)=0),"",H264/E264)</f>
        <v/>
      </c>
      <c r="L264" s="34" t="str">
        <f aca="false">IF($A264="","",SUMIFS(②销售核销!$L$4:$L$603,②销售核销!$E$4:$E$603,$A264))</f>
        <v/>
      </c>
      <c r="M264" s="34" t="str">
        <f aca="false">IF($A264="","",SUMIFS(②销售核销!$L$4:$L$603,②销售核销!$E$4:$E$603,$A264,②销售核销!$M$4:$M$603,"已收汇"))</f>
        <v/>
      </c>
      <c r="N264" s="30" t="str">
        <f aca="false">IF(ISNUMBER(D264),DATE(YEAR(D264)+1,4,30),"")</f>
        <v/>
      </c>
      <c r="O264" s="35" t="str">
        <f aca="true">IF($A264="","",IF(N(H264)=0,IF(AND(ISNUMBER(N264),TODAY()&gt;N264),"超过收汇期限仍未销售","尚未销售"),IF(ROUND(M264,2)&gt;=ROUND(L264,2),"已售部分已收汇",IF(AND(ISNUMBER(N264),TODAY()&gt;N264),"超期未收汇","有回款待收汇"))))</f>
        <v/>
      </c>
      <c r="P264" s="34" t="str">
        <f aca="false">IF($A264="","",SUMIFS(④退税核算!$H$4:$H$303,④退税核算!$A$4:$A$303,$A264))</f>
        <v/>
      </c>
      <c r="Q264" s="34" t="str">
        <f aca="false">IF($A264="","",SUMIFS(④退税核算!$H$4:$H$303,④退税核算!$A$4:$A$303,$A264,④退税核算!$D$4:$D$303,"未售-海外仓预退（HWC-YT）"))</f>
        <v/>
      </c>
      <c r="R264" s="30" t="str">
        <f aca="false">IF($A264="","",IF(COUNTIFS(④退税核算!$A$4:$A$303,$A264,④退税核算!$D$4:$D$303,"未售-海外仓预退（HWC-YT）",④退税核算!$I$4:$I$303,"&gt;0")=0,"",_xlfn.MINIFS(④退税核算!$J$4:$J$303,④退税核算!$A$4:$A$303,$A264,④退税核算!$D$4:$D$303,"未售-海外仓预退（HWC-YT）")))</f>
        <v/>
      </c>
      <c r="S264" s="35" t="str">
        <f aca="false">IF($A264="","",IF(COUNTIFS(④退税核算!$A$4:$A$303,$A264,④退税核算!$D$4:$D$303,"未售-海外仓预退（HWC-YT）")=0,"不涉及",IF(COUNTIFS(④退税核算!$A$4:$A$303,$A264,④退税核算!$S$4:$S$303,"已逾期*")&gt;0,"已逾期",IF(COUNTIFS(④退税核算!$A$4:$A$303,$A264,④退税核算!$S$4:$S$303,"临近*")&gt;0,"临近截止",IF(COUNTIFS(④退税核算!$A$4:$A$303,$A264,④退税核算!$S$4:$S$303,"待*")&gt;0,"待核算","已核算")))))</f>
        <v/>
      </c>
      <c r="T264" s="35" t="str">
        <f aca="false">IF($A264="","",IFERROR(INDEX(⑥单证留存!$P$4:$P$203,MATCH(①出口报关!B261,⑥单证留存!$A$4:$A$203,0)),"未登记"))</f>
        <v/>
      </c>
      <c r="U264" s="36" t="str">
        <f aca="false">IF($A264="","",IF(IF(OR(O264="超期未收汇",O264="超过收汇期限仍未销售")," 收汇超期","")&amp;IF(S264="已逾期"," 核算逾期","")&amp;IF(S264="临近截止"," 核算临近截止","")&amp;IF(LEFT(T264,1)="缺"," 单证"&amp;T264,"")&amp;IF(T264="未登记"," 单证未登记","")&amp;IF(AND(ISNUMBER(G264),N(G264)&lt;&gt;0)," 入仓差异"&amp;G264,"")="","正常",SUBSTITUTE(TRIM(IF(OR(O264="超期未收汇",O264="超过收汇期限仍未销售")," 收汇超期","")&amp;IF(S264="已逾期"," 核算逾期","")&amp;IF(S264="临近截止"," 核算临近截止","")&amp;IF(LEFT(T264,1)="缺"," 单证"&amp;T264,"")&amp;IF(T264="未登记"," 单证未登记","")&amp;IF(AND(ISNUMBER(G264),N(G264)&lt;&gt;0)," 入仓差异"&amp;G264,""))," ","、")))</f>
        <v/>
      </c>
    </row>
    <row r="265" customFormat="false" ht="21.75" hidden="false" customHeight="true" outlineLevel="0" collapsed="false">
      <c r="A265" s="29" t="str">
        <f aca="false">IF(①出口报关!A262="","",①出口报关!A262)</f>
        <v/>
      </c>
      <c r="B265" s="29" t="str">
        <f aca="false">IF($A265="","",①出口报关!I262)</f>
        <v/>
      </c>
      <c r="C265" s="29" t="str">
        <f aca="false">IF($A265="","",①出口报关!J262)</f>
        <v/>
      </c>
      <c r="D265" s="30" t="str">
        <f aca="false">IF($A265="","",IF(①出口报关!D262="","",①出口报关!D262))</f>
        <v/>
      </c>
      <c r="E265" s="31" t="str">
        <f aca="false">IF($A265="","",N(①出口报关!L262))</f>
        <v/>
      </c>
      <c r="F265" s="31" t="str">
        <f aca="false">IF($A265="","",IF(①出口报关!Y262="","未签收",①出口报关!Y262))</f>
        <v/>
      </c>
      <c r="G265" s="32" t="str">
        <f aca="false">IF(OR($A265="",NOT(ISNUMBER(F265))),"",F265-E265)</f>
        <v/>
      </c>
      <c r="H265" s="31" t="str">
        <f aca="false">IF($A265="","",SUMIFS(②销售核销!$I$4:$I$603,②销售核销!$E$4:$E$603,$A265))</f>
        <v/>
      </c>
      <c r="I265" s="31" t="str">
        <f aca="false">IF($A265="","",SUMIFS(⑤库存异常!$E$4:$E$203,⑤库存异常!$B$4:$B$203,$A265))</f>
        <v/>
      </c>
      <c r="J265" s="31" t="str">
        <f aca="false">IF($A265="","",IF(ISNUMBER(F265),F265,E265)-H265-I265)</f>
        <v/>
      </c>
      <c r="K265" s="33" t="str">
        <f aca="false">IF(OR($A265="",N(E265)=0),"",H265/E265)</f>
        <v/>
      </c>
      <c r="L265" s="34" t="str">
        <f aca="false">IF($A265="","",SUMIFS(②销售核销!$L$4:$L$603,②销售核销!$E$4:$E$603,$A265))</f>
        <v/>
      </c>
      <c r="M265" s="34" t="str">
        <f aca="false">IF($A265="","",SUMIFS(②销售核销!$L$4:$L$603,②销售核销!$E$4:$E$603,$A265,②销售核销!$M$4:$M$603,"已收汇"))</f>
        <v/>
      </c>
      <c r="N265" s="30" t="str">
        <f aca="false">IF(ISNUMBER(D265),DATE(YEAR(D265)+1,4,30),"")</f>
        <v/>
      </c>
      <c r="O265" s="35" t="str">
        <f aca="true">IF($A265="","",IF(N(H265)=0,IF(AND(ISNUMBER(N265),TODAY()&gt;N265),"超过收汇期限仍未销售","尚未销售"),IF(ROUND(M265,2)&gt;=ROUND(L265,2),"已售部分已收汇",IF(AND(ISNUMBER(N265),TODAY()&gt;N265),"超期未收汇","有回款待收汇"))))</f>
        <v/>
      </c>
      <c r="P265" s="34" t="str">
        <f aca="false">IF($A265="","",SUMIFS(④退税核算!$H$4:$H$303,④退税核算!$A$4:$A$303,$A265))</f>
        <v/>
      </c>
      <c r="Q265" s="34" t="str">
        <f aca="false">IF($A265="","",SUMIFS(④退税核算!$H$4:$H$303,④退税核算!$A$4:$A$303,$A265,④退税核算!$D$4:$D$303,"未售-海外仓预退（HWC-YT）"))</f>
        <v/>
      </c>
      <c r="R265" s="30" t="str">
        <f aca="false">IF($A265="","",IF(COUNTIFS(④退税核算!$A$4:$A$303,$A265,④退税核算!$D$4:$D$303,"未售-海外仓预退（HWC-YT）",④退税核算!$I$4:$I$303,"&gt;0")=0,"",_xlfn.MINIFS(④退税核算!$J$4:$J$303,④退税核算!$A$4:$A$303,$A265,④退税核算!$D$4:$D$303,"未售-海外仓预退（HWC-YT）")))</f>
        <v/>
      </c>
      <c r="S265" s="35" t="str">
        <f aca="false">IF($A265="","",IF(COUNTIFS(④退税核算!$A$4:$A$303,$A265,④退税核算!$D$4:$D$303,"未售-海外仓预退（HWC-YT）")=0,"不涉及",IF(COUNTIFS(④退税核算!$A$4:$A$303,$A265,④退税核算!$S$4:$S$303,"已逾期*")&gt;0,"已逾期",IF(COUNTIFS(④退税核算!$A$4:$A$303,$A265,④退税核算!$S$4:$S$303,"临近*")&gt;0,"临近截止",IF(COUNTIFS(④退税核算!$A$4:$A$303,$A265,④退税核算!$S$4:$S$303,"待*")&gt;0,"待核算","已核算")))))</f>
        <v/>
      </c>
      <c r="T265" s="35" t="str">
        <f aca="false">IF($A265="","",IFERROR(INDEX(⑥单证留存!$P$4:$P$203,MATCH(①出口报关!B262,⑥单证留存!$A$4:$A$203,0)),"未登记"))</f>
        <v/>
      </c>
      <c r="U265" s="36" t="str">
        <f aca="false">IF($A265="","",IF(IF(OR(O265="超期未收汇",O265="超过收汇期限仍未销售")," 收汇超期","")&amp;IF(S265="已逾期"," 核算逾期","")&amp;IF(S265="临近截止"," 核算临近截止","")&amp;IF(LEFT(T265,1)="缺"," 单证"&amp;T265,"")&amp;IF(T265="未登记"," 单证未登记","")&amp;IF(AND(ISNUMBER(G265),N(G265)&lt;&gt;0)," 入仓差异"&amp;G265,"")="","正常",SUBSTITUTE(TRIM(IF(OR(O265="超期未收汇",O265="超过收汇期限仍未销售")," 收汇超期","")&amp;IF(S265="已逾期"," 核算逾期","")&amp;IF(S265="临近截止"," 核算临近截止","")&amp;IF(LEFT(T265,1)="缺"," 单证"&amp;T265,"")&amp;IF(T265="未登记"," 单证未登记","")&amp;IF(AND(ISNUMBER(G265),N(G265)&lt;&gt;0)," 入仓差异"&amp;G265,""))," ","、")))</f>
        <v/>
      </c>
    </row>
    <row r="266" customFormat="false" ht="21.75" hidden="false" customHeight="true" outlineLevel="0" collapsed="false">
      <c r="A266" s="29" t="str">
        <f aca="false">IF(①出口报关!A263="","",①出口报关!A263)</f>
        <v/>
      </c>
      <c r="B266" s="29" t="str">
        <f aca="false">IF($A266="","",①出口报关!I263)</f>
        <v/>
      </c>
      <c r="C266" s="29" t="str">
        <f aca="false">IF($A266="","",①出口报关!J263)</f>
        <v/>
      </c>
      <c r="D266" s="30" t="str">
        <f aca="false">IF($A266="","",IF(①出口报关!D263="","",①出口报关!D263))</f>
        <v/>
      </c>
      <c r="E266" s="31" t="str">
        <f aca="false">IF($A266="","",N(①出口报关!L263))</f>
        <v/>
      </c>
      <c r="F266" s="31" t="str">
        <f aca="false">IF($A266="","",IF(①出口报关!Y263="","未签收",①出口报关!Y263))</f>
        <v/>
      </c>
      <c r="G266" s="32" t="str">
        <f aca="false">IF(OR($A266="",NOT(ISNUMBER(F266))),"",F266-E266)</f>
        <v/>
      </c>
      <c r="H266" s="31" t="str">
        <f aca="false">IF($A266="","",SUMIFS(②销售核销!$I$4:$I$603,②销售核销!$E$4:$E$603,$A266))</f>
        <v/>
      </c>
      <c r="I266" s="31" t="str">
        <f aca="false">IF($A266="","",SUMIFS(⑤库存异常!$E$4:$E$203,⑤库存异常!$B$4:$B$203,$A266))</f>
        <v/>
      </c>
      <c r="J266" s="31" t="str">
        <f aca="false">IF($A266="","",IF(ISNUMBER(F266),F266,E266)-H266-I266)</f>
        <v/>
      </c>
      <c r="K266" s="33" t="str">
        <f aca="false">IF(OR($A266="",N(E266)=0),"",H266/E266)</f>
        <v/>
      </c>
      <c r="L266" s="34" t="str">
        <f aca="false">IF($A266="","",SUMIFS(②销售核销!$L$4:$L$603,②销售核销!$E$4:$E$603,$A266))</f>
        <v/>
      </c>
      <c r="M266" s="34" t="str">
        <f aca="false">IF($A266="","",SUMIFS(②销售核销!$L$4:$L$603,②销售核销!$E$4:$E$603,$A266,②销售核销!$M$4:$M$603,"已收汇"))</f>
        <v/>
      </c>
      <c r="N266" s="30" t="str">
        <f aca="false">IF(ISNUMBER(D266),DATE(YEAR(D266)+1,4,30),"")</f>
        <v/>
      </c>
      <c r="O266" s="35" t="str">
        <f aca="true">IF($A266="","",IF(N(H266)=0,IF(AND(ISNUMBER(N266),TODAY()&gt;N266),"超过收汇期限仍未销售","尚未销售"),IF(ROUND(M266,2)&gt;=ROUND(L266,2),"已售部分已收汇",IF(AND(ISNUMBER(N266),TODAY()&gt;N266),"超期未收汇","有回款待收汇"))))</f>
        <v/>
      </c>
      <c r="P266" s="34" t="str">
        <f aca="false">IF($A266="","",SUMIFS(④退税核算!$H$4:$H$303,④退税核算!$A$4:$A$303,$A266))</f>
        <v/>
      </c>
      <c r="Q266" s="34" t="str">
        <f aca="false">IF($A266="","",SUMIFS(④退税核算!$H$4:$H$303,④退税核算!$A$4:$A$303,$A266,④退税核算!$D$4:$D$303,"未售-海外仓预退（HWC-YT）"))</f>
        <v/>
      </c>
      <c r="R266" s="30" t="str">
        <f aca="false">IF($A266="","",IF(COUNTIFS(④退税核算!$A$4:$A$303,$A266,④退税核算!$D$4:$D$303,"未售-海外仓预退（HWC-YT）",④退税核算!$I$4:$I$303,"&gt;0")=0,"",_xlfn.MINIFS(④退税核算!$J$4:$J$303,④退税核算!$A$4:$A$303,$A266,④退税核算!$D$4:$D$303,"未售-海外仓预退（HWC-YT）")))</f>
        <v/>
      </c>
      <c r="S266" s="35" t="str">
        <f aca="false">IF($A266="","",IF(COUNTIFS(④退税核算!$A$4:$A$303,$A266,④退税核算!$D$4:$D$303,"未售-海外仓预退（HWC-YT）")=0,"不涉及",IF(COUNTIFS(④退税核算!$A$4:$A$303,$A266,④退税核算!$S$4:$S$303,"已逾期*")&gt;0,"已逾期",IF(COUNTIFS(④退税核算!$A$4:$A$303,$A266,④退税核算!$S$4:$S$303,"临近*")&gt;0,"临近截止",IF(COUNTIFS(④退税核算!$A$4:$A$303,$A266,④退税核算!$S$4:$S$303,"待*")&gt;0,"待核算","已核算")))))</f>
        <v/>
      </c>
      <c r="T266" s="35" t="str">
        <f aca="false">IF($A266="","",IFERROR(INDEX(⑥单证留存!$P$4:$P$203,MATCH(①出口报关!B263,⑥单证留存!$A$4:$A$203,0)),"未登记"))</f>
        <v/>
      </c>
      <c r="U266" s="36" t="str">
        <f aca="false">IF($A266="","",IF(IF(OR(O266="超期未收汇",O266="超过收汇期限仍未销售")," 收汇超期","")&amp;IF(S266="已逾期"," 核算逾期","")&amp;IF(S266="临近截止"," 核算临近截止","")&amp;IF(LEFT(T266,1)="缺"," 单证"&amp;T266,"")&amp;IF(T266="未登记"," 单证未登记","")&amp;IF(AND(ISNUMBER(G266),N(G266)&lt;&gt;0)," 入仓差异"&amp;G266,"")="","正常",SUBSTITUTE(TRIM(IF(OR(O266="超期未收汇",O266="超过收汇期限仍未销售")," 收汇超期","")&amp;IF(S266="已逾期"," 核算逾期","")&amp;IF(S266="临近截止"," 核算临近截止","")&amp;IF(LEFT(T266,1)="缺"," 单证"&amp;T266,"")&amp;IF(T266="未登记"," 单证未登记","")&amp;IF(AND(ISNUMBER(G266),N(G266)&lt;&gt;0)," 入仓差异"&amp;G266,""))," ","、")))</f>
        <v/>
      </c>
    </row>
    <row r="267" customFormat="false" ht="21.75" hidden="false" customHeight="true" outlineLevel="0" collapsed="false">
      <c r="A267" s="29" t="str">
        <f aca="false">IF(①出口报关!A264="","",①出口报关!A264)</f>
        <v/>
      </c>
      <c r="B267" s="29" t="str">
        <f aca="false">IF($A267="","",①出口报关!I264)</f>
        <v/>
      </c>
      <c r="C267" s="29" t="str">
        <f aca="false">IF($A267="","",①出口报关!J264)</f>
        <v/>
      </c>
      <c r="D267" s="30" t="str">
        <f aca="false">IF($A267="","",IF(①出口报关!D264="","",①出口报关!D264))</f>
        <v/>
      </c>
      <c r="E267" s="31" t="str">
        <f aca="false">IF($A267="","",N(①出口报关!L264))</f>
        <v/>
      </c>
      <c r="F267" s="31" t="str">
        <f aca="false">IF($A267="","",IF(①出口报关!Y264="","未签收",①出口报关!Y264))</f>
        <v/>
      </c>
      <c r="G267" s="32" t="str">
        <f aca="false">IF(OR($A267="",NOT(ISNUMBER(F267))),"",F267-E267)</f>
        <v/>
      </c>
      <c r="H267" s="31" t="str">
        <f aca="false">IF($A267="","",SUMIFS(②销售核销!$I$4:$I$603,②销售核销!$E$4:$E$603,$A267))</f>
        <v/>
      </c>
      <c r="I267" s="31" t="str">
        <f aca="false">IF($A267="","",SUMIFS(⑤库存异常!$E$4:$E$203,⑤库存异常!$B$4:$B$203,$A267))</f>
        <v/>
      </c>
      <c r="J267" s="31" t="str">
        <f aca="false">IF($A267="","",IF(ISNUMBER(F267),F267,E267)-H267-I267)</f>
        <v/>
      </c>
      <c r="K267" s="33" t="str">
        <f aca="false">IF(OR($A267="",N(E267)=0),"",H267/E267)</f>
        <v/>
      </c>
      <c r="L267" s="34" t="str">
        <f aca="false">IF($A267="","",SUMIFS(②销售核销!$L$4:$L$603,②销售核销!$E$4:$E$603,$A267))</f>
        <v/>
      </c>
      <c r="M267" s="34" t="str">
        <f aca="false">IF($A267="","",SUMIFS(②销售核销!$L$4:$L$603,②销售核销!$E$4:$E$603,$A267,②销售核销!$M$4:$M$603,"已收汇"))</f>
        <v/>
      </c>
      <c r="N267" s="30" t="str">
        <f aca="false">IF(ISNUMBER(D267),DATE(YEAR(D267)+1,4,30),"")</f>
        <v/>
      </c>
      <c r="O267" s="35" t="str">
        <f aca="true">IF($A267="","",IF(N(H267)=0,IF(AND(ISNUMBER(N267),TODAY()&gt;N267),"超过收汇期限仍未销售","尚未销售"),IF(ROUND(M267,2)&gt;=ROUND(L267,2),"已售部分已收汇",IF(AND(ISNUMBER(N267),TODAY()&gt;N267),"超期未收汇","有回款待收汇"))))</f>
        <v/>
      </c>
      <c r="P267" s="34" t="str">
        <f aca="false">IF($A267="","",SUMIFS(④退税核算!$H$4:$H$303,④退税核算!$A$4:$A$303,$A267))</f>
        <v/>
      </c>
      <c r="Q267" s="34" t="str">
        <f aca="false">IF($A267="","",SUMIFS(④退税核算!$H$4:$H$303,④退税核算!$A$4:$A$303,$A267,④退税核算!$D$4:$D$303,"未售-海外仓预退（HWC-YT）"))</f>
        <v/>
      </c>
      <c r="R267" s="30" t="str">
        <f aca="false">IF($A267="","",IF(COUNTIFS(④退税核算!$A$4:$A$303,$A267,④退税核算!$D$4:$D$303,"未售-海外仓预退（HWC-YT）",④退税核算!$I$4:$I$303,"&gt;0")=0,"",_xlfn.MINIFS(④退税核算!$J$4:$J$303,④退税核算!$A$4:$A$303,$A267,④退税核算!$D$4:$D$303,"未售-海外仓预退（HWC-YT）")))</f>
        <v/>
      </c>
      <c r="S267" s="35" t="str">
        <f aca="false">IF($A267="","",IF(COUNTIFS(④退税核算!$A$4:$A$303,$A267,④退税核算!$D$4:$D$303,"未售-海外仓预退（HWC-YT）")=0,"不涉及",IF(COUNTIFS(④退税核算!$A$4:$A$303,$A267,④退税核算!$S$4:$S$303,"已逾期*")&gt;0,"已逾期",IF(COUNTIFS(④退税核算!$A$4:$A$303,$A267,④退税核算!$S$4:$S$303,"临近*")&gt;0,"临近截止",IF(COUNTIFS(④退税核算!$A$4:$A$303,$A267,④退税核算!$S$4:$S$303,"待*")&gt;0,"待核算","已核算")))))</f>
        <v/>
      </c>
      <c r="T267" s="35" t="str">
        <f aca="false">IF($A267="","",IFERROR(INDEX(⑥单证留存!$P$4:$P$203,MATCH(①出口报关!B264,⑥单证留存!$A$4:$A$203,0)),"未登记"))</f>
        <v/>
      </c>
      <c r="U267" s="36" t="str">
        <f aca="false">IF($A267="","",IF(IF(OR(O267="超期未收汇",O267="超过收汇期限仍未销售")," 收汇超期","")&amp;IF(S267="已逾期"," 核算逾期","")&amp;IF(S267="临近截止"," 核算临近截止","")&amp;IF(LEFT(T267,1)="缺"," 单证"&amp;T267,"")&amp;IF(T267="未登记"," 单证未登记","")&amp;IF(AND(ISNUMBER(G267),N(G267)&lt;&gt;0)," 入仓差异"&amp;G267,"")="","正常",SUBSTITUTE(TRIM(IF(OR(O267="超期未收汇",O267="超过收汇期限仍未销售")," 收汇超期","")&amp;IF(S267="已逾期"," 核算逾期","")&amp;IF(S267="临近截止"," 核算临近截止","")&amp;IF(LEFT(T267,1)="缺"," 单证"&amp;T267,"")&amp;IF(T267="未登记"," 单证未登记","")&amp;IF(AND(ISNUMBER(G267),N(G267)&lt;&gt;0)," 入仓差异"&amp;G267,""))," ","、")))</f>
        <v/>
      </c>
    </row>
    <row r="268" customFormat="false" ht="21.75" hidden="false" customHeight="true" outlineLevel="0" collapsed="false">
      <c r="A268" s="29" t="str">
        <f aca="false">IF(①出口报关!A265="","",①出口报关!A265)</f>
        <v/>
      </c>
      <c r="B268" s="29" t="str">
        <f aca="false">IF($A268="","",①出口报关!I265)</f>
        <v/>
      </c>
      <c r="C268" s="29" t="str">
        <f aca="false">IF($A268="","",①出口报关!J265)</f>
        <v/>
      </c>
      <c r="D268" s="30" t="str">
        <f aca="false">IF($A268="","",IF(①出口报关!D265="","",①出口报关!D265))</f>
        <v/>
      </c>
      <c r="E268" s="31" t="str">
        <f aca="false">IF($A268="","",N(①出口报关!L265))</f>
        <v/>
      </c>
      <c r="F268" s="31" t="str">
        <f aca="false">IF($A268="","",IF(①出口报关!Y265="","未签收",①出口报关!Y265))</f>
        <v/>
      </c>
      <c r="G268" s="32" t="str">
        <f aca="false">IF(OR($A268="",NOT(ISNUMBER(F268))),"",F268-E268)</f>
        <v/>
      </c>
      <c r="H268" s="31" t="str">
        <f aca="false">IF($A268="","",SUMIFS(②销售核销!$I$4:$I$603,②销售核销!$E$4:$E$603,$A268))</f>
        <v/>
      </c>
      <c r="I268" s="31" t="str">
        <f aca="false">IF($A268="","",SUMIFS(⑤库存异常!$E$4:$E$203,⑤库存异常!$B$4:$B$203,$A268))</f>
        <v/>
      </c>
      <c r="J268" s="31" t="str">
        <f aca="false">IF($A268="","",IF(ISNUMBER(F268),F268,E268)-H268-I268)</f>
        <v/>
      </c>
      <c r="K268" s="33" t="str">
        <f aca="false">IF(OR($A268="",N(E268)=0),"",H268/E268)</f>
        <v/>
      </c>
      <c r="L268" s="34" t="str">
        <f aca="false">IF($A268="","",SUMIFS(②销售核销!$L$4:$L$603,②销售核销!$E$4:$E$603,$A268))</f>
        <v/>
      </c>
      <c r="M268" s="34" t="str">
        <f aca="false">IF($A268="","",SUMIFS(②销售核销!$L$4:$L$603,②销售核销!$E$4:$E$603,$A268,②销售核销!$M$4:$M$603,"已收汇"))</f>
        <v/>
      </c>
      <c r="N268" s="30" t="str">
        <f aca="false">IF(ISNUMBER(D268),DATE(YEAR(D268)+1,4,30),"")</f>
        <v/>
      </c>
      <c r="O268" s="35" t="str">
        <f aca="true">IF($A268="","",IF(N(H268)=0,IF(AND(ISNUMBER(N268),TODAY()&gt;N268),"超过收汇期限仍未销售","尚未销售"),IF(ROUND(M268,2)&gt;=ROUND(L268,2),"已售部分已收汇",IF(AND(ISNUMBER(N268),TODAY()&gt;N268),"超期未收汇","有回款待收汇"))))</f>
        <v/>
      </c>
      <c r="P268" s="34" t="str">
        <f aca="false">IF($A268="","",SUMIFS(④退税核算!$H$4:$H$303,④退税核算!$A$4:$A$303,$A268))</f>
        <v/>
      </c>
      <c r="Q268" s="34" t="str">
        <f aca="false">IF($A268="","",SUMIFS(④退税核算!$H$4:$H$303,④退税核算!$A$4:$A$303,$A268,④退税核算!$D$4:$D$303,"未售-海外仓预退（HWC-YT）"))</f>
        <v/>
      </c>
      <c r="R268" s="30" t="str">
        <f aca="false">IF($A268="","",IF(COUNTIFS(④退税核算!$A$4:$A$303,$A268,④退税核算!$D$4:$D$303,"未售-海外仓预退（HWC-YT）",④退税核算!$I$4:$I$303,"&gt;0")=0,"",_xlfn.MINIFS(④退税核算!$J$4:$J$303,④退税核算!$A$4:$A$303,$A268,④退税核算!$D$4:$D$303,"未售-海外仓预退（HWC-YT）")))</f>
        <v/>
      </c>
      <c r="S268" s="35" t="str">
        <f aca="false">IF($A268="","",IF(COUNTIFS(④退税核算!$A$4:$A$303,$A268,④退税核算!$D$4:$D$303,"未售-海外仓预退（HWC-YT）")=0,"不涉及",IF(COUNTIFS(④退税核算!$A$4:$A$303,$A268,④退税核算!$S$4:$S$303,"已逾期*")&gt;0,"已逾期",IF(COUNTIFS(④退税核算!$A$4:$A$303,$A268,④退税核算!$S$4:$S$303,"临近*")&gt;0,"临近截止",IF(COUNTIFS(④退税核算!$A$4:$A$303,$A268,④退税核算!$S$4:$S$303,"待*")&gt;0,"待核算","已核算")))))</f>
        <v/>
      </c>
      <c r="T268" s="35" t="str">
        <f aca="false">IF($A268="","",IFERROR(INDEX(⑥单证留存!$P$4:$P$203,MATCH(①出口报关!B265,⑥单证留存!$A$4:$A$203,0)),"未登记"))</f>
        <v/>
      </c>
      <c r="U268" s="36" t="str">
        <f aca="false">IF($A268="","",IF(IF(OR(O268="超期未收汇",O268="超过收汇期限仍未销售")," 收汇超期","")&amp;IF(S268="已逾期"," 核算逾期","")&amp;IF(S268="临近截止"," 核算临近截止","")&amp;IF(LEFT(T268,1)="缺"," 单证"&amp;T268,"")&amp;IF(T268="未登记"," 单证未登记","")&amp;IF(AND(ISNUMBER(G268),N(G268)&lt;&gt;0)," 入仓差异"&amp;G268,"")="","正常",SUBSTITUTE(TRIM(IF(OR(O268="超期未收汇",O268="超过收汇期限仍未销售")," 收汇超期","")&amp;IF(S268="已逾期"," 核算逾期","")&amp;IF(S268="临近截止"," 核算临近截止","")&amp;IF(LEFT(T268,1)="缺"," 单证"&amp;T268,"")&amp;IF(T268="未登记"," 单证未登记","")&amp;IF(AND(ISNUMBER(G268),N(G268)&lt;&gt;0)," 入仓差异"&amp;G268,""))," ","、")))</f>
        <v/>
      </c>
    </row>
    <row r="269" customFormat="false" ht="21.75" hidden="false" customHeight="true" outlineLevel="0" collapsed="false">
      <c r="A269" s="29" t="str">
        <f aca="false">IF(①出口报关!A266="","",①出口报关!A266)</f>
        <v/>
      </c>
      <c r="B269" s="29" t="str">
        <f aca="false">IF($A269="","",①出口报关!I266)</f>
        <v/>
      </c>
      <c r="C269" s="29" t="str">
        <f aca="false">IF($A269="","",①出口报关!J266)</f>
        <v/>
      </c>
      <c r="D269" s="30" t="str">
        <f aca="false">IF($A269="","",IF(①出口报关!D266="","",①出口报关!D266))</f>
        <v/>
      </c>
      <c r="E269" s="31" t="str">
        <f aca="false">IF($A269="","",N(①出口报关!L266))</f>
        <v/>
      </c>
      <c r="F269" s="31" t="str">
        <f aca="false">IF($A269="","",IF(①出口报关!Y266="","未签收",①出口报关!Y266))</f>
        <v/>
      </c>
      <c r="G269" s="32" t="str">
        <f aca="false">IF(OR($A269="",NOT(ISNUMBER(F269))),"",F269-E269)</f>
        <v/>
      </c>
      <c r="H269" s="31" t="str">
        <f aca="false">IF($A269="","",SUMIFS(②销售核销!$I$4:$I$603,②销售核销!$E$4:$E$603,$A269))</f>
        <v/>
      </c>
      <c r="I269" s="31" t="str">
        <f aca="false">IF($A269="","",SUMIFS(⑤库存异常!$E$4:$E$203,⑤库存异常!$B$4:$B$203,$A269))</f>
        <v/>
      </c>
      <c r="J269" s="31" t="str">
        <f aca="false">IF($A269="","",IF(ISNUMBER(F269),F269,E269)-H269-I269)</f>
        <v/>
      </c>
      <c r="K269" s="33" t="str">
        <f aca="false">IF(OR($A269="",N(E269)=0),"",H269/E269)</f>
        <v/>
      </c>
      <c r="L269" s="34" t="str">
        <f aca="false">IF($A269="","",SUMIFS(②销售核销!$L$4:$L$603,②销售核销!$E$4:$E$603,$A269))</f>
        <v/>
      </c>
      <c r="M269" s="34" t="str">
        <f aca="false">IF($A269="","",SUMIFS(②销售核销!$L$4:$L$603,②销售核销!$E$4:$E$603,$A269,②销售核销!$M$4:$M$603,"已收汇"))</f>
        <v/>
      </c>
      <c r="N269" s="30" t="str">
        <f aca="false">IF(ISNUMBER(D269),DATE(YEAR(D269)+1,4,30),"")</f>
        <v/>
      </c>
      <c r="O269" s="35" t="str">
        <f aca="true">IF($A269="","",IF(N(H269)=0,IF(AND(ISNUMBER(N269),TODAY()&gt;N269),"超过收汇期限仍未销售","尚未销售"),IF(ROUND(M269,2)&gt;=ROUND(L269,2),"已售部分已收汇",IF(AND(ISNUMBER(N269),TODAY()&gt;N269),"超期未收汇","有回款待收汇"))))</f>
        <v/>
      </c>
      <c r="P269" s="34" t="str">
        <f aca="false">IF($A269="","",SUMIFS(④退税核算!$H$4:$H$303,④退税核算!$A$4:$A$303,$A269))</f>
        <v/>
      </c>
      <c r="Q269" s="34" t="str">
        <f aca="false">IF($A269="","",SUMIFS(④退税核算!$H$4:$H$303,④退税核算!$A$4:$A$303,$A269,④退税核算!$D$4:$D$303,"未售-海外仓预退（HWC-YT）"))</f>
        <v/>
      </c>
      <c r="R269" s="30" t="str">
        <f aca="false">IF($A269="","",IF(COUNTIFS(④退税核算!$A$4:$A$303,$A269,④退税核算!$D$4:$D$303,"未售-海外仓预退（HWC-YT）",④退税核算!$I$4:$I$303,"&gt;0")=0,"",_xlfn.MINIFS(④退税核算!$J$4:$J$303,④退税核算!$A$4:$A$303,$A269,④退税核算!$D$4:$D$303,"未售-海外仓预退（HWC-YT）")))</f>
        <v/>
      </c>
      <c r="S269" s="35" t="str">
        <f aca="false">IF($A269="","",IF(COUNTIFS(④退税核算!$A$4:$A$303,$A269,④退税核算!$D$4:$D$303,"未售-海外仓预退（HWC-YT）")=0,"不涉及",IF(COUNTIFS(④退税核算!$A$4:$A$303,$A269,④退税核算!$S$4:$S$303,"已逾期*")&gt;0,"已逾期",IF(COUNTIFS(④退税核算!$A$4:$A$303,$A269,④退税核算!$S$4:$S$303,"临近*")&gt;0,"临近截止",IF(COUNTIFS(④退税核算!$A$4:$A$303,$A269,④退税核算!$S$4:$S$303,"待*")&gt;0,"待核算","已核算")))))</f>
        <v/>
      </c>
      <c r="T269" s="35" t="str">
        <f aca="false">IF($A269="","",IFERROR(INDEX(⑥单证留存!$P$4:$P$203,MATCH(①出口报关!B266,⑥单证留存!$A$4:$A$203,0)),"未登记"))</f>
        <v/>
      </c>
      <c r="U269" s="36" t="str">
        <f aca="false">IF($A269="","",IF(IF(OR(O269="超期未收汇",O269="超过收汇期限仍未销售")," 收汇超期","")&amp;IF(S269="已逾期"," 核算逾期","")&amp;IF(S269="临近截止"," 核算临近截止","")&amp;IF(LEFT(T269,1)="缺"," 单证"&amp;T269,"")&amp;IF(T269="未登记"," 单证未登记","")&amp;IF(AND(ISNUMBER(G269),N(G269)&lt;&gt;0)," 入仓差异"&amp;G269,"")="","正常",SUBSTITUTE(TRIM(IF(OR(O269="超期未收汇",O269="超过收汇期限仍未销售")," 收汇超期","")&amp;IF(S269="已逾期"," 核算逾期","")&amp;IF(S269="临近截止"," 核算临近截止","")&amp;IF(LEFT(T269,1)="缺"," 单证"&amp;T269,"")&amp;IF(T269="未登记"," 单证未登记","")&amp;IF(AND(ISNUMBER(G269),N(G269)&lt;&gt;0)," 入仓差异"&amp;G269,""))," ","、")))</f>
        <v/>
      </c>
    </row>
    <row r="270" customFormat="false" ht="21.75" hidden="false" customHeight="true" outlineLevel="0" collapsed="false">
      <c r="A270" s="29" t="str">
        <f aca="false">IF(①出口报关!A267="","",①出口报关!A267)</f>
        <v/>
      </c>
      <c r="B270" s="29" t="str">
        <f aca="false">IF($A270="","",①出口报关!I267)</f>
        <v/>
      </c>
      <c r="C270" s="29" t="str">
        <f aca="false">IF($A270="","",①出口报关!J267)</f>
        <v/>
      </c>
      <c r="D270" s="30" t="str">
        <f aca="false">IF($A270="","",IF(①出口报关!D267="","",①出口报关!D267))</f>
        <v/>
      </c>
      <c r="E270" s="31" t="str">
        <f aca="false">IF($A270="","",N(①出口报关!L267))</f>
        <v/>
      </c>
      <c r="F270" s="31" t="str">
        <f aca="false">IF($A270="","",IF(①出口报关!Y267="","未签收",①出口报关!Y267))</f>
        <v/>
      </c>
      <c r="G270" s="32" t="str">
        <f aca="false">IF(OR($A270="",NOT(ISNUMBER(F270))),"",F270-E270)</f>
        <v/>
      </c>
      <c r="H270" s="31" t="str">
        <f aca="false">IF($A270="","",SUMIFS(②销售核销!$I$4:$I$603,②销售核销!$E$4:$E$603,$A270))</f>
        <v/>
      </c>
      <c r="I270" s="31" t="str">
        <f aca="false">IF($A270="","",SUMIFS(⑤库存异常!$E$4:$E$203,⑤库存异常!$B$4:$B$203,$A270))</f>
        <v/>
      </c>
      <c r="J270" s="31" t="str">
        <f aca="false">IF($A270="","",IF(ISNUMBER(F270),F270,E270)-H270-I270)</f>
        <v/>
      </c>
      <c r="K270" s="33" t="str">
        <f aca="false">IF(OR($A270="",N(E270)=0),"",H270/E270)</f>
        <v/>
      </c>
      <c r="L270" s="34" t="str">
        <f aca="false">IF($A270="","",SUMIFS(②销售核销!$L$4:$L$603,②销售核销!$E$4:$E$603,$A270))</f>
        <v/>
      </c>
      <c r="M270" s="34" t="str">
        <f aca="false">IF($A270="","",SUMIFS(②销售核销!$L$4:$L$603,②销售核销!$E$4:$E$603,$A270,②销售核销!$M$4:$M$603,"已收汇"))</f>
        <v/>
      </c>
      <c r="N270" s="30" t="str">
        <f aca="false">IF(ISNUMBER(D270),DATE(YEAR(D270)+1,4,30),"")</f>
        <v/>
      </c>
      <c r="O270" s="35" t="str">
        <f aca="true">IF($A270="","",IF(N(H270)=0,IF(AND(ISNUMBER(N270),TODAY()&gt;N270),"超过收汇期限仍未销售","尚未销售"),IF(ROUND(M270,2)&gt;=ROUND(L270,2),"已售部分已收汇",IF(AND(ISNUMBER(N270),TODAY()&gt;N270),"超期未收汇","有回款待收汇"))))</f>
        <v/>
      </c>
      <c r="P270" s="34" t="str">
        <f aca="false">IF($A270="","",SUMIFS(④退税核算!$H$4:$H$303,④退税核算!$A$4:$A$303,$A270))</f>
        <v/>
      </c>
      <c r="Q270" s="34" t="str">
        <f aca="false">IF($A270="","",SUMIFS(④退税核算!$H$4:$H$303,④退税核算!$A$4:$A$303,$A270,④退税核算!$D$4:$D$303,"未售-海外仓预退（HWC-YT）"))</f>
        <v/>
      </c>
      <c r="R270" s="30" t="str">
        <f aca="false">IF($A270="","",IF(COUNTIFS(④退税核算!$A$4:$A$303,$A270,④退税核算!$D$4:$D$303,"未售-海外仓预退（HWC-YT）",④退税核算!$I$4:$I$303,"&gt;0")=0,"",_xlfn.MINIFS(④退税核算!$J$4:$J$303,④退税核算!$A$4:$A$303,$A270,④退税核算!$D$4:$D$303,"未售-海外仓预退（HWC-YT）")))</f>
        <v/>
      </c>
      <c r="S270" s="35" t="str">
        <f aca="false">IF($A270="","",IF(COUNTIFS(④退税核算!$A$4:$A$303,$A270,④退税核算!$D$4:$D$303,"未售-海外仓预退（HWC-YT）")=0,"不涉及",IF(COUNTIFS(④退税核算!$A$4:$A$303,$A270,④退税核算!$S$4:$S$303,"已逾期*")&gt;0,"已逾期",IF(COUNTIFS(④退税核算!$A$4:$A$303,$A270,④退税核算!$S$4:$S$303,"临近*")&gt;0,"临近截止",IF(COUNTIFS(④退税核算!$A$4:$A$303,$A270,④退税核算!$S$4:$S$303,"待*")&gt;0,"待核算","已核算")))))</f>
        <v/>
      </c>
      <c r="T270" s="35" t="str">
        <f aca="false">IF($A270="","",IFERROR(INDEX(⑥单证留存!$P$4:$P$203,MATCH(①出口报关!B267,⑥单证留存!$A$4:$A$203,0)),"未登记"))</f>
        <v/>
      </c>
      <c r="U270" s="36" t="str">
        <f aca="false">IF($A270="","",IF(IF(OR(O270="超期未收汇",O270="超过收汇期限仍未销售")," 收汇超期","")&amp;IF(S270="已逾期"," 核算逾期","")&amp;IF(S270="临近截止"," 核算临近截止","")&amp;IF(LEFT(T270,1)="缺"," 单证"&amp;T270,"")&amp;IF(T270="未登记"," 单证未登记","")&amp;IF(AND(ISNUMBER(G270),N(G270)&lt;&gt;0)," 入仓差异"&amp;G270,"")="","正常",SUBSTITUTE(TRIM(IF(OR(O270="超期未收汇",O270="超过收汇期限仍未销售")," 收汇超期","")&amp;IF(S270="已逾期"," 核算逾期","")&amp;IF(S270="临近截止"," 核算临近截止","")&amp;IF(LEFT(T270,1)="缺"," 单证"&amp;T270,"")&amp;IF(T270="未登记"," 单证未登记","")&amp;IF(AND(ISNUMBER(G270),N(G270)&lt;&gt;0)," 入仓差异"&amp;G270,""))," ","、")))</f>
        <v/>
      </c>
    </row>
    <row r="271" customFormat="false" ht="21.75" hidden="false" customHeight="true" outlineLevel="0" collapsed="false">
      <c r="A271" s="29" t="str">
        <f aca="false">IF(①出口报关!A268="","",①出口报关!A268)</f>
        <v/>
      </c>
      <c r="B271" s="29" t="str">
        <f aca="false">IF($A271="","",①出口报关!I268)</f>
        <v/>
      </c>
      <c r="C271" s="29" t="str">
        <f aca="false">IF($A271="","",①出口报关!J268)</f>
        <v/>
      </c>
      <c r="D271" s="30" t="str">
        <f aca="false">IF($A271="","",IF(①出口报关!D268="","",①出口报关!D268))</f>
        <v/>
      </c>
      <c r="E271" s="31" t="str">
        <f aca="false">IF($A271="","",N(①出口报关!L268))</f>
        <v/>
      </c>
      <c r="F271" s="31" t="str">
        <f aca="false">IF($A271="","",IF(①出口报关!Y268="","未签收",①出口报关!Y268))</f>
        <v/>
      </c>
      <c r="G271" s="32" t="str">
        <f aca="false">IF(OR($A271="",NOT(ISNUMBER(F271))),"",F271-E271)</f>
        <v/>
      </c>
      <c r="H271" s="31" t="str">
        <f aca="false">IF($A271="","",SUMIFS(②销售核销!$I$4:$I$603,②销售核销!$E$4:$E$603,$A271))</f>
        <v/>
      </c>
      <c r="I271" s="31" t="str">
        <f aca="false">IF($A271="","",SUMIFS(⑤库存异常!$E$4:$E$203,⑤库存异常!$B$4:$B$203,$A271))</f>
        <v/>
      </c>
      <c r="J271" s="31" t="str">
        <f aca="false">IF($A271="","",IF(ISNUMBER(F271),F271,E271)-H271-I271)</f>
        <v/>
      </c>
      <c r="K271" s="33" t="str">
        <f aca="false">IF(OR($A271="",N(E271)=0),"",H271/E271)</f>
        <v/>
      </c>
      <c r="L271" s="34" t="str">
        <f aca="false">IF($A271="","",SUMIFS(②销售核销!$L$4:$L$603,②销售核销!$E$4:$E$603,$A271))</f>
        <v/>
      </c>
      <c r="M271" s="34" t="str">
        <f aca="false">IF($A271="","",SUMIFS(②销售核销!$L$4:$L$603,②销售核销!$E$4:$E$603,$A271,②销售核销!$M$4:$M$603,"已收汇"))</f>
        <v/>
      </c>
      <c r="N271" s="30" t="str">
        <f aca="false">IF(ISNUMBER(D271),DATE(YEAR(D271)+1,4,30),"")</f>
        <v/>
      </c>
      <c r="O271" s="35" t="str">
        <f aca="true">IF($A271="","",IF(N(H271)=0,IF(AND(ISNUMBER(N271),TODAY()&gt;N271),"超过收汇期限仍未销售","尚未销售"),IF(ROUND(M271,2)&gt;=ROUND(L271,2),"已售部分已收汇",IF(AND(ISNUMBER(N271),TODAY()&gt;N271),"超期未收汇","有回款待收汇"))))</f>
        <v/>
      </c>
      <c r="P271" s="34" t="str">
        <f aca="false">IF($A271="","",SUMIFS(④退税核算!$H$4:$H$303,④退税核算!$A$4:$A$303,$A271))</f>
        <v/>
      </c>
      <c r="Q271" s="34" t="str">
        <f aca="false">IF($A271="","",SUMIFS(④退税核算!$H$4:$H$303,④退税核算!$A$4:$A$303,$A271,④退税核算!$D$4:$D$303,"未售-海外仓预退（HWC-YT）"))</f>
        <v/>
      </c>
      <c r="R271" s="30" t="str">
        <f aca="false">IF($A271="","",IF(COUNTIFS(④退税核算!$A$4:$A$303,$A271,④退税核算!$D$4:$D$303,"未售-海外仓预退（HWC-YT）",④退税核算!$I$4:$I$303,"&gt;0")=0,"",_xlfn.MINIFS(④退税核算!$J$4:$J$303,④退税核算!$A$4:$A$303,$A271,④退税核算!$D$4:$D$303,"未售-海外仓预退（HWC-YT）")))</f>
        <v/>
      </c>
      <c r="S271" s="35" t="str">
        <f aca="false">IF($A271="","",IF(COUNTIFS(④退税核算!$A$4:$A$303,$A271,④退税核算!$D$4:$D$303,"未售-海外仓预退（HWC-YT）")=0,"不涉及",IF(COUNTIFS(④退税核算!$A$4:$A$303,$A271,④退税核算!$S$4:$S$303,"已逾期*")&gt;0,"已逾期",IF(COUNTIFS(④退税核算!$A$4:$A$303,$A271,④退税核算!$S$4:$S$303,"临近*")&gt;0,"临近截止",IF(COUNTIFS(④退税核算!$A$4:$A$303,$A271,④退税核算!$S$4:$S$303,"待*")&gt;0,"待核算","已核算")))))</f>
        <v/>
      </c>
      <c r="T271" s="35" t="str">
        <f aca="false">IF($A271="","",IFERROR(INDEX(⑥单证留存!$P$4:$P$203,MATCH(①出口报关!B268,⑥单证留存!$A$4:$A$203,0)),"未登记"))</f>
        <v/>
      </c>
      <c r="U271" s="36" t="str">
        <f aca="false">IF($A271="","",IF(IF(OR(O271="超期未收汇",O271="超过收汇期限仍未销售")," 收汇超期","")&amp;IF(S271="已逾期"," 核算逾期","")&amp;IF(S271="临近截止"," 核算临近截止","")&amp;IF(LEFT(T271,1)="缺"," 单证"&amp;T271,"")&amp;IF(T271="未登记"," 单证未登记","")&amp;IF(AND(ISNUMBER(G271),N(G271)&lt;&gt;0)," 入仓差异"&amp;G271,"")="","正常",SUBSTITUTE(TRIM(IF(OR(O271="超期未收汇",O271="超过收汇期限仍未销售")," 收汇超期","")&amp;IF(S271="已逾期"," 核算逾期","")&amp;IF(S271="临近截止"," 核算临近截止","")&amp;IF(LEFT(T271,1)="缺"," 单证"&amp;T271,"")&amp;IF(T271="未登记"," 单证未登记","")&amp;IF(AND(ISNUMBER(G271),N(G271)&lt;&gt;0)," 入仓差异"&amp;G271,""))," ","、")))</f>
        <v/>
      </c>
    </row>
    <row r="272" customFormat="false" ht="21.75" hidden="false" customHeight="true" outlineLevel="0" collapsed="false">
      <c r="A272" s="29" t="str">
        <f aca="false">IF(①出口报关!A269="","",①出口报关!A269)</f>
        <v/>
      </c>
      <c r="B272" s="29" t="str">
        <f aca="false">IF($A272="","",①出口报关!I269)</f>
        <v/>
      </c>
      <c r="C272" s="29" t="str">
        <f aca="false">IF($A272="","",①出口报关!J269)</f>
        <v/>
      </c>
      <c r="D272" s="30" t="str">
        <f aca="false">IF($A272="","",IF(①出口报关!D269="","",①出口报关!D269))</f>
        <v/>
      </c>
      <c r="E272" s="31" t="str">
        <f aca="false">IF($A272="","",N(①出口报关!L269))</f>
        <v/>
      </c>
      <c r="F272" s="31" t="str">
        <f aca="false">IF($A272="","",IF(①出口报关!Y269="","未签收",①出口报关!Y269))</f>
        <v/>
      </c>
      <c r="G272" s="32" t="str">
        <f aca="false">IF(OR($A272="",NOT(ISNUMBER(F272))),"",F272-E272)</f>
        <v/>
      </c>
      <c r="H272" s="31" t="str">
        <f aca="false">IF($A272="","",SUMIFS(②销售核销!$I$4:$I$603,②销售核销!$E$4:$E$603,$A272))</f>
        <v/>
      </c>
      <c r="I272" s="31" t="str">
        <f aca="false">IF($A272="","",SUMIFS(⑤库存异常!$E$4:$E$203,⑤库存异常!$B$4:$B$203,$A272))</f>
        <v/>
      </c>
      <c r="J272" s="31" t="str">
        <f aca="false">IF($A272="","",IF(ISNUMBER(F272),F272,E272)-H272-I272)</f>
        <v/>
      </c>
      <c r="K272" s="33" t="str">
        <f aca="false">IF(OR($A272="",N(E272)=0),"",H272/E272)</f>
        <v/>
      </c>
      <c r="L272" s="34" t="str">
        <f aca="false">IF($A272="","",SUMIFS(②销售核销!$L$4:$L$603,②销售核销!$E$4:$E$603,$A272))</f>
        <v/>
      </c>
      <c r="M272" s="34" t="str">
        <f aca="false">IF($A272="","",SUMIFS(②销售核销!$L$4:$L$603,②销售核销!$E$4:$E$603,$A272,②销售核销!$M$4:$M$603,"已收汇"))</f>
        <v/>
      </c>
      <c r="N272" s="30" t="str">
        <f aca="false">IF(ISNUMBER(D272),DATE(YEAR(D272)+1,4,30),"")</f>
        <v/>
      </c>
      <c r="O272" s="35" t="str">
        <f aca="true">IF($A272="","",IF(N(H272)=0,IF(AND(ISNUMBER(N272),TODAY()&gt;N272),"超过收汇期限仍未销售","尚未销售"),IF(ROUND(M272,2)&gt;=ROUND(L272,2),"已售部分已收汇",IF(AND(ISNUMBER(N272),TODAY()&gt;N272),"超期未收汇","有回款待收汇"))))</f>
        <v/>
      </c>
      <c r="P272" s="34" t="str">
        <f aca="false">IF($A272="","",SUMIFS(④退税核算!$H$4:$H$303,④退税核算!$A$4:$A$303,$A272))</f>
        <v/>
      </c>
      <c r="Q272" s="34" t="str">
        <f aca="false">IF($A272="","",SUMIFS(④退税核算!$H$4:$H$303,④退税核算!$A$4:$A$303,$A272,④退税核算!$D$4:$D$303,"未售-海外仓预退（HWC-YT）"))</f>
        <v/>
      </c>
      <c r="R272" s="30" t="str">
        <f aca="false">IF($A272="","",IF(COUNTIFS(④退税核算!$A$4:$A$303,$A272,④退税核算!$D$4:$D$303,"未售-海外仓预退（HWC-YT）",④退税核算!$I$4:$I$303,"&gt;0")=0,"",_xlfn.MINIFS(④退税核算!$J$4:$J$303,④退税核算!$A$4:$A$303,$A272,④退税核算!$D$4:$D$303,"未售-海外仓预退（HWC-YT）")))</f>
        <v/>
      </c>
      <c r="S272" s="35" t="str">
        <f aca="false">IF($A272="","",IF(COUNTIFS(④退税核算!$A$4:$A$303,$A272,④退税核算!$D$4:$D$303,"未售-海外仓预退（HWC-YT）")=0,"不涉及",IF(COUNTIFS(④退税核算!$A$4:$A$303,$A272,④退税核算!$S$4:$S$303,"已逾期*")&gt;0,"已逾期",IF(COUNTIFS(④退税核算!$A$4:$A$303,$A272,④退税核算!$S$4:$S$303,"临近*")&gt;0,"临近截止",IF(COUNTIFS(④退税核算!$A$4:$A$303,$A272,④退税核算!$S$4:$S$303,"待*")&gt;0,"待核算","已核算")))))</f>
        <v/>
      </c>
      <c r="T272" s="35" t="str">
        <f aca="false">IF($A272="","",IFERROR(INDEX(⑥单证留存!$P$4:$P$203,MATCH(①出口报关!B269,⑥单证留存!$A$4:$A$203,0)),"未登记"))</f>
        <v/>
      </c>
      <c r="U272" s="36" t="str">
        <f aca="false">IF($A272="","",IF(IF(OR(O272="超期未收汇",O272="超过收汇期限仍未销售")," 收汇超期","")&amp;IF(S272="已逾期"," 核算逾期","")&amp;IF(S272="临近截止"," 核算临近截止","")&amp;IF(LEFT(T272,1)="缺"," 单证"&amp;T272,"")&amp;IF(T272="未登记"," 单证未登记","")&amp;IF(AND(ISNUMBER(G272),N(G272)&lt;&gt;0)," 入仓差异"&amp;G272,"")="","正常",SUBSTITUTE(TRIM(IF(OR(O272="超期未收汇",O272="超过收汇期限仍未销售")," 收汇超期","")&amp;IF(S272="已逾期"," 核算逾期","")&amp;IF(S272="临近截止"," 核算临近截止","")&amp;IF(LEFT(T272,1)="缺"," 单证"&amp;T272,"")&amp;IF(T272="未登记"," 单证未登记","")&amp;IF(AND(ISNUMBER(G272),N(G272)&lt;&gt;0)," 入仓差异"&amp;G272,""))," ","、")))</f>
        <v/>
      </c>
    </row>
    <row r="273" customFormat="false" ht="21.75" hidden="false" customHeight="true" outlineLevel="0" collapsed="false">
      <c r="A273" s="29" t="str">
        <f aca="false">IF(①出口报关!A270="","",①出口报关!A270)</f>
        <v/>
      </c>
      <c r="B273" s="29" t="str">
        <f aca="false">IF($A273="","",①出口报关!I270)</f>
        <v/>
      </c>
      <c r="C273" s="29" t="str">
        <f aca="false">IF($A273="","",①出口报关!J270)</f>
        <v/>
      </c>
      <c r="D273" s="30" t="str">
        <f aca="false">IF($A273="","",IF(①出口报关!D270="","",①出口报关!D270))</f>
        <v/>
      </c>
      <c r="E273" s="31" t="str">
        <f aca="false">IF($A273="","",N(①出口报关!L270))</f>
        <v/>
      </c>
      <c r="F273" s="31" t="str">
        <f aca="false">IF($A273="","",IF(①出口报关!Y270="","未签收",①出口报关!Y270))</f>
        <v/>
      </c>
      <c r="G273" s="32" t="str">
        <f aca="false">IF(OR($A273="",NOT(ISNUMBER(F273))),"",F273-E273)</f>
        <v/>
      </c>
      <c r="H273" s="31" t="str">
        <f aca="false">IF($A273="","",SUMIFS(②销售核销!$I$4:$I$603,②销售核销!$E$4:$E$603,$A273))</f>
        <v/>
      </c>
      <c r="I273" s="31" t="str">
        <f aca="false">IF($A273="","",SUMIFS(⑤库存异常!$E$4:$E$203,⑤库存异常!$B$4:$B$203,$A273))</f>
        <v/>
      </c>
      <c r="J273" s="31" t="str">
        <f aca="false">IF($A273="","",IF(ISNUMBER(F273),F273,E273)-H273-I273)</f>
        <v/>
      </c>
      <c r="K273" s="33" t="str">
        <f aca="false">IF(OR($A273="",N(E273)=0),"",H273/E273)</f>
        <v/>
      </c>
      <c r="L273" s="34" t="str">
        <f aca="false">IF($A273="","",SUMIFS(②销售核销!$L$4:$L$603,②销售核销!$E$4:$E$603,$A273))</f>
        <v/>
      </c>
      <c r="M273" s="34" t="str">
        <f aca="false">IF($A273="","",SUMIFS(②销售核销!$L$4:$L$603,②销售核销!$E$4:$E$603,$A273,②销售核销!$M$4:$M$603,"已收汇"))</f>
        <v/>
      </c>
      <c r="N273" s="30" t="str">
        <f aca="false">IF(ISNUMBER(D273),DATE(YEAR(D273)+1,4,30),"")</f>
        <v/>
      </c>
      <c r="O273" s="35" t="str">
        <f aca="true">IF($A273="","",IF(N(H273)=0,IF(AND(ISNUMBER(N273),TODAY()&gt;N273),"超过收汇期限仍未销售","尚未销售"),IF(ROUND(M273,2)&gt;=ROUND(L273,2),"已售部分已收汇",IF(AND(ISNUMBER(N273),TODAY()&gt;N273),"超期未收汇","有回款待收汇"))))</f>
        <v/>
      </c>
      <c r="P273" s="34" t="str">
        <f aca="false">IF($A273="","",SUMIFS(④退税核算!$H$4:$H$303,④退税核算!$A$4:$A$303,$A273))</f>
        <v/>
      </c>
      <c r="Q273" s="34" t="str">
        <f aca="false">IF($A273="","",SUMIFS(④退税核算!$H$4:$H$303,④退税核算!$A$4:$A$303,$A273,④退税核算!$D$4:$D$303,"未售-海外仓预退（HWC-YT）"))</f>
        <v/>
      </c>
      <c r="R273" s="30" t="str">
        <f aca="false">IF($A273="","",IF(COUNTIFS(④退税核算!$A$4:$A$303,$A273,④退税核算!$D$4:$D$303,"未售-海外仓预退（HWC-YT）",④退税核算!$I$4:$I$303,"&gt;0")=0,"",_xlfn.MINIFS(④退税核算!$J$4:$J$303,④退税核算!$A$4:$A$303,$A273,④退税核算!$D$4:$D$303,"未售-海外仓预退（HWC-YT）")))</f>
        <v/>
      </c>
      <c r="S273" s="35" t="str">
        <f aca="false">IF($A273="","",IF(COUNTIFS(④退税核算!$A$4:$A$303,$A273,④退税核算!$D$4:$D$303,"未售-海外仓预退（HWC-YT）")=0,"不涉及",IF(COUNTIFS(④退税核算!$A$4:$A$303,$A273,④退税核算!$S$4:$S$303,"已逾期*")&gt;0,"已逾期",IF(COUNTIFS(④退税核算!$A$4:$A$303,$A273,④退税核算!$S$4:$S$303,"临近*")&gt;0,"临近截止",IF(COUNTIFS(④退税核算!$A$4:$A$303,$A273,④退税核算!$S$4:$S$303,"待*")&gt;0,"待核算","已核算")))))</f>
        <v/>
      </c>
      <c r="T273" s="35" t="str">
        <f aca="false">IF($A273="","",IFERROR(INDEX(⑥单证留存!$P$4:$P$203,MATCH(①出口报关!B270,⑥单证留存!$A$4:$A$203,0)),"未登记"))</f>
        <v/>
      </c>
      <c r="U273" s="36" t="str">
        <f aca="false">IF($A273="","",IF(IF(OR(O273="超期未收汇",O273="超过收汇期限仍未销售")," 收汇超期","")&amp;IF(S273="已逾期"," 核算逾期","")&amp;IF(S273="临近截止"," 核算临近截止","")&amp;IF(LEFT(T273,1)="缺"," 单证"&amp;T273,"")&amp;IF(T273="未登记"," 单证未登记","")&amp;IF(AND(ISNUMBER(G273),N(G273)&lt;&gt;0)," 入仓差异"&amp;G273,"")="","正常",SUBSTITUTE(TRIM(IF(OR(O273="超期未收汇",O273="超过收汇期限仍未销售")," 收汇超期","")&amp;IF(S273="已逾期"," 核算逾期","")&amp;IF(S273="临近截止"," 核算临近截止","")&amp;IF(LEFT(T273,1)="缺"," 单证"&amp;T273,"")&amp;IF(T273="未登记"," 单证未登记","")&amp;IF(AND(ISNUMBER(G273),N(G273)&lt;&gt;0)," 入仓差异"&amp;G273,""))," ","、")))</f>
        <v/>
      </c>
    </row>
    <row r="274" customFormat="false" ht="21.75" hidden="false" customHeight="true" outlineLevel="0" collapsed="false">
      <c r="A274" s="29" t="str">
        <f aca="false">IF(①出口报关!A271="","",①出口报关!A271)</f>
        <v/>
      </c>
      <c r="B274" s="29" t="str">
        <f aca="false">IF($A274="","",①出口报关!I271)</f>
        <v/>
      </c>
      <c r="C274" s="29" t="str">
        <f aca="false">IF($A274="","",①出口报关!J271)</f>
        <v/>
      </c>
      <c r="D274" s="30" t="str">
        <f aca="false">IF($A274="","",IF(①出口报关!D271="","",①出口报关!D271))</f>
        <v/>
      </c>
      <c r="E274" s="31" t="str">
        <f aca="false">IF($A274="","",N(①出口报关!L271))</f>
        <v/>
      </c>
      <c r="F274" s="31" t="str">
        <f aca="false">IF($A274="","",IF(①出口报关!Y271="","未签收",①出口报关!Y271))</f>
        <v/>
      </c>
      <c r="G274" s="32" t="str">
        <f aca="false">IF(OR($A274="",NOT(ISNUMBER(F274))),"",F274-E274)</f>
        <v/>
      </c>
      <c r="H274" s="31" t="str">
        <f aca="false">IF($A274="","",SUMIFS(②销售核销!$I$4:$I$603,②销售核销!$E$4:$E$603,$A274))</f>
        <v/>
      </c>
      <c r="I274" s="31" t="str">
        <f aca="false">IF($A274="","",SUMIFS(⑤库存异常!$E$4:$E$203,⑤库存异常!$B$4:$B$203,$A274))</f>
        <v/>
      </c>
      <c r="J274" s="31" t="str">
        <f aca="false">IF($A274="","",IF(ISNUMBER(F274),F274,E274)-H274-I274)</f>
        <v/>
      </c>
      <c r="K274" s="33" t="str">
        <f aca="false">IF(OR($A274="",N(E274)=0),"",H274/E274)</f>
        <v/>
      </c>
      <c r="L274" s="34" t="str">
        <f aca="false">IF($A274="","",SUMIFS(②销售核销!$L$4:$L$603,②销售核销!$E$4:$E$603,$A274))</f>
        <v/>
      </c>
      <c r="M274" s="34" t="str">
        <f aca="false">IF($A274="","",SUMIFS(②销售核销!$L$4:$L$603,②销售核销!$E$4:$E$603,$A274,②销售核销!$M$4:$M$603,"已收汇"))</f>
        <v/>
      </c>
      <c r="N274" s="30" t="str">
        <f aca="false">IF(ISNUMBER(D274),DATE(YEAR(D274)+1,4,30),"")</f>
        <v/>
      </c>
      <c r="O274" s="35" t="str">
        <f aca="true">IF($A274="","",IF(N(H274)=0,IF(AND(ISNUMBER(N274),TODAY()&gt;N274),"超过收汇期限仍未销售","尚未销售"),IF(ROUND(M274,2)&gt;=ROUND(L274,2),"已售部分已收汇",IF(AND(ISNUMBER(N274),TODAY()&gt;N274),"超期未收汇","有回款待收汇"))))</f>
        <v/>
      </c>
      <c r="P274" s="34" t="str">
        <f aca="false">IF($A274="","",SUMIFS(④退税核算!$H$4:$H$303,④退税核算!$A$4:$A$303,$A274))</f>
        <v/>
      </c>
      <c r="Q274" s="34" t="str">
        <f aca="false">IF($A274="","",SUMIFS(④退税核算!$H$4:$H$303,④退税核算!$A$4:$A$303,$A274,④退税核算!$D$4:$D$303,"未售-海外仓预退（HWC-YT）"))</f>
        <v/>
      </c>
      <c r="R274" s="30" t="str">
        <f aca="false">IF($A274="","",IF(COUNTIFS(④退税核算!$A$4:$A$303,$A274,④退税核算!$D$4:$D$303,"未售-海外仓预退（HWC-YT）",④退税核算!$I$4:$I$303,"&gt;0")=0,"",_xlfn.MINIFS(④退税核算!$J$4:$J$303,④退税核算!$A$4:$A$303,$A274,④退税核算!$D$4:$D$303,"未售-海外仓预退（HWC-YT）")))</f>
        <v/>
      </c>
      <c r="S274" s="35" t="str">
        <f aca="false">IF($A274="","",IF(COUNTIFS(④退税核算!$A$4:$A$303,$A274,④退税核算!$D$4:$D$303,"未售-海外仓预退（HWC-YT）")=0,"不涉及",IF(COUNTIFS(④退税核算!$A$4:$A$303,$A274,④退税核算!$S$4:$S$303,"已逾期*")&gt;0,"已逾期",IF(COUNTIFS(④退税核算!$A$4:$A$303,$A274,④退税核算!$S$4:$S$303,"临近*")&gt;0,"临近截止",IF(COUNTIFS(④退税核算!$A$4:$A$303,$A274,④退税核算!$S$4:$S$303,"待*")&gt;0,"待核算","已核算")))))</f>
        <v/>
      </c>
      <c r="T274" s="35" t="str">
        <f aca="false">IF($A274="","",IFERROR(INDEX(⑥单证留存!$P$4:$P$203,MATCH(①出口报关!B271,⑥单证留存!$A$4:$A$203,0)),"未登记"))</f>
        <v/>
      </c>
      <c r="U274" s="36" t="str">
        <f aca="false">IF($A274="","",IF(IF(OR(O274="超期未收汇",O274="超过收汇期限仍未销售")," 收汇超期","")&amp;IF(S274="已逾期"," 核算逾期","")&amp;IF(S274="临近截止"," 核算临近截止","")&amp;IF(LEFT(T274,1)="缺"," 单证"&amp;T274,"")&amp;IF(T274="未登记"," 单证未登记","")&amp;IF(AND(ISNUMBER(G274),N(G274)&lt;&gt;0)," 入仓差异"&amp;G274,"")="","正常",SUBSTITUTE(TRIM(IF(OR(O274="超期未收汇",O274="超过收汇期限仍未销售")," 收汇超期","")&amp;IF(S274="已逾期"," 核算逾期","")&amp;IF(S274="临近截止"," 核算临近截止","")&amp;IF(LEFT(T274,1)="缺"," 单证"&amp;T274,"")&amp;IF(T274="未登记"," 单证未登记","")&amp;IF(AND(ISNUMBER(G274),N(G274)&lt;&gt;0)," 入仓差异"&amp;G274,""))," ","、")))</f>
        <v/>
      </c>
    </row>
    <row r="275" customFormat="false" ht="21.75" hidden="false" customHeight="true" outlineLevel="0" collapsed="false">
      <c r="A275" s="29" t="str">
        <f aca="false">IF(①出口报关!A272="","",①出口报关!A272)</f>
        <v/>
      </c>
      <c r="B275" s="29" t="str">
        <f aca="false">IF($A275="","",①出口报关!I272)</f>
        <v/>
      </c>
      <c r="C275" s="29" t="str">
        <f aca="false">IF($A275="","",①出口报关!J272)</f>
        <v/>
      </c>
      <c r="D275" s="30" t="str">
        <f aca="false">IF($A275="","",IF(①出口报关!D272="","",①出口报关!D272))</f>
        <v/>
      </c>
      <c r="E275" s="31" t="str">
        <f aca="false">IF($A275="","",N(①出口报关!L272))</f>
        <v/>
      </c>
      <c r="F275" s="31" t="str">
        <f aca="false">IF($A275="","",IF(①出口报关!Y272="","未签收",①出口报关!Y272))</f>
        <v/>
      </c>
      <c r="G275" s="32" t="str">
        <f aca="false">IF(OR($A275="",NOT(ISNUMBER(F275))),"",F275-E275)</f>
        <v/>
      </c>
      <c r="H275" s="31" t="str">
        <f aca="false">IF($A275="","",SUMIFS(②销售核销!$I$4:$I$603,②销售核销!$E$4:$E$603,$A275))</f>
        <v/>
      </c>
      <c r="I275" s="31" t="str">
        <f aca="false">IF($A275="","",SUMIFS(⑤库存异常!$E$4:$E$203,⑤库存异常!$B$4:$B$203,$A275))</f>
        <v/>
      </c>
      <c r="J275" s="31" t="str">
        <f aca="false">IF($A275="","",IF(ISNUMBER(F275),F275,E275)-H275-I275)</f>
        <v/>
      </c>
      <c r="K275" s="33" t="str">
        <f aca="false">IF(OR($A275="",N(E275)=0),"",H275/E275)</f>
        <v/>
      </c>
      <c r="L275" s="34" t="str">
        <f aca="false">IF($A275="","",SUMIFS(②销售核销!$L$4:$L$603,②销售核销!$E$4:$E$603,$A275))</f>
        <v/>
      </c>
      <c r="M275" s="34" t="str">
        <f aca="false">IF($A275="","",SUMIFS(②销售核销!$L$4:$L$603,②销售核销!$E$4:$E$603,$A275,②销售核销!$M$4:$M$603,"已收汇"))</f>
        <v/>
      </c>
      <c r="N275" s="30" t="str">
        <f aca="false">IF(ISNUMBER(D275),DATE(YEAR(D275)+1,4,30),"")</f>
        <v/>
      </c>
      <c r="O275" s="35" t="str">
        <f aca="true">IF($A275="","",IF(N(H275)=0,IF(AND(ISNUMBER(N275),TODAY()&gt;N275),"超过收汇期限仍未销售","尚未销售"),IF(ROUND(M275,2)&gt;=ROUND(L275,2),"已售部分已收汇",IF(AND(ISNUMBER(N275),TODAY()&gt;N275),"超期未收汇","有回款待收汇"))))</f>
        <v/>
      </c>
      <c r="P275" s="34" t="str">
        <f aca="false">IF($A275="","",SUMIFS(④退税核算!$H$4:$H$303,④退税核算!$A$4:$A$303,$A275))</f>
        <v/>
      </c>
      <c r="Q275" s="34" t="str">
        <f aca="false">IF($A275="","",SUMIFS(④退税核算!$H$4:$H$303,④退税核算!$A$4:$A$303,$A275,④退税核算!$D$4:$D$303,"未售-海外仓预退（HWC-YT）"))</f>
        <v/>
      </c>
      <c r="R275" s="30" t="str">
        <f aca="false">IF($A275="","",IF(COUNTIFS(④退税核算!$A$4:$A$303,$A275,④退税核算!$D$4:$D$303,"未售-海外仓预退（HWC-YT）",④退税核算!$I$4:$I$303,"&gt;0")=0,"",_xlfn.MINIFS(④退税核算!$J$4:$J$303,④退税核算!$A$4:$A$303,$A275,④退税核算!$D$4:$D$303,"未售-海外仓预退（HWC-YT）")))</f>
        <v/>
      </c>
      <c r="S275" s="35" t="str">
        <f aca="false">IF($A275="","",IF(COUNTIFS(④退税核算!$A$4:$A$303,$A275,④退税核算!$D$4:$D$303,"未售-海外仓预退（HWC-YT）")=0,"不涉及",IF(COUNTIFS(④退税核算!$A$4:$A$303,$A275,④退税核算!$S$4:$S$303,"已逾期*")&gt;0,"已逾期",IF(COUNTIFS(④退税核算!$A$4:$A$303,$A275,④退税核算!$S$4:$S$303,"临近*")&gt;0,"临近截止",IF(COUNTIFS(④退税核算!$A$4:$A$303,$A275,④退税核算!$S$4:$S$303,"待*")&gt;0,"待核算","已核算")))))</f>
        <v/>
      </c>
      <c r="T275" s="35" t="str">
        <f aca="false">IF($A275="","",IFERROR(INDEX(⑥单证留存!$P$4:$P$203,MATCH(①出口报关!B272,⑥单证留存!$A$4:$A$203,0)),"未登记"))</f>
        <v/>
      </c>
      <c r="U275" s="36" t="str">
        <f aca="false">IF($A275="","",IF(IF(OR(O275="超期未收汇",O275="超过收汇期限仍未销售")," 收汇超期","")&amp;IF(S275="已逾期"," 核算逾期","")&amp;IF(S275="临近截止"," 核算临近截止","")&amp;IF(LEFT(T275,1)="缺"," 单证"&amp;T275,"")&amp;IF(T275="未登记"," 单证未登记","")&amp;IF(AND(ISNUMBER(G275),N(G275)&lt;&gt;0)," 入仓差异"&amp;G275,"")="","正常",SUBSTITUTE(TRIM(IF(OR(O275="超期未收汇",O275="超过收汇期限仍未销售")," 收汇超期","")&amp;IF(S275="已逾期"," 核算逾期","")&amp;IF(S275="临近截止"," 核算临近截止","")&amp;IF(LEFT(T275,1)="缺"," 单证"&amp;T275,"")&amp;IF(T275="未登记"," 单证未登记","")&amp;IF(AND(ISNUMBER(G275),N(G275)&lt;&gt;0)," 入仓差异"&amp;G275,""))," ","、")))</f>
        <v/>
      </c>
    </row>
    <row r="276" customFormat="false" ht="21.75" hidden="false" customHeight="true" outlineLevel="0" collapsed="false">
      <c r="A276" s="29" t="str">
        <f aca="false">IF(①出口报关!A273="","",①出口报关!A273)</f>
        <v/>
      </c>
      <c r="B276" s="29" t="str">
        <f aca="false">IF($A276="","",①出口报关!I273)</f>
        <v/>
      </c>
      <c r="C276" s="29" t="str">
        <f aca="false">IF($A276="","",①出口报关!J273)</f>
        <v/>
      </c>
      <c r="D276" s="30" t="str">
        <f aca="false">IF($A276="","",IF(①出口报关!D273="","",①出口报关!D273))</f>
        <v/>
      </c>
      <c r="E276" s="31" t="str">
        <f aca="false">IF($A276="","",N(①出口报关!L273))</f>
        <v/>
      </c>
      <c r="F276" s="31" t="str">
        <f aca="false">IF($A276="","",IF(①出口报关!Y273="","未签收",①出口报关!Y273))</f>
        <v/>
      </c>
      <c r="G276" s="32" t="str">
        <f aca="false">IF(OR($A276="",NOT(ISNUMBER(F276))),"",F276-E276)</f>
        <v/>
      </c>
      <c r="H276" s="31" t="str">
        <f aca="false">IF($A276="","",SUMIFS(②销售核销!$I$4:$I$603,②销售核销!$E$4:$E$603,$A276))</f>
        <v/>
      </c>
      <c r="I276" s="31" t="str">
        <f aca="false">IF($A276="","",SUMIFS(⑤库存异常!$E$4:$E$203,⑤库存异常!$B$4:$B$203,$A276))</f>
        <v/>
      </c>
      <c r="J276" s="31" t="str">
        <f aca="false">IF($A276="","",IF(ISNUMBER(F276),F276,E276)-H276-I276)</f>
        <v/>
      </c>
      <c r="K276" s="33" t="str">
        <f aca="false">IF(OR($A276="",N(E276)=0),"",H276/E276)</f>
        <v/>
      </c>
      <c r="L276" s="34" t="str">
        <f aca="false">IF($A276="","",SUMIFS(②销售核销!$L$4:$L$603,②销售核销!$E$4:$E$603,$A276))</f>
        <v/>
      </c>
      <c r="M276" s="34" t="str">
        <f aca="false">IF($A276="","",SUMIFS(②销售核销!$L$4:$L$603,②销售核销!$E$4:$E$603,$A276,②销售核销!$M$4:$M$603,"已收汇"))</f>
        <v/>
      </c>
      <c r="N276" s="30" t="str">
        <f aca="false">IF(ISNUMBER(D276),DATE(YEAR(D276)+1,4,30),"")</f>
        <v/>
      </c>
      <c r="O276" s="35" t="str">
        <f aca="true">IF($A276="","",IF(N(H276)=0,IF(AND(ISNUMBER(N276),TODAY()&gt;N276),"超过收汇期限仍未销售","尚未销售"),IF(ROUND(M276,2)&gt;=ROUND(L276,2),"已售部分已收汇",IF(AND(ISNUMBER(N276),TODAY()&gt;N276),"超期未收汇","有回款待收汇"))))</f>
        <v/>
      </c>
      <c r="P276" s="34" t="str">
        <f aca="false">IF($A276="","",SUMIFS(④退税核算!$H$4:$H$303,④退税核算!$A$4:$A$303,$A276))</f>
        <v/>
      </c>
      <c r="Q276" s="34" t="str">
        <f aca="false">IF($A276="","",SUMIFS(④退税核算!$H$4:$H$303,④退税核算!$A$4:$A$303,$A276,④退税核算!$D$4:$D$303,"未售-海外仓预退（HWC-YT）"))</f>
        <v/>
      </c>
      <c r="R276" s="30" t="str">
        <f aca="false">IF($A276="","",IF(COUNTIFS(④退税核算!$A$4:$A$303,$A276,④退税核算!$D$4:$D$303,"未售-海外仓预退（HWC-YT）",④退税核算!$I$4:$I$303,"&gt;0")=0,"",_xlfn.MINIFS(④退税核算!$J$4:$J$303,④退税核算!$A$4:$A$303,$A276,④退税核算!$D$4:$D$303,"未售-海外仓预退（HWC-YT）")))</f>
        <v/>
      </c>
      <c r="S276" s="35" t="str">
        <f aca="false">IF($A276="","",IF(COUNTIFS(④退税核算!$A$4:$A$303,$A276,④退税核算!$D$4:$D$303,"未售-海外仓预退（HWC-YT）")=0,"不涉及",IF(COUNTIFS(④退税核算!$A$4:$A$303,$A276,④退税核算!$S$4:$S$303,"已逾期*")&gt;0,"已逾期",IF(COUNTIFS(④退税核算!$A$4:$A$303,$A276,④退税核算!$S$4:$S$303,"临近*")&gt;0,"临近截止",IF(COUNTIFS(④退税核算!$A$4:$A$303,$A276,④退税核算!$S$4:$S$303,"待*")&gt;0,"待核算","已核算")))))</f>
        <v/>
      </c>
      <c r="T276" s="35" t="str">
        <f aca="false">IF($A276="","",IFERROR(INDEX(⑥单证留存!$P$4:$P$203,MATCH(①出口报关!B273,⑥单证留存!$A$4:$A$203,0)),"未登记"))</f>
        <v/>
      </c>
      <c r="U276" s="36" t="str">
        <f aca="false">IF($A276="","",IF(IF(OR(O276="超期未收汇",O276="超过收汇期限仍未销售")," 收汇超期","")&amp;IF(S276="已逾期"," 核算逾期","")&amp;IF(S276="临近截止"," 核算临近截止","")&amp;IF(LEFT(T276,1)="缺"," 单证"&amp;T276,"")&amp;IF(T276="未登记"," 单证未登记","")&amp;IF(AND(ISNUMBER(G276),N(G276)&lt;&gt;0)," 入仓差异"&amp;G276,"")="","正常",SUBSTITUTE(TRIM(IF(OR(O276="超期未收汇",O276="超过收汇期限仍未销售")," 收汇超期","")&amp;IF(S276="已逾期"," 核算逾期","")&amp;IF(S276="临近截止"," 核算临近截止","")&amp;IF(LEFT(T276,1)="缺"," 单证"&amp;T276,"")&amp;IF(T276="未登记"," 单证未登记","")&amp;IF(AND(ISNUMBER(G276),N(G276)&lt;&gt;0)," 入仓差异"&amp;G276,""))," ","、")))</f>
        <v/>
      </c>
    </row>
    <row r="277" customFormat="false" ht="21.75" hidden="false" customHeight="true" outlineLevel="0" collapsed="false">
      <c r="A277" s="29" t="str">
        <f aca="false">IF(①出口报关!A274="","",①出口报关!A274)</f>
        <v/>
      </c>
      <c r="B277" s="29" t="str">
        <f aca="false">IF($A277="","",①出口报关!I274)</f>
        <v/>
      </c>
      <c r="C277" s="29" t="str">
        <f aca="false">IF($A277="","",①出口报关!J274)</f>
        <v/>
      </c>
      <c r="D277" s="30" t="str">
        <f aca="false">IF($A277="","",IF(①出口报关!D274="","",①出口报关!D274))</f>
        <v/>
      </c>
      <c r="E277" s="31" t="str">
        <f aca="false">IF($A277="","",N(①出口报关!L274))</f>
        <v/>
      </c>
      <c r="F277" s="31" t="str">
        <f aca="false">IF($A277="","",IF(①出口报关!Y274="","未签收",①出口报关!Y274))</f>
        <v/>
      </c>
      <c r="G277" s="32" t="str">
        <f aca="false">IF(OR($A277="",NOT(ISNUMBER(F277))),"",F277-E277)</f>
        <v/>
      </c>
      <c r="H277" s="31" t="str">
        <f aca="false">IF($A277="","",SUMIFS(②销售核销!$I$4:$I$603,②销售核销!$E$4:$E$603,$A277))</f>
        <v/>
      </c>
      <c r="I277" s="31" t="str">
        <f aca="false">IF($A277="","",SUMIFS(⑤库存异常!$E$4:$E$203,⑤库存异常!$B$4:$B$203,$A277))</f>
        <v/>
      </c>
      <c r="J277" s="31" t="str">
        <f aca="false">IF($A277="","",IF(ISNUMBER(F277),F277,E277)-H277-I277)</f>
        <v/>
      </c>
      <c r="K277" s="33" t="str">
        <f aca="false">IF(OR($A277="",N(E277)=0),"",H277/E277)</f>
        <v/>
      </c>
      <c r="L277" s="34" t="str">
        <f aca="false">IF($A277="","",SUMIFS(②销售核销!$L$4:$L$603,②销售核销!$E$4:$E$603,$A277))</f>
        <v/>
      </c>
      <c r="M277" s="34" t="str">
        <f aca="false">IF($A277="","",SUMIFS(②销售核销!$L$4:$L$603,②销售核销!$E$4:$E$603,$A277,②销售核销!$M$4:$M$603,"已收汇"))</f>
        <v/>
      </c>
      <c r="N277" s="30" t="str">
        <f aca="false">IF(ISNUMBER(D277),DATE(YEAR(D277)+1,4,30),"")</f>
        <v/>
      </c>
      <c r="O277" s="35" t="str">
        <f aca="true">IF($A277="","",IF(N(H277)=0,IF(AND(ISNUMBER(N277),TODAY()&gt;N277),"超过收汇期限仍未销售","尚未销售"),IF(ROUND(M277,2)&gt;=ROUND(L277,2),"已售部分已收汇",IF(AND(ISNUMBER(N277),TODAY()&gt;N277),"超期未收汇","有回款待收汇"))))</f>
        <v/>
      </c>
      <c r="P277" s="34" t="str">
        <f aca="false">IF($A277="","",SUMIFS(④退税核算!$H$4:$H$303,④退税核算!$A$4:$A$303,$A277))</f>
        <v/>
      </c>
      <c r="Q277" s="34" t="str">
        <f aca="false">IF($A277="","",SUMIFS(④退税核算!$H$4:$H$303,④退税核算!$A$4:$A$303,$A277,④退税核算!$D$4:$D$303,"未售-海外仓预退（HWC-YT）"))</f>
        <v/>
      </c>
      <c r="R277" s="30" t="str">
        <f aca="false">IF($A277="","",IF(COUNTIFS(④退税核算!$A$4:$A$303,$A277,④退税核算!$D$4:$D$303,"未售-海外仓预退（HWC-YT）",④退税核算!$I$4:$I$303,"&gt;0")=0,"",_xlfn.MINIFS(④退税核算!$J$4:$J$303,④退税核算!$A$4:$A$303,$A277,④退税核算!$D$4:$D$303,"未售-海外仓预退（HWC-YT）")))</f>
        <v/>
      </c>
      <c r="S277" s="35" t="str">
        <f aca="false">IF($A277="","",IF(COUNTIFS(④退税核算!$A$4:$A$303,$A277,④退税核算!$D$4:$D$303,"未售-海外仓预退（HWC-YT）")=0,"不涉及",IF(COUNTIFS(④退税核算!$A$4:$A$303,$A277,④退税核算!$S$4:$S$303,"已逾期*")&gt;0,"已逾期",IF(COUNTIFS(④退税核算!$A$4:$A$303,$A277,④退税核算!$S$4:$S$303,"临近*")&gt;0,"临近截止",IF(COUNTIFS(④退税核算!$A$4:$A$303,$A277,④退税核算!$S$4:$S$303,"待*")&gt;0,"待核算","已核算")))))</f>
        <v/>
      </c>
      <c r="T277" s="35" t="str">
        <f aca="false">IF($A277="","",IFERROR(INDEX(⑥单证留存!$P$4:$P$203,MATCH(①出口报关!B274,⑥单证留存!$A$4:$A$203,0)),"未登记"))</f>
        <v/>
      </c>
      <c r="U277" s="36" t="str">
        <f aca="false">IF($A277="","",IF(IF(OR(O277="超期未收汇",O277="超过收汇期限仍未销售")," 收汇超期","")&amp;IF(S277="已逾期"," 核算逾期","")&amp;IF(S277="临近截止"," 核算临近截止","")&amp;IF(LEFT(T277,1)="缺"," 单证"&amp;T277,"")&amp;IF(T277="未登记"," 单证未登记","")&amp;IF(AND(ISNUMBER(G277),N(G277)&lt;&gt;0)," 入仓差异"&amp;G277,"")="","正常",SUBSTITUTE(TRIM(IF(OR(O277="超期未收汇",O277="超过收汇期限仍未销售")," 收汇超期","")&amp;IF(S277="已逾期"," 核算逾期","")&amp;IF(S277="临近截止"," 核算临近截止","")&amp;IF(LEFT(T277,1)="缺"," 单证"&amp;T277,"")&amp;IF(T277="未登记"," 单证未登记","")&amp;IF(AND(ISNUMBER(G277),N(G277)&lt;&gt;0)," 入仓差异"&amp;G277,""))," ","、")))</f>
        <v/>
      </c>
    </row>
    <row r="278" customFormat="false" ht="21.75" hidden="false" customHeight="true" outlineLevel="0" collapsed="false">
      <c r="A278" s="29" t="str">
        <f aca="false">IF(①出口报关!A275="","",①出口报关!A275)</f>
        <v/>
      </c>
      <c r="B278" s="29" t="str">
        <f aca="false">IF($A278="","",①出口报关!I275)</f>
        <v/>
      </c>
      <c r="C278" s="29" t="str">
        <f aca="false">IF($A278="","",①出口报关!J275)</f>
        <v/>
      </c>
      <c r="D278" s="30" t="str">
        <f aca="false">IF($A278="","",IF(①出口报关!D275="","",①出口报关!D275))</f>
        <v/>
      </c>
      <c r="E278" s="31" t="str">
        <f aca="false">IF($A278="","",N(①出口报关!L275))</f>
        <v/>
      </c>
      <c r="F278" s="31" t="str">
        <f aca="false">IF($A278="","",IF(①出口报关!Y275="","未签收",①出口报关!Y275))</f>
        <v/>
      </c>
      <c r="G278" s="32" t="str">
        <f aca="false">IF(OR($A278="",NOT(ISNUMBER(F278))),"",F278-E278)</f>
        <v/>
      </c>
      <c r="H278" s="31" t="str">
        <f aca="false">IF($A278="","",SUMIFS(②销售核销!$I$4:$I$603,②销售核销!$E$4:$E$603,$A278))</f>
        <v/>
      </c>
      <c r="I278" s="31" t="str">
        <f aca="false">IF($A278="","",SUMIFS(⑤库存异常!$E$4:$E$203,⑤库存异常!$B$4:$B$203,$A278))</f>
        <v/>
      </c>
      <c r="J278" s="31" t="str">
        <f aca="false">IF($A278="","",IF(ISNUMBER(F278),F278,E278)-H278-I278)</f>
        <v/>
      </c>
      <c r="K278" s="33" t="str">
        <f aca="false">IF(OR($A278="",N(E278)=0),"",H278/E278)</f>
        <v/>
      </c>
      <c r="L278" s="34" t="str">
        <f aca="false">IF($A278="","",SUMIFS(②销售核销!$L$4:$L$603,②销售核销!$E$4:$E$603,$A278))</f>
        <v/>
      </c>
      <c r="M278" s="34" t="str">
        <f aca="false">IF($A278="","",SUMIFS(②销售核销!$L$4:$L$603,②销售核销!$E$4:$E$603,$A278,②销售核销!$M$4:$M$603,"已收汇"))</f>
        <v/>
      </c>
      <c r="N278" s="30" t="str">
        <f aca="false">IF(ISNUMBER(D278),DATE(YEAR(D278)+1,4,30),"")</f>
        <v/>
      </c>
      <c r="O278" s="35" t="str">
        <f aca="true">IF($A278="","",IF(N(H278)=0,IF(AND(ISNUMBER(N278),TODAY()&gt;N278),"超过收汇期限仍未销售","尚未销售"),IF(ROUND(M278,2)&gt;=ROUND(L278,2),"已售部分已收汇",IF(AND(ISNUMBER(N278),TODAY()&gt;N278),"超期未收汇","有回款待收汇"))))</f>
        <v/>
      </c>
      <c r="P278" s="34" t="str">
        <f aca="false">IF($A278="","",SUMIFS(④退税核算!$H$4:$H$303,④退税核算!$A$4:$A$303,$A278))</f>
        <v/>
      </c>
      <c r="Q278" s="34" t="str">
        <f aca="false">IF($A278="","",SUMIFS(④退税核算!$H$4:$H$303,④退税核算!$A$4:$A$303,$A278,④退税核算!$D$4:$D$303,"未售-海外仓预退（HWC-YT）"))</f>
        <v/>
      </c>
      <c r="R278" s="30" t="str">
        <f aca="false">IF($A278="","",IF(COUNTIFS(④退税核算!$A$4:$A$303,$A278,④退税核算!$D$4:$D$303,"未售-海外仓预退（HWC-YT）",④退税核算!$I$4:$I$303,"&gt;0")=0,"",_xlfn.MINIFS(④退税核算!$J$4:$J$303,④退税核算!$A$4:$A$303,$A278,④退税核算!$D$4:$D$303,"未售-海外仓预退（HWC-YT）")))</f>
        <v/>
      </c>
      <c r="S278" s="35" t="str">
        <f aca="false">IF($A278="","",IF(COUNTIFS(④退税核算!$A$4:$A$303,$A278,④退税核算!$D$4:$D$303,"未售-海外仓预退（HWC-YT）")=0,"不涉及",IF(COUNTIFS(④退税核算!$A$4:$A$303,$A278,④退税核算!$S$4:$S$303,"已逾期*")&gt;0,"已逾期",IF(COUNTIFS(④退税核算!$A$4:$A$303,$A278,④退税核算!$S$4:$S$303,"临近*")&gt;0,"临近截止",IF(COUNTIFS(④退税核算!$A$4:$A$303,$A278,④退税核算!$S$4:$S$303,"待*")&gt;0,"待核算","已核算")))))</f>
        <v/>
      </c>
      <c r="T278" s="35" t="str">
        <f aca="false">IF($A278="","",IFERROR(INDEX(⑥单证留存!$P$4:$P$203,MATCH(①出口报关!B275,⑥单证留存!$A$4:$A$203,0)),"未登记"))</f>
        <v/>
      </c>
      <c r="U278" s="36" t="str">
        <f aca="false">IF($A278="","",IF(IF(OR(O278="超期未收汇",O278="超过收汇期限仍未销售")," 收汇超期","")&amp;IF(S278="已逾期"," 核算逾期","")&amp;IF(S278="临近截止"," 核算临近截止","")&amp;IF(LEFT(T278,1)="缺"," 单证"&amp;T278,"")&amp;IF(T278="未登记"," 单证未登记","")&amp;IF(AND(ISNUMBER(G278),N(G278)&lt;&gt;0)," 入仓差异"&amp;G278,"")="","正常",SUBSTITUTE(TRIM(IF(OR(O278="超期未收汇",O278="超过收汇期限仍未销售")," 收汇超期","")&amp;IF(S278="已逾期"," 核算逾期","")&amp;IF(S278="临近截止"," 核算临近截止","")&amp;IF(LEFT(T278,1)="缺"," 单证"&amp;T278,"")&amp;IF(T278="未登记"," 单证未登记","")&amp;IF(AND(ISNUMBER(G278),N(G278)&lt;&gt;0)," 入仓差异"&amp;G278,""))," ","、")))</f>
        <v/>
      </c>
    </row>
    <row r="279" customFormat="false" ht="21.75" hidden="false" customHeight="true" outlineLevel="0" collapsed="false">
      <c r="A279" s="29" t="str">
        <f aca="false">IF(①出口报关!A276="","",①出口报关!A276)</f>
        <v/>
      </c>
      <c r="B279" s="29" t="str">
        <f aca="false">IF($A279="","",①出口报关!I276)</f>
        <v/>
      </c>
      <c r="C279" s="29" t="str">
        <f aca="false">IF($A279="","",①出口报关!J276)</f>
        <v/>
      </c>
      <c r="D279" s="30" t="str">
        <f aca="false">IF($A279="","",IF(①出口报关!D276="","",①出口报关!D276))</f>
        <v/>
      </c>
      <c r="E279" s="31" t="str">
        <f aca="false">IF($A279="","",N(①出口报关!L276))</f>
        <v/>
      </c>
      <c r="F279" s="31" t="str">
        <f aca="false">IF($A279="","",IF(①出口报关!Y276="","未签收",①出口报关!Y276))</f>
        <v/>
      </c>
      <c r="G279" s="32" t="str">
        <f aca="false">IF(OR($A279="",NOT(ISNUMBER(F279))),"",F279-E279)</f>
        <v/>
      </c>
      <c r="H279" s="31" t="str">
        <f aca="false">IF($A279="","",SUMIFS(②销售核销!$I$4:$I$603,②销售核销!$E$4:$E$603,$A279))</f>
        <v/>
      </c>
      <c r="I279" s="31" t="str">
        <f aca="false">IF($A279="","",SUMIFS(⑤库存异常!$E$4:$E$203,⑤库存异常!$B$4:$B$203,$A279))</f>
        <v/>
      </c>
      <c r="J279" s="31" t="str">
        <f aca="false">IF($A279="","",IF(ISNUMBER(F279),F279,E279)-H279-I279)</f>
        <v/>
      </c>
      <c r="K279" s="33" t="str">
        <f aca="false">IF(OR($A279="",N(E279)=0),"",H279/E279)</f>
        <v/>
      </c>
      <c r="L279" s="34" t="str">
        <f aca="false">IF($A279="","",SUMIFS(②销售核销!$L$4:$L$603,②销售核销!$E$4:$E$603,$A279))</f>
        <v/>
      </c>
      <c r="M279" s="34" t="str">
        <f aca="false">IF($A279="","",SUMIFS(②销售核销!$L$4:$L$603,②销售核销!$E$4:$E$603,$A279,②销售核销!$M$4:$M$603,"已收汇"))</f>
        <v/>
      </c>
      <c r="N279" s="30" t="str">
        <f aca="false">IF(ISNUMBER(D279),DATE(YEAR(D279)+1,4,30),"")</f>
        <v/>
      </c>
      <c r="O279" s="35" t="str">
        <f aca="true">IF($A279="","",IF(N(H279)=0,IF(AND(ISNUMBER(N279),TODAY()&gt;N279),"超过收汇期限仍未销售","尚未销售"),IF(ROUND(M279,2)&gt;=ROUND(L279,2),"已售部分已收汇",IF(AND(ISNUMBER(N279),TODAY()&gt;N279),"超期未收汇","有回款待收汇"))))</f>
        <v/>
      </c>
      <c r="P279" s="34" t="str">
        <f aca="false">IF($A279="","",SUMIFS(④退税核算!$H$4:$H$303,④退税核算!$A$4:$A$303,$A279))</f>
        <v/>
      </c>
      <c r="Q279" s="34" t="str">
        <f aca="false">IF($A279="","",SUMIFS(④退税核算!$H$4:$H$303,④退税核算!$A$4:$A$303,$A279,④退税核算!$D$4:$D$303,"未售-海外仓预退（HWC-YT）"))</f>
        <v/>
      </c>
      <c r="R279" s="30" t="str">
        <f aca="false">IF($A279="","",IF(COUNTIFS(④退税核算!$A$4:$A$303,$A279,④退税核算!$D$4:$D$303,"未售-海外仓预退（HWC-YT）",④退税核算!$I$4:$I$303,"&gt;0")=0,"",_xlfn.MINIFS(④退税核算!$J$4:$J$303,④退税核算!$A$4:$A$303,$A279,④退税核算!$D$4:$D$303,"未售-海外仓预退（HWC-YT）")))</f>
        <v/>
      </c>
      <c r="S279" s="35" t="str">
        <f aca="false">IF($A279="","",IF(COUNTIFS(④退税核算!$A$4:$A$303,$A279,④退税核算!$D$4:$D$303,"未售-海外仓预退（HWC-YT）")=0,"不涉及",IF(COUNTIFS(④退税核算!$A$4:$A$303,$A279,④退税核算!$S$4:$S$303,"已逾期*")&gt;0,"已逾期",IF(COUNTIFS(④退税核算!$A$4:$A$303,$A279,④退税核算!$S$4:$S$303,"临近*")&gt;0,"临近截止",IF(COUNTIFS(④退税核算!$A$4:$A$303,$A279,④退税核算!$S$4:$S$303,"待*")&gt;0,"待核算","已核算")))))</f>
        <v/>
      </c>
      <c r="T279" s="35" t="str">
        <f aca="false">IF($A279="","",IFERROR(INDEX(⑥单证留存!$P$4:$P$203,MATCH(①出口报关!B276,⑥单证留存!$A$4:$A$203,0)),"未登记"))</f>
        <v/>
      </c>
      <c r="U279" s="36" t="str">
        <f aca="false">IF($A279="","",IF(IF(OR(O279="超期未收汇",O279="超过收汇期限仍未销售")," 收汇超期","")&amp;IF(S279="已逾期"," 核算逾期","")&amp;IF(S279="临近截止"," 核算临近截止","")&amp;IF(LEFT(T279,1)="缺"," 单证"&amp;T279,"")&amp;IF(T279="未登记"," 单证未登记","")&amp;IF(AND(ISNUMBER(G279),N(G279)&lt;&gt;0)," 入仓差异"&amp;G279,"")="","正常",SUBSTITUTE(TRIM(IF(OR(O279="超期未收汇",O279="超过收汇期限仍未销售")," 收汇超期","")&amp;IF(S279="已逾期"," 核算逾期","")&amp;IF(S279="临近截止"," 核算临近截止","")&amp;IF(LEFT(T279,1)="缺"," 单证"&amp;T279,"")&amp;IF(T279="未登记"," 单证未登记","")&amp;IF(AND(ISNUMBER(G279),N(G279)&lt;&gt;0)," 入仓差异"&amp;G279,""))," ","、")))</f>
        <v/>
      </c>
    </row>
    <row r="280" customFormat="false" ht="21.75" hidden="false" customHeight="true" outlineLevel="0" collapsed="false">
      <c r="A280" s="29" t="str">
        <f aca="false">IF(①出口报关!A277="","",①出口报关!A277)</f>
        <v/>
      </c>
      <c r="B280" s="29" t="str">
        <f aca="false">IF($A280="","",①出口报关!I277)</f>
        <v/>
      </c>
      <c r="C280" s="29" t="str">
        <f aca="false">IF($A280="","",①出口报关!J277)</f>
        <v/>
      </c>
      <c r="D280" s="30" t="str">
        <f aca="false">IF($A280="","",IF(①出口报关!D277="","",①出口报关!D277))</f>
        <v/>
      </c>
      <c r="E280" s="31" t="str">
        <f aca="false">IF($A280="","",N(①出口报关!L277))</f>
        <v/>
      </c>
      <c r="F280" s="31" t="str">
        <f aca="false">IF($A280="","",IF(①出口报关!Y277="","未签收",①出口报关!Y277))</f>
        <v/>
      </c>
      <c r="G280" s="32" t="str">
        <f aca="false">IF(OR($A280="",NOT(ISNUMBER(F280))),"",F280-E280)</f>
        <v/>
      </c>
      <c r="H280" s="31" t="str">
        <f aca="false">IF($A280="","",SUMIFS(②销售核销!$I$4:$I$603,②销售核销!$E$4:$E$603,$A280))</f>
        <v/>
      </c>
      <c r="I280" s="31" t="str">
        <f aca="false">IF($A280="","",SUMIFS(⑤库存异常!$E$4:$E$203,⑤库存异常!$B$4:$B$203,$A280))</f>
        <v/>
      </c>
      <c r="J280" s="31" t="str">
        <f aca="false">IF($A280="","",IF(ISNUMBER(F280),F280,E280)-H280-I280)</f>
        <v/>
      </c>
      <c r="K280" s="33" t="str">
        <f aca="false">IF(OR($A280="",N(E280)=0),"",H280/E280)</f>
        <v/>
      </c>
      <c r="L280" s="34" t="str">
        <f aca="false">IF($A280="","",SUMIFS(②销售核销!$L$4:$L$603,②销售核销!$E$4:$E$603,$A280))</f>
        <v/>
      </c>
      <c r="M280" s="34" t="str">
        <f aca="false">IF($A280="","",SUMIFS(②销售核销!$L$4:$L$603,②销售核销!$E$4:$E$603,$A280,②销售核销!$M$4:$M$603,"已收汇"))</f>
        <v/>
      </c>
      <c r="N280" s="30" t="str">
        <f aca="false">IF(ISNUMBER(D280),DATE(YEAR(D280)+1,4,30),"")</f>
        <v/>
      </c>
      <c r="O280" s="35" t="str">
        <f aca="true">IF($A280="","",IF(N(H280)=0,IF(AND(ISNUMBER(N280),TODAY()&gt;N280),"超过收汇期限仍未销售","尚未销售"),IF(ROUND(M280,2)&gt;=ROUND(L280,2),"已售部分已收汇",IF(AND(ISNUMBER(N280),TODAY()&gt;N280),"超期未收汇","有回款待收汇"))))</f>
        <v/>
      </c>
      <c r="P280" s="34" t="str">
        <f aca="false">IF($A280="","",SUMIFS(④退税核算!$H$4:$H$303,④退税核算!$A$4:$A$303,$A280))</f>
        <v/>
      </c>
      <c r="Q280" s="34" t="str">
        <f aca="false">IF($A280="","",SUMIFS(④退税核算!$H$4:$H$303,④退税核算!$A$4:$A$303,$A280,④退税核算!$D$4:$D$303,"未售-海外仓预退（HWC-YT）"))</f>
        <v/>
      </c>
      <c r="R280" s="30" t="str">
        <f aca="false">IF($A280="","",IF(COUNTIFS(④退税核算!$A$4:$A$303,$A280,④退税核算!$D$4:$D$303,"未售-海外仓预退（HWC-YT）",④退税核算!$I$4:$I$303,"&gt;0")=0,"",_xlfn.MINIFS(④退税核算!$J$4:$J$303,④退税核算!$A$4:$A$303,$A280,④退税核算!$D$4:$D$303,"未售-海外仓预退（HWC-YT）")))</f>
        <v/>
      </c>
      <c r="S280" s="35" t="str">
        <f aca="false">IF($A280="","",IF(COUNTIFS(④退税核算!$A$4:$A$303,$A280,④退税核算!$D$4:$D$303,"未售-海外仓预退（HWC-YT）")=0,"不涉及",IF(COUNTIFS(④退税核算!$A$4:$A$303,$A280,④退税核算!$S$4:$S$303,"已逾期*")&gt;0,"已逾期",IF(COUNTIFS(④退税核算!$A$4:$A$303,$A280,④退税核算!$S$4:$S$303,"临近*")&gt;0,"临近截止",IF(COUNTIFS(④退税核算!$A$4:$A$303,$A280,④退税核算!$S$4:$S$303,"待*")&gt;0,"待核算","已核算")))))</f>
        <v/>
      </c>
      <c r="T280" s="35" t="str">
        <f aca="false">IF($A280="","",IFERROR(INDEX(⑥单证留存!$P$4:$P$203,MATCH(①出口报关!B277,⑥单证留存!$A$4:$A$203,0)),"未登记"))</f>
        <v/>
      </c>
      <c r="U280" s="36" t="str">
        <f aca="false">IF($A280="","",IF(IF(OR(O280="超期未收汇",O280="超过收汇期限仍未销售")," 收汇超期","")&amp;IF(S280="已逾期"," 核算逾期","")&amp;IF(S280="临近截止"," 核算临近截止","")&amp;IF(LEFT(T280,1)="缺"," 单证"&amp;T280,"")&amp;IF(T280="未登记"," 单证未登记","")&amp;IF(AND(ISNUMBER(G280),N(G280)&lt;&gt;0)," 入仓差异"&amp;G280,"")="","正常",SUBSTITUTE(TRIM(IF(OR(O280="超期未收汇",O280="超过收汇期限仍未销售")," 收汇超期","")&amp;IF(S280="已逾期"," 核算逾期","")&amp;IF(S280="临近截止"," 核算临近截止","")&amp;IF(LEFT(T280,1)="缺"," 单证"&amp;T280,"")&amp;IF(T280="未登记"," 单证未登记","")&amp;IF(AND(ISNUMBER(G280),N(G280)&lt;&gt;0)," 入仓差异"&amp;G280,""))," ","、")))</f>
        <v/>
      </c>
    </row>
    <row r="281" customFormat="false" ht="21.75" hidden="false" customHeight="true" outlineLevel="0" collapsed="false">
      <c r="A281" s="29" t="str">
        <f aca="false">IF(①出口报关!A278="","",①出口报关!A278)</f>
        <v/>
      </c>
      <c r="B281" s="29" t="str">
        <f aca="false">IF($A281="","",①出口报关!I278)</f>
        <v/>
      </c>
      <c r="C281" s="29" t="str">
        <f aca="false">IF($A281="","",①出口报关!J278)</f>
        <v/>
      </c>
      <c r="D281" s="30" t="str">
        <f aca="false">IF($A281="","",IF(①出口报关!D278="","",①出口报关!D278))</f>
        <v/>
      </c>
      <c r="E281" s="31" t="str">
        <f aca="false">IF($A281="","",N(①出口报关!L278))</f>
        <v/>
      </c>
      <c r="F281" s="31" t="str">
        <f aca="false">IF($A281="","",IF(①出口报关!Y278="","未签收",①出口报关!Y278))</f>
        <v/>
      </c>
      <c r="G281" s="32" t="str">
        <f aca="false">IF(OR($A281="",NOT(ISNUMBER(F281))),"",F281-E281)</f>
        <v/>
      </c>
      <c r="H281" s="31" t="str">
        <f aca="false">IF($A281="","",SUMIFS(②销售核销!$I$4:$I$603,②销售核销!$E$4:$E$603,$A281))</f>
        <v/>
      </c>
      <c r="I281" s="31" t="str">
        <f aca="false">IF($A281="","",SUMIFS(⑤库存异常!$E$4:$E$203,⑤库存异常!$B$4:$B$203,$A281))</f>
        <v/>
      </c>
      <c r="J281" s="31" t="str">
        <f aca="false">IF($A281="","",IF(ISNUMBER(F281),F281,E281)-H281-I281)</f>
        <v/>
      </c>
      <c r="K281" s="33" t="str">
        <f aca="false">IF(OR($A281="",N(E281)=0),"",H281/E281)</f>
        <v/>
      </c>
      <c r="L281" s="34" t="str">
        <f aca="false">IF($A281="","",SUMIFS(②销售核销!$L$4:$L$603,②销售核销!$E$4:$E$603,$A281))</f>
        <v/>
      </c>
      <c r="M281" s="34" t="str">
        <f aca="false">IF($A281="","",SUMIFS(②销售核销!$L$4:$L$603,②销售核销!$E$4:$E$603,$A281,②销售核销!$M$4:$M$603,"已收汇"))</f>
        <v/>
      </c>
      <c r="N281" s="30" t="str">
        <f aca="false">IF(ISNUMBER(D281),DATE(YEAR(D281)+1,4,30),"")</f>
        <v/>
      </c>
      <c r="O281" s="35" t="str">
        <f aca="true">IF($A281="","",IF(N(H281)=0,IF(AND(ISNUMBER(N281),TODAY()&gt;N281),"超过收汇期限仍未销售","尚未销售"),IF(ROUND(M281,2)&gt;=ROUND(L281,2),"已售部分已收汇",IF(AND(ISNUMBER(N281),TODAY()&gt;N281),"超期未收汇","有回款待收汇"))))</f>
        <v/>
      </c>
      <c r="P281" s="34" t="str">
        <f aca="false">IF($A281="","",SUMIFS(④退税核算!$H$4:$H$303,④退税核算!$A$4:$A$303,$A281))</f>
        <v/>
      </c>
      <c r="Q281" s="34" t="str">
        <f aca="false">IF($A281="","",SUMIFS(④退税核算!$H$4:$H$303,④退税核算!$A$4:$A$303,$A281,④退税核算!$D$4:$D$303,"未售-海外仓预退（HWC-YT）"))</f>
        <v/>
      </c>
      <c r="R281" s="30" t="str">
        <f aca="false">IF($A281="","",IF(COUNTIFS(④退税核算!$A$4:$A$303,$A281,④退税核算!$D$4:$D$303,"未售-海外仓预退（HWC-YT）",④退税核算!$I$4:$I$303,"&gt;0")=0,"",_xlfn.MINIFS(④退税核算!$J$4:$J$303,④退税核算!$A$4:$A$303,$A281,④退税核算!$D$4:$D$303,"未售-海外仓预退（HWC-YT）")))</f>
        <v/>
      </c>
      <c r="S281" s="35" t="str">
        <f aca="false">IF($A281="","",IF(COUNTIFS(④退税核算!$A$4:$A$303,$A281,④退税核算!$D$4:$D$303,"未售-海外仓预退（HWC-YT）")=0,"不涉及",IF(COUNTIFS(④退税核算!$A$4:$A$303,$A281,④退税核算!$S$4:$S$303,"已逾期*")&gt;0,"已逾期",IF(COUNTIFS(④退税核算!$A$4:$A$303,$A281,④退税核算!$S$4:$S$303,"临近*")&gt;0,"临近截止",IF(COUNTIFS(④退税核算!$A$4:$A$303,$A281,④退税核算!$S$4:$S$303,"待*")&gt;0,"待核算","已核算")))))</f>
        <v/>
      </c>
      <c r="T281" s="35" t="str">
        <f aca="false">IF($A281="","",IFERROR(INDEX(⑥单证留存!$P$4:$P$203,MATCH(①出口报关!B278,⑥单证留存!$A$4:$A$203,0)),"未登记"))</f>
        <v/>
      </c>
      <c r="U281" s="36" t="str">
        <f aca="false">IF($A281="","",IF(IF(OR(O281="超期未收汇",O281="超过收汇期限仍未销售")," 收汇超期","")&amp;IF(S281="已逾期"," 核算逾期","")&amp;IF(S281="临近截止"," 核算临近截止","")&amp;IF(LEFT(T281,1)="缺"," 单证"&amp;T281,"")&amp;IF(T281="未登记"," 单证未登记","")&amp;IF(AND(ISNUMBER(G281),N(G281)&lt;&gt;0)," 入仓差异"&amp;G281,"")="","正常",SUBSTITUTE(TRIM(IF(OR(O281="超期未收汇",O281="超过收汇期限仍未销售")," 收汇超期","")&amp;IF(S281="已逾期"," 核算逾期","")&amp;IF(S281="临近截止"," 核算临近截止","")&amp;IF(LEFT(T281,1)="缺"," 单证"&amp;T281,"")&amp;IF(T281="未登记"," 单证未登记","")&amp;IF(AND(ISNUMBER(G281),N(G281)&lt;&gt;0)," 入仓差异"&amp;G281,""))," ","、")))</f>
        <v/>
      </c>
    </row>
    <row r="282" customFormat="false" ht="21.75" hidden="false" customHeight="true" outlineLevel="0" collapsed="false">
      <c r="A282" s="29" t="str">
        <f aca="false">IF(①出口报关!A279="","",①出口报关!A279)</f>
        <v/>
      </c>
      <c r="B282" s="29" t="str">
        <f aca="false">IF($A282="","",①出口报关!I279)</f>
        <v/>
      </c>
      <c r="C282" s="29" t="str">
        <f aca="false">IF($A282="","",①出口报关!J279)</f>
        <v/>
      </c>
      <c r="D282" s="30" t="str">
        <f aca="false">IF($A282="","",IF(①出口报关!D279="","",①出口报关!D279))</f>
        <v/>
      </c>
      <c r="E282" s="31" t="str">
        <f aca="false">IF($A282="","",N(①出口报关!L279))</f>
        <v/>
      </c>
      <c r="F282" s="31" t="str">
        <f aca="false">IF($A282="","",IF(①出口报关!Y279="","未签收",①出口报关!Y279))</f>
        <v/>
      </c>
      <c r="G282" s="32" t="str">
        <f aca="false">IF(OR($A282="",NOT(ISNUMBER(F282))),"",F282-E282)</f>
        <v/>
      </c>
      <c r="H282" s="31" t="str">
        <f aca="false">IF($A282="","",SUMIFS(②销售核销!$I$4:$I$603,②销售核销!$E$4:$E$603,$A282))</f>
        <v/>
      </c>
      <c r="I282" s="31" t="str">
        <f aca="false">IF($A282="","",SUMIFS(⑤库存异常!$E$4:$E$203,⑤库存异常!$B$4:$B$203,$A282))</f>
        <v/>
      </c>
      <c r="J282" s="31" t="str">
        <f aca="false">IF($A282="","",IF(ISNUMBER(F282),F282,E282)-H282-I282)</f>
        <v/>
      </c>
      <c r="K282" s="33" t="str">
        <f aca="false">IF(OR($A282="",N(E282)=0),"",H282/E282)</f>
        <v/>
      </c>
      <c r="L282" s="34" t="str">
        <f aca="false">IF($A282="","",SUMIFS(②销售核销!$L$4:$L$603,②销售核销!$E$4:$E$603,$A282))</f>
        <v/>
      </c>
      <c r="M282" s="34" t="str">
        <f aca="false">IF($A282="","",SUMIFS(②销售核销!$L$4:$L$603,②销售核销!$E$4:$E$603,$A282,②销售核销!$M$4:$M$603,"已收汇"))</f>
        <v/>
      </c>
      <c r="N282" s="30" t="str">
        <f aca="false">IF(ISNUMBER(D282),DATE(YEAR(D282)+1,4,30),"")</f>
        <v/>
      </c>
      <c r="O282" s="35" t="str">
        <f aca="true">IF($A282="","",IF(N(H282)=0,IF(AND(ISNUMBER(N282),TODAY()&gt;N282),"超过收汇期限仍未销售","尚未销售"),IF(ROUND(M282,2)&gt;=ROUND(L282,2),"已售部分已收汇",IF(AND(ISNUMBER(N282),TODAY()&gt;N282),"超期未收汇","有回款待收汇"))))</f>
        <v/>
      </c>
      <c r="P282" s="34" t="str">
        <f aca="false">IF($A282="","",SUMIFS(④退税核算!$H$4:$H$303,④退税核算!$A$4:$A$303,$A282))</f>
        <v/>
      </c>
      <c r="Q282" s="34" t="str">
        <f aca="false">IF($A282="","",SUMIFS(④退税核算!$H$4:$H$303,④退税核算!$A$4:$A$303,$A282,④退税核算!$D$4:$D$303,"未售-海外仓预退（HWC-YT）"))</f>
        <v/>
      </c>
      <c r="R282" s="30" t="str">
        <f aca="false">IF($A282="","",IF(COUNTIFS(④退税核算!$A$4:$A$303,$A282,④退税核算!$D$4:$D$303,"未售-海外仓预退（HWC-YT）",④退税核算!$I$4:$I$303,"&gt;0")=0,"",_xlfn.MINIFS(④退税核算!$J$4:$J$303,④退税核算!$A$4:$A$303,$A282,④退税核算!$D$4:$D$303,"未售-海外仓预退（HWC-YT）")))</f>
        <v/>
      </c>
      <c r="S282" s="35" t="str">
        <f aca="false">IF($A282="","",IF(COUNTIFS(④退税核算!$A$4:$A$303,$A282,④退税核算!$D$4:$D$303,"未售-海外仓预退（HWC-YT）")=0,"不涉及",IF(COUNTIFS(④退税核算!$A$4:$A$303,$A282,④退税核算!$S$4:$S$303,"已逾期*")&gt;0,"已逾期",IF(COUNTIFS(④退税核算!$A$4:$A$303,$A282,④退税核算!$S$4:$S$303,"临近*")&gt;0,"临近截止",IF(COUNTIFS(④退税核算!$A$4:$A$303,$A282,④退税核算!$S$4:$S$303,"待*")&gt;0,"待核算","已核算")))))</f>
        <v/>
      </c>
      <c r="T282" s="35" t="str">
        <f aca="false">IF($A282="","",IFERROR(INDEX(⑥单证留存!$P$4:$P$203,MATCH(①出口报关!B279,⑥单证留存!$A$4:$A$203,0)),"未登记"))</f>
        <v/>
      </c>
      <c r="U282" s="36" t="str">
        <f aca="false">IF($A282="","",IF(IF(OR(O282="超期未收汇",O282="超过收汇期限仍未销售")," 收汇超期","")&amp;IF(S282="已逾期"," 核算逾期","")&amp;IF(S282="临近截止"," 核算临近截止","")&amp;IF(LEFT(T282,1)="缺"," 单证"&amp;T282,"")&amp;IF(T282="未登记"," 单证未登记","")&amp;IF(AND(ISNUMBER(G282),N(G282)&lt;&gt;0)," 入仓差异"&amp;G282,"")="","正常",SUBSTITUTE(TRIM(IF(OR(O282="超期未收汇",O282="超过收汇期限仍未销售")," 收汇超期","")&amp;IF(S282="已逾期"," 核算逾期","")&amp;IF(S282="临近截止"," 核算临近截止","")&amp;IF(LEFT(T282,1)="缺"," 单证"&amp;T282,"")&amp;IF(T282="未登记"," 单证未登记","")&amp;IF(AND(ISNUMBER(G282),N(G282)&lt;&gt;0)," 入仓差异"&amp;G282,""))," ","、")))</f>
        <v/>
      </c>
    </row>
    <row r="283" customFormat="false" ht="21.75" hidden="false" customHeight="true" outlineLevel="0" collapsed="false">
      <c r="A283" s="29" t="str">
        <f aca="false">IF(①出口报关!A280="","",①出口报关!A280)</f>
        <v/>
      </c>
      <c r="B283" s="29" t="str">
        <f aca="false">IF($A283="","",①出口报关!I280)</f>
        <v/>
      </c>
      <c r="C283" s="29" t="str">
        <f aca="false">IF($A283="","",①出口报关!J280)</f>
        <v/>
      </c>
      <c r="D283" s="30" t="str">
        <f aca="false">IF($A283="","",IF(①出口报关!D280="","",①出口报关!D280))</f>
        <v/>
      </c>
      <c r="E283" s="31" t="str">
        <f aca="false">IF($A283="","",N(①出口报关!L280))</f>
        <v/>
      </c>
      <c r="F283" s="31" t="str">
        <f aca="false">IF($A283="","",IF(①出口报关!Y280="","未签收",①出口报关!Y280))</f>
        <v/>
      </c>
      <c r="G283" s="32" t="str">
        <f aca="false">IF(OR($A283="",NOT(ISNUMBER(F283))),"",F283-E283)</f>
        <v/>
      </c>
      <c r="H283" s="31" t="str">
        <f aca="false">IF($A283="","",SUMIFS(②销售核销!$I$4:$I$603,②销售核销!$E$4:$E$603,$A283))</f>
        <v/>
      </c>
      <c r="I283" s="31" t="str">
        <f aca="false">IF($A283="","",SUMIFS(⑤库存异常!$E$4:$E$203,⑤库存异常!$B$4:$B$203,$A283))</f>
        <v/>
      </c>
      <c r="J283" s="31" t="str">
        <f aca="false">IF($A283="","",IF(ISNUMBER(F283),F283,E283)-H283-I283)</f>
        <v/>
      </c>
      <c r="K283" s="33" t="str">
        <f aca="false">IF(OR($A283="",N(E283)=0),"",H283/E283)</f>
        <v/>
      </c>
      <c r="L283" s="34" t="str">
        <f aca="false">IF($A283="","",SUMIFS(②销售核销!$L$4:$L$603,②销售核销!$E$4:$E$603,$A283))</f>
        <v/>
      </c>
      <c r="M283" s="34" t="str">
        <f aca="false">IF($A283="","",SUMIFS(②销售核销!$L$4:$L$603,②销售核销!$E$4:$E$603,$A283,②销售核销!$M$4:$M$603,"已收汇"))</f>
        <v/>
      </c>
      <c r="N283" s="30" t="str">
        <f aca="false">IF(ISNUMBER(D283),DATE(YEAR(D283)+1,4,30),"")</f>
        <v/>
      </c>
      <c r="O283" s="35" t="str">
        <f aca="true">IF($A283="","",IF(N(H283)=0,IF(AND(ISNUMBER(N283),TODAY()&gt;N283),"超过收汇期限仍未销售","尚未销售"),IF(ROUND(M283,2)&gt;=ROUND(L283,2),"已售部分已收汇",IF(AND(ISNUMBER(N283),TODAY()&gt;N283),"超期未收汇","有回款待收汇"))))</f>
        <v/>
      </c>
      <c r="P283" s="34" t="str">
        <f aca="false">IF($A283="","",SUMIFS(④退税核算!$H$4:$H$303,④退税核算!$A$4:$A$303,$A283))</f>
        <v/>
      </c>
      <c r="Q283" s="34" t="str">
        <f aca="false">IF($A283="","",SUMIFS(④退税核算!$H$4:$H$303,④退税核算!$A$4:$A$303,$A283,④退税核算!$D$4:$D$303,"未售-海外仓预退（HWC-YT）"))</f>
        <v/>
      </c>
      <c r="R283" s="30" t="str">
        <f aca="false">IF($A283="","",IF(COUNTIFS(④退税核算!$A$4:$A$303,$A283,④退税核算!$D$4:$D$303,"未售-海外仓预退（HWC-YT）",④退税核算!$I$4:$I$303,"&gt;0")=0,"",_xlfn.MINIFS(④退税核算!$J$4:$J$303,④退税核算!$A$4:$A$303,$A283,④退税核算!$D$4:$D$303,"未售-海外仓预退（HWC-YT）")))</f>
        <v/>
      </c>
      <c r="S283" s="35" t="str">
        <f aca="false">IF($A283="","",IF(COUNTIFS(④退税核算!$A$4:$A$303,$A283,④退税核算!$D$4:$D$303,"未售-海外仓预退（HWC-YT）")=0,"不涉及",IF(COUNTIFS(④退税核算!$A$4:$A$303,$A283,④退税核算!$S$4:$S$303,"已逾期*")&gt;0,"已逾期",IF(COUNTIFS(④退税核算!$A$4:$A$303,$A283,④退税核算!$S$4:$S$303,"临近*")&gt;0,"临近截止",IF(COUNTIFS(④退税核算!$A$4:$A$303,$A283,④退税核算!$S$4:$S$303,"待*")&gt;0,"待核算","已核算")))))</f>
        <v/>
      </c>
      <c r="T283" s="35" t="str">
        <f aca="false">IF($A283="","",IFERROR(INDEX(⑥单证留存!$P$4:$P$203,MATCH(①出口报关!B280,⑥单证留存!$A$4:$A$203,0)),"未登记"))</f>
        <v/>
      </c>
      <c r="U283" s="36" t="str">
        <f aca="false">IF($A283="","",IF(IF(OR(O283="超期未收汇",O283="超过收汇期限仍未销售")," 收汇超期","")&amp;IF(S283="已逾期"," 核算逾期","")&amp;IF(S283="临近截止"," 核算临近截止","")&amp;IF(LEFT(T283,1)="缺"," 单证"&amp;T283,"")&amp;IF(T283="未登记"," 单证未登记","")&amp;IF(AND(ISNUMBER(G283),N(G283)&lt;&gt;0)," 入仓差异"&amp;G283,"")="","正常",SUBSTITUTE(TRIM(IF(OR(O283="超期未收汇",O283="超过收汇期限仍未销售")," 收汇超期","")&amp;IF(S283="已逾期"," 核算逾期","")&amp;IF(S283="临近截止"," 核算临近截止","")&amp;IF(LEFT(T283,1)="缺"," 单证"&amp;T283,"")&amp;IF(T283="未登记"," 单证未登记","")&amp;IF(AND(ISNUMBER(G283),N(G283)&lt;&gt;0)," 入仓差异"&amp;G283,""))," ","、")))</f>
        <v/>
      </c>
    </row>
    <row r="284" customFormat="false" ht="21.75" hidden="false" customHeight="true" outlineLevel="0" collapsed="false">
      <c r="A284" s="29" t="str">
        <f aca="false">IF(①出口报关!A281="","",①出口报关!A281)</f>
        <v/>
      </c>
      <c r="B284" s="29" t="str">
        <f aca="false">IF($A284="","",①出口报关!I281)</f>
        <v/>
      </c>
      <c r="C284" s="29" t="str">
        <f aca="false">IF($A284="","",①出口报关!J281)</f>
        <v/>
      </c>
      <c r="D284" s="30" t="str">
        <f aca="false">IF($A284="","",IF(①出口报关!D281="","",①出口报关!D281))</f>
        <v/>
      </c>
      <c r="E284" s="31" t="str">
        <f aca="false">IF($A284="","",N(①出口报关!L281))</f>
        <v/>
      </c>
      <c r="F284" s="31" t="str">
        <f aca="false">IF($A284="","",IF(①出口报关!Y281="","未签收",①出口报关!Y281))</f>
        <v/>
      </c>
      <c r="G284" s="32" t="str">
        <f aca="false">IF(OR($A284="",NOT(ISNUMBER(F284))),"",F284-E284)</f>
        <v/>
      </c>
      <c r="H284" s="31" t="str">
        <f aca="false">IF($A284="","",SUMIFS(②销售核销!$I$4:$I$603,②销售核销!$E$4:$E$603,$A284))</f>
        <v/>
      </c>
      <c r="I284" s="31" t="str">
        <f aca="false">IF($A284="","",SUMIFS(⑤库存异常!$E$4:$E$203,⑤库存异常!$B$4:$B$203,$A284))</f>
        <v/>
      </c>
      <c r="J284" s="31" t="str">
        <f aca="false">IF($A284="","",IF(ISNUMBER(F284),F284,E284)-H284-I284)</f>
        <v/>
      </c>
      <c r="K284" s="33" t="str">
        <f aca="false">IF(OR($A284="",N(E284)=0),"",H284/E284)</f>
        <v/>
      </c>
      <c r="L284" s="34" t="str">
        <f aca="false">IF($A284="","",SUMIFS(②销售核销!$L$4:$L$603,②销售核销!$E$4:$E$603,$A284))</f>
        <v/>
      </c>
      <c r="M284" s="34" t="str">
        <f aca="false">IF($A284="","",SUMIFS(②销售核销!$L$4:$L$603,②销售核销!$E$4:$E$603,$A284,②销售核销!$M$4:$M$603,"已收汇"))</f>
        <v/>
      </c>
      <c r="N284" s="30" t="str">
        <f aca="false">IF(ISNUMBER(D284),DATE(YEAR(D284)+1,4,30),"")</f>
        <v/>
      </c>
      <c r="O284" s="35" t="str">
        <f aca="true">IF($A284="","",IF(N(H284)=0,IF(AND(ISNUMBER(N284),TODAY()&gt;N284),"超过收汇期限仍未销售","尚未销售"),IF(ROUND(M284,2)&gt;=ROUND(L284,2),"已售部分已收汇",IF(AND(ISNUMBER(N284),TODAY()&gt;N284),"超期未收汇","有回款待收汇"))))</f>
        <v/>
      </c>
      <c r="P284" s="34" t="str">
        <f aca="false">IF($A284="","",SUMIFS(④退税核算!$H$4:$H$303,④退税核算!$A$4:$A$303,$A284))</f>
        <v/>
      </c>
      <c r="Q284" s="34" t="str">
        <f aca="false">IF($A284="","",SUMIFS(④退税核算!$H$4:$H$303,④退税核算!$A$4:$A$303,$A284,④退税核算!$D$4:$D$303,"未售-海外仓预退（HWC-YT）"))</f>
        <v/>
      </c>
      <c r="R284" s="30" t="str">
        <f aca="false">IF($A284="","",IF(COUNTIFS(④退税核算!$A$4:$A$303,$A284,④退税核算!$D$4:$D$303,"未售-海外仓预退（HWC-YT）",④退税核算!$I$4:$I$303,"&gt;0")=0,"",_xlfn.MINIFS(④退税核算!$J$4:$J$303,④退税核算!$A$4:$A$303,$A284,④退税核算!$D$4:$D$303,"未售-海外仓预退（HWC-YT）")))</f>
        <v/>
      </c>
      <c r="S284" s="35" t="str">
        <f aca="false">IF($A284="","",IF(COUNTIFS(④退税核算!$A$4:$A$303,$A284,④退税核算!$D$4:$D$303,"未售-海外仓预退（HWC-YT）")=0,"不涉及",IF(COUNTIFS(④退税核算!$A$4:$A$303,$A284,④退税核算!$S$4:$S$303,"已逾期*")&gt;0,"已逾期",IF(COUNTIFS(④退税核算!$A$4:$A$303,$A284,④退税核算!$S$4:$S$303,"临近*")&gt;0,"临近截止",IF(COUNTIFS(④退税核算!$A$4:$A$303,$A284,④退税核算!$S$4:$S$303,"待*")&gt;0,"待核算","已核算")))))</f>
        <v/>
      </c>
      <c r="T284" s="35" t="str">
        <f aca="false">IF($A284="","",IFERROR(INDEX(⑥单证留存!$P$4:$P$203,MATCH(①出口报关!B281,⑥单证留存!$A$4:$A$203,0)),"未登记"))</f>
        <v/>
      </c>
      <c r="U284" s="36" t="str">
        <f aca="false">IF($A284="","",IF(IF(OR(O284="超期未收汇",O284="超过收汇期限仍未销售")," 收汇超期","")&amp;IF(S284="已逾期"," 核算逾期","")&amp;IF(S284="临近截止"," 核算临近截止","")&amp;IF(LEFT(T284,1)="缺"," 单证"&amp;T284,"")&amp;IF(T284="未登记"," 单证未登记","")&amp;IF(AND(ISNUMBER(G284),N(G284)&lt;&gt;0)," 入仓差异"&amp;G284,"")="","正常",SUBSTITUTE(TRIM(IF(OR(O284="超期未收汇",O284="超过收汇期限仍未销售")," 收汇超期","")&amp;IF(S284="已逾期"," 核算逾期","")&amp;IF(S284="临近截止"," 核算临近截止","")&amp;IF(LEFT(T284,1)="缺"," 单证"&amp;T284,"")&amp;IF(T284="未登记"," 单证未登记","")&amp;IF(AND(ISNUMBER(G284),N(G284)&lt;&gt;0)," 入仓差异"&amp;G284,""))," ","、")))</f>
        <v/>
      </c>
    </row>
    <row r="285" customFormat="false" ht="21.75" hidden="false" customHeight="true" outlineLevel="0" collapsed="false">
      <c r="A285" s="29" t="str">
        <f aca="false">IF(①出口报关!A282="","",①出口报关!A282)</f>
        <v/>
      </c>
      <c r="B285" s="29" t="str">
        <f aca="false">IF($A285="","",①出口报关!I282)</f>
        <v/>
      </c>
      <c r="C285" s="29" t="str">
        <f aca="false">IF($A285="","",①出口报关!J282)</f>
        <v/>
      </c>
      <c r="D285" s="30" t="str">
        <f aca="false">IF($A285="","",IF(①出口报关!D282="","",①出口报关!D282))</f>
        <v/>
      </c>
      <c r="E285" s="31" t="str">
        <f aca="false">IF($A285="","",N(①出口报关!L282))</f>
        <v/>
      </c>
      <c r="F285" s="31" t="str">
        <f aca="false">IF($A285="","",IF(①出口报关!Y282="","未签收",①出口报关!Y282))</f>
        <v/>
      </c>
      <c r="G285" s="32" t="str">
        <f aca="false">IF(OR($A285="",NOT(ISNUMBER(F285))),"",F285-E285)</f>
        <v/>
      </c>
      <c r="H285" s="31" t="str">
        <f aca="false">IF($A285="","",SUMIFS(②销售核销!$I$4:$I$603,②销售核销!$E$4:$E$603,$A285))</f>
        <v/>
      </c>
      <c r="I285" s="31" t="str">
        <f aca="false">IF($A285="","",SUMIFS(⑤库存异常!$E$4:$E$203,⑤库存异常!$B$4:$B$203,$A285))</f>
        <v/>
      </c>
      <c r="J285" s="31" t="str">
        <f aca="false">IF($A285="","",IF(ISNUMBER(F285),F285,E285)-H285-I285)</f>
        <v/>
      </c>
      <c r="K285" s="33" t="str">
        <f aca="false">IF(OR($A285="",N(E285)=0),"",H285/E285)</f>
        <v/>
      </c>
      <c r="L285" s="34" t="str">
        <f aca="false">IF($A285="","",SUMIFS(②销售核销!$L$4:$L$603,②销售核销!$E$4:$E$603,$A285))</f>
        <v/>
      </c>
      <c r="M285" s="34" t="str">
        <f aca="false">IF($A285="","",SUMIFS(②销售核销!$L$4:$L$603,②销售核销!$E$4:$E$603,$A285,②销售核销!$M$4:$M$603,"已收汇"))</f>
        <v/>
      </c>
      <c r="N285" s="30" t="str">
        <f aca="false">IF(ISNUMBER(D285),DATE(YEAR(D285)+1,4,30),"")</f>
        <v/>
      </c>
      <c r="O285" s="35" t="str">
        <f aca="true">IF($A285="","",IF(N(H285)=0,IF(AND(ISNUMBER(N285),TODAY()&gt;N285),"超过收汇期限仍未销售","尚未销售"),IF(ROUND(M285,2)&gt;=ROUND(L285,2),"已售部分已收汇",IF(AND(ISNUMBER(N285),TODAY()&gt;N285),"超期未收汇","有回款待收汇"))))</f>
        <v/>
      </c>
      <c r="P285" s="34" t="str">
        <f aca="false">IF($A285="","",SUMIFS(④退税核算!$H$4:$H$303,④退税核算!$A$4:$A$303,$A285))</f>
        <v/>
      </c>
      <c r="Q285" s="34" t="str">
        <f aca="false">IF($A285="","",SUMIFS(④退税核算!$H$4:$H$303,④退税核算!$A$4:$A$303,$A285,④退税核算!$D$4:$D$303,"未售-海外仓预退（HWC-YT）"))</f>
        <v/>
      </c>
      <c r="R285" s="30" t="str">
        <f aca="false">IF($A285="","",IF(COUNTIFS(④退税核算!$A$4:$A$303,$A285,④退税核算!$D$4:$D$303,"未售-海外仓预退（HWC-YT）",④退税核算!$I$4:$I$303,"&gt;0")=0,"",_xlfn.MINIFS(④退税核算!$J$4:$J$303,④退税核算!$A$4:$A$303,$A285,④退税核算!$D$4:$D$303,"未售-海外仓预退（HWC-YT）")))</f>
        <v/>
      </c>
      <c r="S285" s="35" t="str">
        <f aca="false">IF($A285="","",IF(COUNTIFS(④退税核算!$A$4:$A$303,$A285,④退税核算!$D$4:$D$303,"未售-海外仓预退（HWC-YT）")=0,"不涉及",IF(COUNTIFS(④退税核算!$A$4:$A$303,$A285,④退税核算!$S$4:$S$303,"已逾期*")&gt;0,"已逾期",IF(COUNTIFS(④退税核算!$A$4:$A$303,$A285,④退税核算!$S$4:$S$303,"临近*")&gt;0,"临近截止",IF(COUNTIFS(④退税核算!$A$4:$A$303,$A285,④退税核算!$S$4:$S$303,"待*")&gt;0,"待核算","已核算")))))</f>
        <v/>
      </c>
      <c r="T285" s="35" t="str">
        <f aca="false">IF($A285="","",IFERROR(INDEX(⑥单证留存!$P$4:$P$203,MATCH(①出口报关!B282,⑥单证留存!$A$4:$A$203,0)),"未登记"))</f>
        <v/>
      </c>
      <c r="U285" s="36" t="str">
        <f aca="false">IF($A285="","",IF(IF(OR(O285="超期未收汇",O285="超过收汇期限仍未销售")," 收汇超期","")&amp;IF(S285="已逾期"," 核算逾期","")&amp;IF(S285="临近截止"," 核算临近截止","")&amp;IF(LEFT(T285,1)="缺"," 单证"&amp;T285,"")&amp;IF(T285="未登记"," 单证未登记","")&amp;IF(AND(ISNUMBER(G285),N(G285)&lt;&gt;0)," 入仓差异"&amp;G285,"")="","正常",SUBSTITUTE(TRIM(IF(OR(O285="超期未收汇",O285="超过收汇期限仍未销售")," 收汇超期","")&amp;IF(S285="已逾期"," 核算逾期","")&amp;IF(S285="临近截止"," 核算临近截止","")&amp;IF(LEFT(T285,1)="缺"," 单证"&amp;T285,"")&amp;IF(T285="未登记"," 单证未登记","")&amp;IF(AND(ISNUMBER(G285),N(G285)&lt;&gt;0)," 入仓差异"&amp;G285,""))," ","、")))</f>
        <v/>
      </c>
    </row>
    <row r="286" customFormat="false" ht="21.75" hidden="false" customHeight="true" outlineLevel="0" collapsed="false">
      <c r="A286" s="29" t="str">
        <f aca="false">IF(①出口报关!A283="","",①出口报关!A283)</f>
        <v/>
      </c>
      <c r="B286" s="29" t="str">
        <f aca="false">IF($A286="","",①出口报关!I283)</f>
        <v/>
      </c>
      <c r="C286" s="29" t="str">
        <f aca="false">IF($A286="","",①出口报关!J283)</f>
        <v/>
      </c>
      <c r="D286" s="30" t="str">
        <f aca="false">IF($A286="","",IF(①出口报关!D283="","",①出口报关!D283))</f>
        <v/>
      </c>
      <c r="E286" s="31" t="str">
        <f aca="false">IF($A286="","",N(①出口报关!L283))</f>
        <v/>
      </c>
      <c r="F286" s="31" t="str">
        <f aca="false">IF($A286="","",IF(①出口报关!Y283="","未签收",①出口报关!Y283))</f>
        <v/>
      </c>
      <c r="G286" s="32" t="str">
        <f aca="false">IF(OR($A286="",NOT(ISNUMBER(F286))),"",F286-E286)</f>
        <v/>
      </c>
      <c r="H286" s="31" t="str">
        <f aca="false">IF($A286="","",SUMIFS(②销售核销!$I$4:$I$603,②销售核销!$E$4:$E$603,$A286))</f>
        <v/>
      </c>
      <c r="I286" s="31" t="str">
        <f aca="false">IF($A286="","",SUMIFS(⑤库存异常!$E$4:$E$203,⑤库存异常!$B$4:$B$203,$A286))</f>
        <v/>
      </c>
      <c r="J286" s="31" t="str">
        <f aca="false">IF($A286="","",IF(ISNUMBER(F286),F286,E286)-H286-I286)</f>
        <v/>
      </c>
      <c r="K286" s="33" t="str">
        <f aca="false">IF(OR($A286="",N(E286)=0),"",H286/E286)</f>
        <v/>
      </c>
      <c r="L286" s="34" t="str">
        <f aca="false">IF($A286="","",SUMIFS(②销售核销!$L$4:$L$603,②销售核销!$E$4:$E$603,$A286))</f>
        <v/>
      </c>
      <c r="M286" s="34" t="str">
        <f aca="false">IF($A286="","",SUMIFS(②销售核销!$L$4:$L$603,②销售核销!$E$4:$E$603,$A286,②销售核销!$M$4:$M$603,"已收汇"))</f>
        <v/>
      </c>
      <c r="N286" s="30" t="str">
        <f aca="false">IF(ISNUMBER(D286),DATE(YEAR(D286)+1,4,30),"")</f>
        <v/>
      </c>
      <c r="O286" s="35" t="str">
        <f aca="true">IF($A286="","",IF(N(H286)=0,IF(AND(ISNUMBER(N286),TODAY()&gt;N286),"超过收汇期限仍未销售","尚未销售"),IF(ROUND(M286,2)&gt;=ROUND(L286,2),"已售部分已收汇",IF(AND(ISNUMBER(N286),TODAY()&gt;N286),"超期未收汇","有回款待收汇"))))</f>
        <v/>
      </c>
      <c r="P286" s="34" t="str">
        <f aca="false">IF($A286="","",SUMIFS(④退税核算!$H$4:$H$303,④退税核算!$A$4:$A$303,$A286))</f>
        <v/>
      </c>
      <c r="Q286" s="34" t="str">
        <f aca="false">IF($A286="","",SUMIFS(④退税核算!$H$4:$H$303,④退税核算!$A$4:$A$303,$A286,④退税核算!$D$4:$D$303,"未售-海外仓预退（HWC-YT）"))</f>
        <v/>
      </c>
      <c r="R286" s="30" t="str">
        <f aca="false">IF($A286="","",IF(COUNTIFS(④退税核算!$A$4:$A$303,$A286,④退税核算!$D$4:$D$303,"未售-海外仓预退（HWC-YT）",④退税核算!$I$4:$I$303,"&gt;0")=0,"",_xlfn.MINIFS(④退税核算!$J$4:$J$303,④退税核算!$A$4:$A$303,$A286,④退税核算!$D$4:$D$303,"未售-海外仓预退（HWC-YT）")))</f>
        <v/>
      </c>
      <c r="S286" s="35" t="str">
        <f aca="false">IF($A286="","",IF(COUNTIFS(④退税核算!$A$4:$A$303,$A286,④退税核算!$D$4:$D$303,"未售-海外仓预退（HWC-YT）")=0,"不涉及",IF(COUNTIFS(④退税核算!$A$4:$A$303,$A286,④退税核算!$S$4:$S$303,"已逾期*")&gt;0,"已逾期",IF(COUNTIFS(④退税核算!$A$4:$A$303,$A286,④退税核算!$S$4:$S$303,"临近*")&gt;0,"临近截止",IF(COUNTIFS(④退税核算!$A$4:$A$303,$A286,④退税核算!$S$4:$S$303,"待*")&gt;0,"待核算","已核算")))))</f>
        <v/>
      </c>
      <c r="T286" s="35" t="str">
        <f aca="false">IF($A286="","",IFERROR(INDEX(⑥单证留存!$P$4:$P$203,MATCH(①出口报关!B283,⑥单证留存!$A$4:$A$203,0)),"未登记"))</f>
        <v/>
      </c>
      <c r="U286" s="36" t="str">
        <f aca="false">IF($A286="","",IF(IF(OR(O286="超期未收汇",O286="超过收汇期限仍未销售")," 收汇超期","")&amp;IF(S286="已逾期"," 核算逾期","")&amp;IF(S286="临近截止"," 核算临近截止","")&amp;IF(LEFT(T286,1)="缺"," 单证"&amp;T286,"")&amp;IF(T286="未登记"," 单证未登记","")&amp;IF(AND(ISNUMBER(G286),N(G286)&lt;&gt;0)," 入仓差异"&amp;G286,"")="","正常",SUBSTITUTE(TRIM(IF(OR(O286="超期未收汇",O286="超过收汇期限仍未销售")," 收汇超期","")&amp;IF(S286="已逾期"," 核算逾期","")&amp;IF(S286="临近截止"," 核算临近截止","")&amp;IF(LEFT(T286,1)="缺"," 单证"&amp;T286,"")&amp;IF(T286="未登记"," 单证未登记","")&amp;IF(AND(ISNUMBER(G286),N(G286)&lt;&gt;0)," 入仓差异"&amp;G286,""))," ","、")))</f>
        <v/>
      </c>
    </row>
    <row r="287" customFormat="false" ht="21.75" hidden="false" customHeight="true" outlineLevel="0" collapsed="false">
      <c r="A287" s="29" t="str">
        <f aca="false">IF(①出口报关!A284="","",①出口报关!A284)</f>
        <v/>
      </c>
      <c r="B287" s="29" t="str">
        <f aca="false">IF($A287="","",①出口报关!I284)</f>
        <v/>
      </c>
      <c r="C287" s="29" t="str">
        <f aca="false">IF($A287="","",①出口报关!J284)</f>
        <v/>
      </c>
      <c r="D287" s="30" t="str">
        <f aca="false">IF($A287="","",IF(①出口报关!D284="","",①出口报关!D284))</f>
        <v/>
      </c>
      <c r="E287" s="31" t="str">
        <f aca="false">IF($A287="","",N(①出口报关!L284))</f>
        <v/>
      </c>
      <c r="F287" s="31" t="str">
        <f aca="false">IF($A287="","",IF(①出口报关!Y284="","未签收",①出口报关!Y284))</f>
        <v/>
      </c>
      <c r="G287" s="32" t="str">
        <f aca="false">IF(OR($A287="",NOT(ISNUMBER(F287))),"",F287-E287)</f>
        <v/>
      </c>
      <c r="H287" s="31" t="str">
        <f aca="false">IF($A287="","",SUMIFS(②销售核销!$I$4:$I$603,②销售核销!$E$4:$E$603,$A287))</f>
        <v/>
      </c>
      <c r="I287" s="31" t="str">
        <f aca="false">IF($A287="","",SUMIFS(⑤库存异常!$E$4:$E$203,⑤库存异常!$B$4:$B$203,$A287))</f>
        <v/>
      </c>
      <c r="J287" s="31" t="str">
        <f aca="false">IF($A287="","",IF(ISNUMBER(F287),F287,E287)-H287-I287)</f>
        <v/>
      </c>
      <c r="K287" s="33" t="str">
        <f aca="false">IF(OR($A287="",N(E287)=0),"",H287/E287)</f>
        <v/>
      </c>
      <c r="L287" s="34" t="str">
        <f aca="false">IF($A287="","",SUMIFS(②销售核销!$L$4:$L$603,②销售核销!$E$4:$E$603,$A287))</f>
        <v/>
      </c>
      <c r="M287" s="34" t="str">
        <f aca="false">IF($A287="","",SUMIFS(②销售核销!$L$4:$L$603,②销售核销!$E$4:$E$603,$A287,②销售核销!$M$4:$M$603,"已收汇"))</f>
        <v/>
      </c>
      <c r="N287" s="30" t="str">
        <f aca="false">IF(ISNUMBER(D287),DATE(YEAR(D287)+1,4,30),"")</f>
        <v/>
      </c>
      <c r="O287" s="35" t="str">
        <f aca="true">IF($A287="","",IF(N(H287)=0,IF(AND(ISNUMBER(N287),TODAY()&gt;N287),"超过收汇期限仍未销售","尚未销售"),IF(ROUND(M287,2)&gt;=ROUND(L287,2),"已售部分已收汇",IF(AND(ISNUMBER(N287),TODAY()&gt;N287),"超期未收汇","有回款待收汇"))))</f>
        <v/>
      </c>
      <c r="P287" s="34" t="str">
        <f aca="false">IF($A287="","",SUMIFS(④退税核算!$H$4:$H$303,④退税核算!$A$4:$A$303,$A287))</f>
        <v/>
      </c>
      <c r="Q287" s="34" t="str">
        <f aca="false">IF($A287="","",SUMIFS(④退税核算!$H$4:$H$303,④退税核算!$A$4:$A$303,$A287,④退税核算!$D$4:$D$303,"未售-海外仓预退（HWC-YT）"))</f>
        <v/>
      </c>
      <c r="R287" s="30" t="str">
        <f aca="false">IF($A287="","",IF(COUNTIFS(④退税核算!$A$4:$A$303,$A287,④退税核算!$D$4:$D$303,"未售-海外仓预退（HWC-YT）",④退税核算!$I$4:$I$303,"&gt;0")=0,"",_xlfn.MINIFS(④退税核算!$J$4:$J$303,④退税核算!$A$4:$A$303,$A287,④退税核算!$D$4:$D$303,"未售-海外仓预退（HWC-YT）")))</f>
        <v/>
      </c>
      <c r="S287" s="35" t="str">
        <f aca="false">IF($A287="","",IF(COUNTIFS(④退税核算!$A$4:$A$303,$A287,④退税核算!$D$4:$D$303,"未售-海外仓预退（HWC-YT）")=0,"不涉及",IF(COUNTIFS(④退税核算!$A$4:$A$303,$A287,④退税核算!$S$4:$S$303,"已逾期*")&gt;0,"已逾期",IF(COUNTIFS(④退税核算!$A$4:$A$303,$A287,④退税核算!$S$4:$S$303,"临近*")&gt;0,"临近截止",IF(COUNTIFS(④退税核算!$A$4:$A$303,$A287,④退税核算!$S$4:$S$303,"待*")&gt;0,"待核算","已核算")))))</f>
        <v/>
      </c>
      <c r="T287" s="35" t="str">
        <f aca="false">IF($A287="","",IFERROR(INDEX(⑥单证留存!$P$4:$P$203,MATCH(①出口报关!B284,⑥单证留存!$A$4:$A$203,0)),"未登记"))</f>
        <v/>
      </c>
      <c r="U287" s="36" t="str">
        <f aca="false">IF($A287="","",IF(IF(OR(O287="超期未收汇",O287="超过收汇期限仍未销售")," 收汇超期","")&amp;IF(S287="已逾期"," 核算逾期","")&amp;IF(S287="临近截止"," 核算临近截止","")&amp;IF(LEFT(T287,1)="缺"," 单证"&amp;T287,"")&amp;IF(T287="未登记"," 单证未登记","")&amp;IF(AND(ISNUMBER(G287),N(G287)&lt;&gt;0)," 入仓差异"&amp;G287,"")="","正常",SUBSTITUTE(TRIM(IF(OR(O287="超期未收汇",O287="超过收汇期限仍未销售")," 收汇超期","")&amp;IF(S287="已逾期"," 核算逾期","")&amp;IF(S287="临近截止"," 核算临近截止","")&amp;IF(LEFT(T287,1)="缺"," 单证"&amp;T287,"")&amp;IF(T287="未登记"," 单证未登记","")&amp;IF(AND(ISNUMBER(G287),N(G287)&lt;&gt;0)," 入仓差异"&amp;G287,""))," ","、")))</f>
        <v/>
      </c>
    </row>
    <row r="288" customFormat="false" ht="21.75" hidden="false" customHeight="true" outlineLevel="0" collapsed="false">
      <c r="A288" s="29" t="str">
        <f aca="false">IF(①出口报关!A285="","",①出口报关!A285)</f>
        <v/>
      </c>
      <c r="B288" s="29" t="str">
        <f aca="false">IF($A288="","",①出口报关!I285)</f>
        <v/>
      </c>
      <c r="C288" s="29" t="str">
        <f aca="false">IF($A288="","",①出口报关!J285)</f>
        <v/>
      </c>
      <c r="D288" s="30" t="str">
        <f aca="false">IF($A288="","",IF(①出口报关!D285="","",①出口报关!D285))</f>
        <v/>
      </c>
      <c r="E288" s="31" t="str">
        <f aca="false">IF($A288="","",N(①出口报关!L285))</f>
        <v/>
      </c>
      <c r="F288" s="31" t="str">
        <f aca="false">IF($A288="","",IF(①出口报关!Y285="","未签收",①出口报关!Y285))</f>
        <v/>
      </c>
      <c r="G288" s="32" t="str">
        <f aca="false">IF(OR($A288="",NOT(ISNUMBER(F288))),"",F288-E288)</f>
        <v/>
      </c>
      <c r="H288" s="31" t="str">
        <f aca="false">IF($A288="","",SUMIFS(②销售核销!$I$4:$I$603,②销售核销!$E$4:$E$603,$A288))</f>
        <v/>
      </c>
      <c r="I288" s="31" t="str">
        <f aca="false">IF($A288="","",SUMIFS(⑤库存异常!$E$4:$E$203,⑤库存异常!$B$4:$B$203,$A288))</f>
        <v/>
      </c>
      <c r="J288" s="31" t="str">
        <f aca="false">IF($A288="","",IF(ISNUMBER(F288),F288,E288)-H288-I288)</f>
        <v/>
      </c>
      <c r="K288" s="33" t="str">
        <f aca="false">IF(OR($A288="",N(E288)=0),"",H288/E288)</f>
        <v/>
      </c>
      <c r="L288" s="34" t="str">
        <f aca="false">IF($A288="","",SUMIFS(②销售核销!$L$4:$L$603,②销售核销!$E$4:$E$603,$A288))</f>
        <v/>
      </c>
      <c r="M288" s="34" t="str">
        <f aca="false">IF($A288="","",SUMIFS(②销售核销!$L$4:$L$603,②销售核销!$E$4:$E$603,$A288,②销售核销!$M$4:$M$603,"已收汇"))</f>
        <v/>
      </c>
      <c r="N288" s="30" t="str">
        <f aca="false">IF(ISNUMBER(D288),DATE(YEAR(D288)+1,4,30),"")</f>
        <v/>
      </c>
      <c r="O288" s="35" t="str">
        <f aca="true">IF($A288="","",IF(N(H288)=0,IF(AND(ISNUMBER(N288),TODAY()&gt;N288),"超过收汇期限仍未销售","尚未销售"),IF(ROUND(M288,2)&gt;=ROUND(L288,2),"已售部分已收汇",IF(AND(ISNUMBER(N288),TODAY()&gt;N288),"超期未收汇","有回款待收汇"))))</f>
        <v/>
      </c>
      <c r="P288" s="34" t="str">
        <f aca="false">IF($A288="","",SUMIFS(④退税核算!$H$4:$H$303,④退税核算!$A$4:$A$303,$A288))</f>
        <v/>
      </c>
      <c r="Q288" s="34" t="str">
        <f aca="false">IF($A288="","",SUMIFS(④退税核算!$H$4:$H$303,④退税核算!$A$4:$A$303,$A288,④退税核算!$D$4:$D$303,"未售-海外仓预退（HWC-YT）"))</f>
        <v/>
      </c>
      <c r="R288" s="30" t="str">
        <f aca="false">IF($A288="","",IF(COUNTIFS(④退税核算!$A$4:$A$303,$A288,④退税核算!$D$4:$D$303,"未售-海外仓预退（HWC-YT）",④退税核算!$I$4:$I$303,"&gt;0")=0,"",_xlfn.MINIFS(④退税核算!$J$4:$J$303,④退税核算!$A$4:$A$303,$A288,④退税核算!$D$4:$D$303,"未售-海外仓预退（HWC-YT）")))</f>
        <v/>
      </c>
      <c r="S288" s="35" t="str">
        <f aca="false">IF($A288="","",IF(COUNTIFS(④退税核算!$A$4:$A$303,$A288,④退税核算!$D$4:$D$303,"未售-海外仓预退（HWC-YT）")=0,"不涉及",IF(COUNTIFS(④退税核算!$A$4:$A$303,$A288,④退税核算!$S$4:$S$303,"已逾期*")&gt;0,"已逾期",IF(COUNTIFS(④退税核算!$A$4:$A$303,$A288,④退税核算!$S$4:$S$303,"临近*")&gt;0,"临近截止",IF(COUNTIFS(④退税核算!$A$4:$A$303,$A288,④退税核算!$S$4:$S$303,"待*")&gt;0,"待核算","已核算")))))</f>
        <v/>
      </c>
      <c r="T288" s="35" t="str">
        <f aca="false">IF($A288="","",IFERROR(INDEX(⑥单证留存!$P$4:$P$203,MATCH(①出口报关!B285,⑥单证留存!$A$4:$A$203,0)),"未登记"))</f>
        <v/>
      </c>
      <c r="U288" s="36" t="str">
        <f aca="false">IF($A288="","",IF(IF(OR(O288="超期未收汇",O288="超过收汇期限仍未销售")," 收汇超期","")&amp;IF(S288="已逾期"," 核算逾期","")&amp;IF(S288="临近截止"," 核算临近截止","")&amp;IF(LEFT(T288,1)="缺"," 单证"&amp;T288,"")&amp;IF(T288="未登记"," 单证未登记","")&amp;IF(AND(ISNUMBER(G288),N(G288)&lt;&gt;0)," 入仓差异"&amp;G288,"")="","正常",SUBSTITUTE(TRIM(IF(OR(O288="超期未收汇",O288="超过收汇期限仍未销售")," 收汇超期","")&amp;IF(S288="已逾期"," 核算逾期","")&amp;IF(S288="临近截止"," 核算临近截止","")&amp;IF(LEFT(T288,1)="缺"," 单证"&amp;T288,"")&amp;IF(T288="未登记"," 单证未登记","")&amp;IF(AND(ISNUMBER(G288),N(G288)&lt;&gt;0)," 入仓差异"&amp;G288,""))," ","、")))</f>
        <v/>
      </c>
    </row>
    <row r="289" customFormat="false" ht="21.75" hidden="false" customHeight="true" outlineLevel="0" collapsed="false">
      <c r="A289" s="29" t="str">
        <f aca="false">IF(①出口报关!A286="","",①出口报关!A286)</f>
        <v/>
      </c>
      <c r="B289" s="29" t="str">
        <f aca="false">IF($A289="","",①出口报关!I286)</f>
        <v/>
      </c>
      <c r="C289" s="29" t="str">
        <f aca="false">IF($A289="","",①出口报关!J286)</f>
        <v/>
      </c>
      <c r="D289" s="30" t="str">
        <f aca="false">IF($A289="","",IF(①出口报关!D286="","",①出口报关!D286))</f>
        <v/>
      </c>
      <c r="E289" s="31" t="str">
        <f aca="false">IF($A289="","",N(①出口报关!L286))</f>
        <v/>
      </c>
      <c r="F289" s="31" t="str">
        <f aca="false">IF($A289="","",IF(①出口报关!Y286="","未签收",①出口报关!Y286))</f>
        <v/>
      </c>
      <c r="G289" s="32" t="str">
        <f aca="false">IF(OR($A289="",NOT(ISNUMBER(F289))),"",F289-E289)</f>
        <v/>
      </c>
      <c r="H289" s="31" t="str">
        <f aca="false">IF($A289="","",SUMIFS(②销售核销!$I$4:$I$603,②销售核销!$E$4:$E$603,$A289))</f>
        <v/>
      </c>
      <c r="I289" s="31" t="str">
        <f aca="false">IF($A289="","",SUMIFS(⑤库存异常!$E$4:$E$203,⑤库存异常!$B$4:$B$203,$A289))</f>
        <v/>
      </c>
      <c r="J289" s="31" t="str">
        <f aca="false">IF($A289="","",IF(ISNUMBER(F289),F289,E289)-H289-I289)</f>
        <v/>
      </c>
      <c r="K289" s="33" t="str">
        <f aca="false">IF(OR($A289="",N(E289)=0),"",H289/E289)</f>
        <v/>
      </c>
      <c r="L289" s="34" t="str">
        <f aca="false">IF($A289="","",SUMIFS(②销售核销!$L$4:$L$603,②销售核销!$E$4:$E$603,$A289))</f>
        <v/>
      </c>
      <c r="M289" s="34" t="str">
        <f aca="false">IF($A289="","",SUMIFS(②销售核销!$L$4:$L$603,②销售核销!$E$4:$E$603,$A289,②销售核销!$M$4:$M$603,"已收汇"))</f>
        <v/>
      </c>
      <c r="N289" s="30" t="str">
        <f aca="false">IF(ISNUMBER(D289),DATE(YEAR(D289)+1,4,30),"")</f>
        <v/>
      </c>
      <c r="O289" s="35" t="str">
        <f aca="true">IF($A289="","",IF(N(H289)=0,IF(AND(ISNUMBER(N289),TODAY()&gt;N289),"超过收汇期限仍未销售","尚未销售"),IF(ROUND(M289,2)&gt;=ROUND(L289,2),"已售部分已收汇",IF(AND(ISNUMBER(N289),TODAY()&gt;N289),"超期未收汇","有回款待收汇"))))</f>
        <v/>
      </c>
      <c r="P289" s="34" t="str">
        <f aca="false">IF($A289="","",SUMIFS(④退税核算!$H$4:$H$303,④退税核算!$A$4:$A$303,$A289))</f>
        <v/>
      </c>
      <c r="Q289" s="34" t="str">
        <f aca="false">IF($A289="","",SUMIFS(④退税核算!$H$4:$H$303,④退税核算!$A$4:$A$303,$A289,④退税核算!$D$4:$D$303,"未售-海外仓预退（HWC-YT）"))</f>
        <v/>
      </c>
      <c r="R289" s="30" t="str">
        <f aca="false">IF($A289="","",IF(COUNTIFS(④退税核算!$A$4:$A$303,$A289,④退税核算!$D$4:$D$303,"未售-海外仓预退（HWC-YT）",④退税核算!$I$4:$I$303,"&gt;0")=0,"",_xlfn.MINIFS(④退税核算!$J$4:$J$303,④退税核算!$A$4:$A$303,$A289,④退税核算!$D$4:$D$303,"未售-海外仓预退（HWC-YT）")))</f>
        <v/>
      </c>
      <c r="S289" s="35" t="str">
        <f aca="false">IF($A289="","",IF(COUNTIFS(④退税核算!$A$4:$A$303,$A289,④退税核算!$D$4:$D$303,"未售-海外仓预退（HWC-YT）")=0,"不涉及",IF(COUNTIFS(④退税核算!$A$4:$A$303,$A289,④退税核算!$S$4:$S$303,"已逾期*")&gt;0,"已逾期",IF(COUNTIFS(④退税核算!$A$4:$A$303,$A289,④退税核算!$S$4:$S$303,"临近*")&gt;0,"临近截止",IF(COUNTIFS(④退税核算!$A$4:$A$303,$A289,④退税核算!$S$4:$S$303,"待*")&gt;0,"待核算","已核算")))))</f>
        <v/>
      </c>
      <c r="T289" s="35" t="str">
        <f aca="false">IF($A289="","",IFERROR(INDEX(⑥单证留存!$P$4:$P$203,MATCH(①出口报关!B286,⑥单证留存!$A$4:$A$203,0)),"未登记"))</f>
        <v/>
      </c>
      <c r="U289" s="36" t="str">
        <f aca="false">IF($A289="","",IF(IF(OR(O289="超期未收汇",O289="超过收汇期限仍未销售")," 收汇超期","")&amp;IF(S289="已逾期"," 核算逾期","")&amp;IF(S289="临近截止"," 核算临近截止","")&amp;IF(LEFT(T289,1)="缺"," 单证"&amp;T289,"")&amp;IF(T289="未登记"," 单证未登记","")&amp;IF(AND(ISNUMBER(G289),N(G289)&lt;&gt;0)," 入仓差异"&amp;G289,"")="","正常",SUBSTITUTE(TRIM(IF(OR(O289="超期未收汇",O289="超过收汇期限仍未销售")," 收汇超期","")&amp;IF(S289="已逾期"," 核算逾期","")&amp;IF(S289="临近截止"," 核算临近截止","")&amp;IF(LEFT(T289,1)="缺"," 单证"&amp;T289,"")&amp;IF(T289="未登记"," 单证未登记","")&amp;IF(AND(ISNUMBER(G289),N(G289)&lt;&gt;0)," 入仓差异"&amp;G289,""))," ","、")))</f>
        <v/>
      </c>
    </row>
    <row r="290" customFormat="false" ht="21.75" hidden="false" customHeight="true" outlineLevel="0" collapsed="false">
      <c r="A290" s="29" t="str">
        <f aca="false">IF(①出口报关!A287="","",①出口报关!A287)</f>
        <v/>
      </c>
      <c r="B290" s="29" t="str">
        <f aca="false">IF($A290="","",①出口报关!I287)</f>
        <v/>
      </c>
      <c r="C290" s="29" t="str">
        <f aca="false">IF($A290="","",①出口报关!J287)</f>
        <v/>
      </c>
      <c r="D290" s="30" t="str">
        <f aca="false">IF($A290="","",IF(①出口报关!D287="","",①出口报关!D287))</f>
        <v/>
      </c>
      <c r="E290" s="31" t="str">
        <f aca="false">IF($A290="","",N(①出口报关!L287))</f>
        <v/>
      </c>
      <c r="F290" s="31" t="str">
        <f aca="false">IF($A290="","",IF(①出口报关!Y287="","未签收",①出口报关!Y287))</f>
        <v/>
      </c>
      <c r="G290" s="32" t="str">
        <f aca="false">IF(OR($A290="",NOT(ISNUMBER(F290))),"",F290-E290)</f>
        <v/>
      </c>
      <c r="H290" s="31" t="str">
        <f aca="false">IF($A290="","",SUMIFS(②销售核销!$I$4:$I$603,②销售核销!$E$4:$E$603,$A290))</f>
        <v/>
      </c>
      <c r="I290" s="31" t="str">
        <f aca="false">IF($A290="","",SUMIFS(⑤库存异常!$E$4:$E$203,⑤库存异常!$B$4:$B$203,$A290))</f>
        <v/>
      </c>
      <c r="J290" s="31" t="str">
        <f aca="false">IF($A290="","",IF(ISNUMBER(F290),F290,E290)-H290-I290)</f>
        <v/>
      </c>
      <c r="K290" s="33" t="str">
        <f aca="false">IF(OR($A290="",N(E290)=0),"",H290/E290)</f>
        <v/>
      </c>
      <c r="L290" s="34" t="str">
        <f aca="false">IF($A290="","",SUMIFS(②销售核销!$L$4:$L$603,②销售核销!$E$4:$E$603,$A290))</f>
        <v/>
      </c>
      <c r="M290" s="34" t="str">
        <f aca="false">IF($A290="","",SUMIFS(②销售核销!$L$4:$L$603,②销售核销!$E$4:$E$603,$A290,②销售核销!$M$4:$M$603,"已收汇"))</f>
        <v/>
      </c>
      <c r="N290" s="30" t="str">
        <f aca="false">IF(ISNUMBER(D290),DATE(YEAR(D290)+1,4,30),"")</f>
        <v/>
      </c>
      <c r="O290" s="35" t="str">
        <f aca="true">IF($A290="","",IF(N(H290)=0,IF(AND(ISNUMBER(N290),TODAY()&gt;N290),"超过收汇期限仍未销售","尚未销售"),IF(ROUND(M290,2)&gt;=ROUND(L290,2),"已售部分已收汇",IF(AND(ISNUMBER(N290),TODAY()&gt;N290),"超期未收汇","有回款待收汇"))))</f>
        <v/>
      </c>
      <c r="P290" s="34" t="str">
        <f aca="false">IF($A290="","",SUMIFS(④退税核算!$H$4:$H$303,④退税核算!$A$4:$A$303,$A290))</f>
        <v/>
      </c>
      <c r="Q290" s="34" t="str">
        <f aca="false">IF($A290="","",SUMIFS(④退税核算!$H$4:$H$303,④退税核算!$A$4:$A$303,$A290,④退税核算!$D$4:$D$303,"未售-海外仓预退（HWC-YT）"))</f>
        <v/>
      </c>
      <c r="R290" s="30" t="str">
        <f aca="false">IF($A290="","",IF(COUNTIFS(④退税核算!$A$4:$A$303,$A290,④退税核算!$D$4:$D$303,"未售-海外仓预退（HWC-YT）",④退税核算!$I$4:$I$303,"&gt;0")=0,"",_xlfn.MINIFS(④退税核算!$J$4:$J$303,④退税核算!$A$4:$A$303,$A290,④退税核算!$D$4:$D$303,"未售-海外仓预退（HWC-YT）")))</f>
        <v/>
      </c>
      <c r="S290" s="35" t="str">
        <f aca="false">IF($A290="","",IF(COUNTIFS(④退税核算!$A$4:$A$303,$A290,④退税核算!$D$4:$D$303,"未售-海外仓预退（HWC-YT）")=0,"不涉及",IF(COUNTIFS(④退税核算!$A$4:$A$303,$A290,④退税核算!$S$4:$S$303,"已逾期*")&gt;0,"已逾期",IF(COUNTIFS(④退税核算!$A$4:$A$303,$A290,④退税核算!$S$4:$S$303,"临近*")&gt;0,"临近截止",IF(COUNTIFS(④退税核算!$A$4:$A$303,$A290,④退税核算!$S$4:$S$303,"待*")&gt;0,"待核算","已核算")))))</f>
        <v/>
      </c>
      <c r="T290" s="35" t="str">
        <f aca="false">IF($A290="","",IFERROR(INDEX(⑥单证留存!$P$4:$P$203,MATCH(①出口报关!B287,⑥单证留存!$A$4:$A$203,0)),"未登记"))</f>
        <v/>
      </c>
      <c r="U290" s="36" t="str">
        <f aca="false">IF($A290="","",IF(IF(OR(O290="超期未收汇",O290="超过收汇期限仍未销售")," 收汇超期","")&amp;IF(S290="已逾期"," 核算逾期","")&amp;IF(S290="临近截止"," 核算临近截止","")&amp;IF(LEFT(T290,1)="缺"," 单证"&amp;T290,"")&amp;IF(T290="未登记"," 单证未登记","")&amp;IF(AND(ISNUMBER(G290),N(G290)&lt;&gt;0)," 入仓差异"&amp;G290,"")="","正常",SUBSTITUTE(TRIM(IF(OR(O290="超期未收汇",O290="超过收汇期限仍未销售")," 收汇超期","")&amp;IF(S290="已逾期"," 核算逾期","")&amp;IF(S290="临近截止"," 核算临近截止","")&amp;IF(LEFT(T290,1)="缺"," 单证"&amp;T290,"")&amp;IF(T290="未登记"," 单证未登记","")&amp;IF(AND(ISNUMBER(G290),N(G290)&lt;&gt;0)," 入仓差异"&amp;G290,""))," ","、")))</f>
        <v/>
      </c>
    </row>
    <row r="291" customFormat="false" ht="21.75" hidden="false" customHeight="true" outlineLevel="0" collapsed="false">
      <c r="A291" s="29" t="str">
        <f aca="false">IF(①出口报关!A288="","",①出口报关!A288)</f>
        <v/>
      </c>
      <c r="B291" s="29" t="str">
        <f aca="false">IF($A291="","",①出口报关!I288)</f>
        <v/>
      </c>
      <c r="C291" s="29" t="str">
        <f aca="false">IF($A291="","",①出口报关!J288)</f>
        <v/>
      </c>
      <c r="D291" s="30" t="str">
        <f aca="false">IF($A291="","",IF(①出口报关!D288="","",①出口报关!D288))</f>
        <v/>
      </c>
      <c r="E291" s="31" t="str">
        <f aca="false">IF($A291="","",N(①出口报关!L288))</f>
        <v/>
      </c>
      <c r="F291" s="31" t="str">
        <f aca="false">IF($A291="","",IF(①出口报关!Y288="","未签收",①出口报关!Y288))</f>
        <v/>
      </c>
      <c r="G291" s="32" t="str">
        <f aca="false">IF(OR($A291="",NOT(ISNUMBER(F291))),"",F291-E291)</f>
        <v/>
      </c>
      <c r="H291" s="31" t="str">
        <f aca="false">IF($A291="","",SUMIFS(②销售核销!$I$4:$I$603,②销售核销!$E$4:$E$603,$A291))</f>
        <v/>
      </c>
      <c r="I291" s="31" t="str">
        <f aca="false">IF($A291="","",SUMIFS(⑤库存异常!$E$4:$E$203,⑤库存异常!$B$4:$B$203,$A291))</f>
        <v/>
      </c>
      <c r="J291" s="31" t="str">
        <f aca="false">IF($A291="","",IF(ISNUMBER(F291),F291,E291)-H291-I291)</f>
        <v/>
      </c>
      <c r="K291" s="33" t="str">
        <f aca="false">IF(OR($A291="",N(E291)=0),"",H291/E291)</f>
        <v/>
      </c>
      <c r="L291" s="34" t="str">
        <f aca="false">IF($A291="","",SUMIFS(②销售核销!$L$4:$L$603,②销售核销!$E$4:$E$603,$A291))</f>
        <v/>
      </c>
      <c r="M291" s="34" t="str">
        <f aca="false">IF($A291="","",SUMIFS(②销售核销!$L$4:$L$603,②销售核销!$E$4:$E$603,$A291,②销售核销!$M$4:$M$603,"已收汇"))</f>
        <v/>
      </c>
      <c r="N291" s="30" t="str">
        <f aca="false">IF(ISNUMBER(D291),DATE(YEAR(D291)+1,4,30),"")</f>
        <v/>
      </c>
      <c r="O291" s="35" t="str">
        <f aca="true">IF($A291="","",IF(N(H291)=0,IF(AND(ISNUMBER(N291),TODAY()&gt;N291),"超过收汇期限仍未销售","尚未销售"),IF(ROUND(M291,2)&gt;=ROUND(L291,2),"已售部分已收汇",IF(AND(ISNUMBER(N291),TODAY()&gt;N291),"超期未收汇","有回款待收汇"))))</f>
        <v/>
      </c>
      <c r="P291" s="34" t="str">
        <f aca="false">IF($A291="","",SUMIFS(④退税核算!$H$4:$H$303,④退税核算!$A$4:$A$303,$A291))</f>
        <v/>
      </c>
      <c r="Q291" s="34" t="str">
        <f aca="false">IF($A291="","",SUMIFS(④退税核算!$H$4:$H$303,④退税核算!$A$4:$A$303,$A291,④退税核算!$D$4:$D$303,"未售-海外仓预退（HWC-YT）"))</f>
        <v/>
      </c>
      <c r="R291" s="30" t="str">
        <f aca="false">IF($A291="","",IF(COUNTIFS(④退税核算!$A$4:$A$303,$A291,④退税核算!$D$4:$D$303,"未售-海外仓预退（HWC-YT）",④退税核算!$I$4:$I$303,"&gt;0")=0,"",_xlfn.MINIFS(④退税核算!$J$4:$J$303,④退税核算!$A$4:$A$303,$A291,④退税核算!$D$4:$D$303,"未售-海外仓预退（HWC-YT）")))</f>
        <v/>
      </c>
      <c r="S291" s="35" t="str">
        <f aca="false">IF($A291="","",IF(COUNTIFS(④退税核算!$A$4:$A$303,$A291,④退税核算!$D$4:$D$303,"未售-海外仓预退（HWC-YT）")=0,"不涉及",IF(COUNTIFS(④退税核算!$A$4:$A$303,$A291,④退税核算!$S$4:$S$303,"已逾期*")&gt;0,"已逾期",IF(COUNTIFS(④退税核算!$A$4:$A$303,$A291,④退税核算!$S$4:$S$303,"临近*")&gt;0,"临近截止",IF(COUNTIFS(④退税核算!$A$4:$A$303,$A291,④退税核算!$S$4:$S$303,"待*")&gt;0,"待核算","已核算")))))</f>
        <v/>
      </c>
      <c r="T291" s="35" t="str">
        <f aca="false">IF($A291="","",IFERROR(INDEX(⑥单证留存!$P$4:$P$203,MATCH(①出口报关!B288,⑥单证留存!$A$4:$A$203,0)),"未登记"))</f>
        <v/>
      </c>
      <c r="U291" s="36" t="str">
        <f aca="false">IF($A291="","",IF(IF(OR(O291="超期未收汇",O291="超过收汇期限仍未销售")," 收汇超期","")&amp;IF(S291="已逾期"," 核算逾期","")&amp;IF(S291="临近截止"," 核算临近截止","")&amp;IF(LEFT(T291,1)="缺"," 单证"&amp;T291,"")&amp;IF(T291="未登记"," 单证未登记","")&amp;IF(AND(ISNUMBER(G291),N(G291)&lt;&gt;0)," 入仓差异"&amp;G291,"")="","正常",SUBSTITUTE(TRIM(IF(OR(O291="超期未收汇",O291="超过收汇期限仍未销售")," 收汇超期","")&amp;IF(S291="已逾期"," 核算逾期","")&amp;IF(S291="临近截止"," 核算临近截止","")&amp;IF(LEFT(T291,1)="缺"," 单证"&amp;T291,"")&amp;IF(T291="未登记"," 单证未登记","")&amp;IF(AND(ISNUMBER(G291),N(G291)&lt;&gt;0)," 入仓差异"&amp;G291,""))," ","、")))</f>
        <v/>
      </c>
    </row>
    <row r="292" customFormat="false" ht="21.75" hidden="false" customHeight="true" outlineLevel="0" collapsed="false">
      <c r="A292" s="29" t="str">
        <f aca="false">IF(①出口报关!A289="","",①出口报关!A289)</f>
        <v/>
      </c>
      <c r="B292" s="29" t="str">
        <f aca="false">IF($A292="","",①出口报关!I289)</f>
        <v/>
      </c>
      <c r="C292" s="29" t="str">
        <f aca="false">IF($A292="","",①出口报关!J289)</f>
        <v/>
      </c>
      <c r="D292" s="30" t="str">
        <f aca="false">IF($A292="","",IF(①出口报关!D289="","",①出口报关!D289))</f>
        <v/>
      </c>
      <c r="E292" s="31" t="str">
        <f aca="false">IF($A292="","",N(①出口报关!L289))</f>
        <v/>
      </c>
      <c r="F292" s="31" t="str">
        <f aca="false">IF($A292="","",IF(①出口报关!Y289="","未签收",①出口报关!Y289))</f>
        <v/>
      </c>
      <c r="G292" s="32" t="str">
        <f aca="false">IF(OR($A292="",NOT(ISNUMBER(F292))),"",F292-E292)</f>
        <v/>
      </c>
      <c r="H292" s="31" t="str">
        <f aca="false">IF($A292="","",SUMIFS(②销售核销!$I$4:$I$603,②销售核销!$E$4:$E$603,$A292))</f>
        <v/>
      </c>
      <c r="I292" s="31" t="str">
        <f aca="false">IF($A292="","",SUMIFS(⑤库存异常!$E$4:$E$203,⑤库存异常!$B$4:$B$203,$A292))</f>
        <v/>
      </c>
      <c r="J292" s="31" t="str">
        <f aca="false">IF($A292="","",IF(ISNUMBER(F292),F292,E292)-H292-I292)</f>
        <v/>
      </c>
      <c r="K292" s="33" t="str">
        <f aca="false">IF(OR($A292="",N(E292)=0),"",H292/E292)</f>
        <v/>
      </c>
      <c r="L292" s="34" t="str">
        <f aca="false">IF($A292="","",SUMIFS(②销售核销!$L$4:$L$603,②销售核销!$E$4:$E$603,$A292))</f>
        <v/>
      </c>
      <c r="M292" s="34" t="str">
        <f aca="false">IF($A292="","",SUMIFS(②销售核销!$L$4:$L$603,②销售核销!$E$4:$E$603,$A292,②销售核销!$M$4:$M$603,"已收汇"))</f>
        <v/>
      </c>
      <c r="N292" s="30" t="str">
        <f aca="false">IF(ISNUMBER(D292),DATE(YEAR(D292)+1,4,30),"")</f>
        <v/>
      </c>
      <c r="O292" s="35" t="str">
        <f aca="true">IF($A292="","",IF(N(H292)=0,IF(AND(ISNUMBER(N292),TODAY()&gt;N292),"超过收汇期限仍未销售","尚未销售"),IF(ROUND(M292,2)&gt;=ROUND(L292,2),"已售部分已收汇",IF(AND(ISNUMBER(N292),TODAY()&gt;N292),"超期未收汇","有回款待收汇"))))</f>
        <v/>
      </c>
      <c r="P292" s="34" t="str">
        <f aca="false">IF($A292="","",SUMIFS(④退税核算!$H$4:$H$303,④退税核算!$A$4:$A$303,$A292))</f>
        <v/>
      </c>
      <c r="Q292" s="34" t="str">
        <f aca="false">IF($A292="","",SUMIFS(④退税核算!$H$4:$H$303,④退税核算!$A$4:$A$303,$A292,④退税核算!$D$4:$D$303,"未售-海外仓预退（HWC-YT）"))</f>
        <v/>
      </c>
      <c r="R292" s="30" t="str">
        <f aca="false">IF($A292="","",IF(COUNTIFS(④退税核算!$A$4:$A$303,$A292,④退税核算!$D$4:$D$303,"未售-海外仓预退（HWC-YT）",④退税核算!$I$4:$I$303,"&gt;0")=0,"",_xlfn.MINIFS(④退税核算!$J$4:$J$303,④退税核算!$A$4:$A$303,$A292,④退税核算!$D$4:$D$303,"未售-海外仓预退（HWC-YT）")))</f>
        <v/>
      </c>
      <c r="S292" s="35" t="str">
        <f aca="false">IF($A292="","",IF(COUNTIFS(④退税核算!$A$4:$A$303,$A292,④退税核算!$D$4:$D$303,"未售-海外仓预退（HWC-YT）")=0,"不涉及",IF(COUNTIFS(④退税核算!$A$4:$A$303,$A292,④退税核算!$S$4:$S$303,"已逾期*")&gt;0,"已逾期",IF(COUNTIFS(④退税核算!$A$4:$A$303,$A292,④退税核算!$S$4:$S$303,"临近*")&gt;0,"临近截止",IF(COUNTIFS(④退税核算!$A$4:$A$303,$A292,④退税核算!$S$4:$S$303,"待*")&gt;0,"待核算","已核算")))))</f>
        <v/>
      </c>
      <c r="T292" s="35" t="str">
        <f aca="false">IF($A292="","",IFERROR(INDEX(⑥单证留存!$P$4:$P$203,MATCH(①出口报关!B289,⑥单证留存!$A$4:$A$203,0)),"未登记"))</f>
        <v/>
      </c>
      <c r="U292" s="36" t="str">
        <f aca="false">IF($A292="","",IF(IF(OR(O292="超期未收汇",O292="超过收汇期限仍未销售")," 收汇超期","")&amp;IF(S292="已逾期"," 核算逾期","")&amp;IF(S292="临近截止"," 核算临近截止","")&amp;IF(LEFT(T292,1)="缺"," 单证"&amp;T292,"")&amp;IF(T292="未登记"," 单证未登记","")&amp;IF(AND(ISNUMBER(G292),N(G292)&lt;&gt;0)," 入仓差异"&amp;G292,"")="","正常",SUBSTITUTE(TRIM(IF(OR(O292="超期未收汇",O292="超过收汇期限仍未销售")," 收汇超期","")&amp;IF(S292="已逾期"," 核算逾期","")&amp;IF(S292="临近截止"," 核算临近截止","")&amp;IF(LEFT(T292,1)="缺"," 单证"&amp;T292,"")&amp;IF(T292="未登记"," 单证未登记","")&amp;IF(AND(ISNUMBER(G292),N(G292)&lt;&gt;0)," 入仓差异"&amp;G292,""))," ","、")))</f>
        <v/>
      </c>
    </row>
    <row r="293" customFormat="false" ht="21.75" hidden="false" customHeight="true" outlineLevel="0" collapsed="false">
      <c r="A293" s="29" t="str">
        <f aca="false">IF(①出口报关!A290="","",①出口报关!A290)</f>
        <v/>
      </c>
      <c r="B293" s="29" t="str">
        <f aca="false">IF($A293="","",①出口报关!I290)</f>
        <v/>
      </c>
      <c r="C293" s="29" t="str">
        <f aca="false">IF($A293="","",①出口报关!J290)</f>
        <v/>
      </c>
      <c r="D293" s="30" t="str">
        <f aca="false">IF($A293="","",IF(①出口报关!D290="","",①出口报关!D290))</f>
        <v/>
      </c>
      <c r="E293" s="31" t="str">
        <f aca="false">IF($A293="","",N(①出口报关!L290))</f>
        <v/>
      </c>
      <c r="F293" s="31" t="str">
        <f aca="false">IF($A293="","",IF(①出口报关!Y290="","未签收",①出口报关!Y290))</f>
        <v/>
      </c>
      <c r="G293" s="32" t="str">
        <f aca="false">IF(OR($A293="",NOT(ISNUMBER(F293))),"",F293-E293)</f>
        <v/>
      </c>
      <c r="H293" s="31" t="str">
        <f aca="false">IF($A293="","",SUMIFS(②销售核销!$I$4:$I$603,②销售核销!$E$4:$E$603,$A293))</f>
        <v/>
      </c>
      <c r="I293" s="31" t="str">
        <f aca="false">IF($A293="","",SUMIFS(⑤库存异常!$E$4:$E$203,⑤库存异常!$B$4:$B$203,$A293))</f>
        <v/>
      </c>
      <c r="J293" s="31" t="str">
        <f aca="false">IF($A293="","",IF(ISNUMBER(F293),F293,E293)-H293-I293)</f>
        <v/>
      </c>
      <c r="K293" s="33" t="str">
        <f aca="false">IF(OR($A293="",N(E293)=0),"",H293/E293)</f>
        <v/>
      </c>
      <c r="L293" s="34" t="str">
        <f aca="false">IF($A293="","",SUMIFS(②销售核销!$L$4:$L$603,②销售核销!$E$4:$E$603,$A293))</f>
        <v/>
      </c>
      <c r="M293" s="34" t="str">
        <f aca="false">IF($A293="","",SUMIFS(②销售核销!$L$4:$L$603,②销售核销!$E$4:$E$603,$A293,②销售核销!$M$4:$M$603,"已收汇"))</f>
        <v/>
      </c>
      <c r="N293" s="30" t="str">
        <f aca="false">IF(ISNUMBER(D293),DATE(YEAR(D293)+1,4,30),"")</f>
        <v/>
      </c>
      <c r="O293" s="35" t="str">
        <f aca="true">IF($A293="","",IF(N(H293)=0,IF(AND(ISNUMBER(N293),TODAY()&gt;N293),"超过收汇期限仍未销售","尚未销售"),IF(ROUND(M293,2)&gt;=ROUND(L293,2),"已售部分已收汇",IF(AND(ISNUMBER(N293),TODAY()&gt;N293),"超期未收汇","有回款待收汇"))))</f>
        <v/>
      </c>
      <c r="P293" s="34" t="str">
        <f aca="false">IF($A293="","",SUMIFS(④退税核算!$H$4:$H$303,④退税核算!$A$4:$A$303,$A293))</f>
        <v/>
      </c>
      <c r="Q293" s="34" t="str">
        <f aca="false">IF($A293="","",SUMIFS(④退税核算!$H$4:$H$303,④退税核算!$A$4:$A$303,$A293,④退税核算!$D$4:$D$303,"未售-海外仓预退（HWC-YT）"))</f>
        <v/>
      </c>
      <c r="R293" s="30" t="str">
        <f aca="false">IF($A293="","",IF(COUNTIFS(④退税核算!$A$4:$A$303,$A293,④退税核算!$D$4:$D$303,"未售-海外仓预退（HWC-YT）",④退税核算!$I$4:$I$303,"&gt;0")=0,"",_xlfn.MINIFS(④退税核算!$J$4:$J$303,④退税核算!$A$4:$A$303,$A293,④退税核算!$D$4:$D$303,"未售-海外仓预退（HWC-YT）")))</f>
        <v/>
      </c>
      <c r="S293" s="35" t="str">
        <f aca="false">IF($A293="","",IF(COUNTIFS(④退税核算!$A$4:$A$303,$A293,④退税核算!$D$4:$D$303,"未售-海外仓预退（HWC-YT）")=0,"不涉及",IF(COUNTIFS(④退税核算!$A$4:$A$303,$A293,④退税核算!$S$4:$S$303,"已逾期*")&gt;0,"已逾期",IF(COUNTIFS(④退税核算!$A$4:$A$303,$A293,④退税核算!$S$4:$S$303,"临近*")&gt;0,"临近截止",IF(COUNTIFS(④退税核算!$A$4:$A$303,$A293,④退税核算!$S$4:$S$303,"待*")&gt;0,"待核算","已核算")))))</f>
        <v/>
      </c>
      <c r="T293" s="35" t="str">
        <f aca="false">IF($A293="","",IFERROR(INDEX(⑥单证留存!$P$4:$P$203,MATCH(①出口报关!B290,⑥单证留存!$A$4:$A$203,0)),"未登记"))</f>
        <v/>
      </c>
      <c r="U293" s="36" t="str">
        <f aca="false">IF($A293="","",IF(IF(OR(O293="超期未收汇",O293="超过收汇期限仍未销售")," 收汇超期","")&amp;IF(S293="已逾期"," 核算逾期","")&amp;IF(S293="临近截止"," 核算临近截止","")&amp;IF(LEFT(T293,1)="缺"," 单证"&amp;T293,"")&amp;IF(T293="未登记"," 单证未登记","")&amp;IF(AND(ISNUMBER(G293),N(G293)&lt;&gt;0)," 入仓差异"&amp;G293,"")="","正常",SUBSTITUTE(TRIM(IF(OR(O293="超期未收汇",O293="超过收汇期限仍未销售")," 收汇超期","")&amp;IF(S293="已逾期"," 核算逾期","")&amp;IF(S293="临近截止"," 核算临近截止","")&amp;IF(LEFT(T293,1)="缺"," 单证"&amp;T293,"")&amp;IF(T293="未登记"," 单证未登记","")&amp;IF(AND(ISNUMBER(G293),N(G293)&lt;&gt;0)," 入仓差异"&amp;G293,""))," ","、")))</f>
        <v/>
      </c>
    </row>
    <row r="294" customFormat="false" ht="21.75" hidden="false" customHeight="true" outlineLevel="0" collapsed="false">
      <c r="A294" s="29" t="str">
        <f aca="false">IF(①出口报关!A291="","",①出口报关!A291)</f>
        <v/>
      </c>
      <c r="B294" s="29" t="str">
        <f aca="false">IF($A294="","",①出口报关!I291)</f>
        <v/>
      </c>
      <c r="C294" s="29" t="str">
        <f aca="false">IF($A294="","",①出口报关!J291)</f>
        <v/>
      </c>
      <c r="D294" s="30" t="str">
        <f aca="false">IF($A294="","",IF(①出口报关!D291="","",①出口报关!D291))</f>
        <v/>
      </c>
      <c r="E294" s="31" t="str">
        <f aca="false">IF($A294="","",N(①出口报关!L291))</f>
        <v/>
      </c>
      <c r="F294" s="31" t="str">
        <f aca="false">IF($A294="","",IF(①出口报关!Y291="","未签收",①出口报关!Y291))</f>
        <v/>
      </c>
      <c r="G294" s="32" t="str">
        <f aca="false">IF(OR($A294="",NOT(ISNUMBER(F294))),"",F294-E294)</f>
        <v/>
      </c>
      <c r="H294" s="31" t="str">
        <f aca="false">IF($A294="","",SUMIFS(②销售核销!$I$4:$I$603,②销售核销!$E$4:$E$603,$A294))</f>
        <v/>
      </c>
      <c r="I294" s="31" t="str">
        <f aca="false">IF($A294="","",SUMIFS(⑤库存异常!$E$4:$E$203,⑤库存异常!$B$4:$B$203,$A294))</f>
        <v/>
      </c>
      <c r="J294" s="31" t="str">
        <f aca="false">IF($A294="","",IF(ISNUMBER(F294),F294,E294)-H294-I294)</f>
        <v/>
      </c>
      <c r="K294" s="33" t="str">
        <f aca="false">IF(OR($A294="",N(E294)=0),"",H294/E294)</f>
        <v/>
      </c>
      <c r="L294" s="34" t="str">
        <f aca="false">IF($A294="","",SUMIFS(②销售核销!$L$4:$L$603,②销售核销!$E$4:$E$603,$A294))</f>
        <v/>
      </c>
      <c r="M294" s="34" t="str">
        <f aca="false">IF($A294="","",SUMIFS(②销售核销!$L$4:$L$603,②销售核销!$E$4:$E$603,$A294,②销售核销!$M$4:$M$603,"已收汇"))</f>
        <v/>
      </c>
      <c r="N294" s="30" t="str">
        <f aca="false">IF(ISNUMBER(D294),DATE(YEAR(D294)+1,4,30),"")</f>
        <v/>
      </c>
      <c r="O294" s="35" t="str">
        <f aca="true">IF($A294="","",IF(N(H294)=0,IF(AND(ISNUMBER(N294),TODAY()&gt;N294),"超过收汇期限仍未销售","尚未销售"),IF(ROUND(M294,2)&gt;=ROUND(L294,2),"已售部分已收汇",IF(AND(ISNUMBER(N294),TODAY()&gt;N294),"超期未收汇","有回款待收汇"))))</f>
        <v/>
      </c>
      <c r="P294" s="34" t="str">
        <f aca="false">IF($A294="","",SUMIFS(④退税核算!$H$4:$H$303,④退税核算!$A$4:$A$303,$A294))</f>
        <v/>
      </c>
      <c r="Q294" s="34" t="str">
        <f aca="false">IF($A294="","",SUMIFS(④退税核算!$H$4:$H$303,④退税核算!$A$4:$A$303,$A294,④退税核算!$D$4:$D$303,"未售-海外仓预退（HWC-YT）"))</f>
        <v/>
      </c>
      <c r="R294" s="30" t="str">
        <f aca="false">IF($A294="","",IF(COUNTIFS(④退税核算!$A$4:$A$303,$A294,④退税核算!$D$4:$D$303,"未售-海外仓预退（HWC-YT）",④退税核算!$I$4:$I$303,"&gt;0")=0,"",_xlfn.MINIFS(④退税核算!$J$4:$J$303,④退税核算!$A$4:$A$303,$A294,④退税核算!$D$4:$D$303,"未售-海外仓预退（HWC-YT）")))</f>
        <v/>
      </c>
      <c r="S294" s="35" t="str">
        <f aca="false">IF($A294="","",IF(COUNTIFS(④退税核算!$A$4:$A$303,$A294,④退税核算!$D$4:$D$303,"未售-海外仓预退（HWC-YT）")=0,"不涉及",IF(COUNTIFS(④退税核算!$A$4:$A$303,$A294,④退税核算!$S$4:$S$303,"已逾期*")&gt;0,"已逾期",IF(COUNTIFS(④退税核算!$A$4:$A$303,$A294,④退税核算!$S$4:$S$303,"临近*")&gt;0,"临近截止",IF(COUNTIFS(④退税核算!$A$4:$A$303,$A294,④退税核算!$S$4:$S$303,"待*")&gt;0,"待核算","已核算")))))</f>
        <v/>
      </c>
      <c r="T294" s="35" t="str">
        <f aca="false">IF($A294="","",IFERROR(INDEX(⑥单证留存!$P$4:$P$203,MATCH(①出口报关!B291,⑥单证留存!$A$4:$A$203,0)),"未登记"))</f>
        <v/>
      </c>
      <c r="U294" s="36" t="str">
        <f aca="false">IF($A294="","",IF(IF(OR(O294="超期未收汇",O294="超过收汇期限仍未销售")," 收汇超期","")&amp;IF(S294="已逾期"," 核算逾期","")&amp;IF(S294="临近截止"," 核算临近截止","")&amp;IF(LEFT(T294,1)="缺"," 单证"&amp;T294,"")&amp;IF(T294="未登记"," 单证未登记","")&amp;IF(AND(ISNUMBER(G294),N(G294)&lt;&gt;0)," 入仓差异"&amp;G294,"")="","正常",SUBSTITUTE(TRIM(IF(OR(O294="超期未收汇",O294="超过收汇期限仍未销售")," 收汇超期","")&amp;IF(S294="已逾期"," 核算逾期","")&amp;IF(S294="临近截止"," 核算临近截止","")&amp;IF(LEFT(T294,1)="缺"," 单证"&amp;T294,"")&amp;IF(T294="未登记"," 单证未登记","")&amp;IF(AND(ISNUMBER(G294),N(G294)&lt;&gt;0)," 入仓差异"&amp;G294,""))," ","、")))</f>
        <v/>
      </c>
    </row>
    <row r="295" customFormat="false" ht="21.75" hidden="false" customHeight="true" outlineLevel="0" collapsed="false">
      <c r="A295" s="29" t="str">
        <f aca="false">IF(①出口报关!A292="","",①出口报关!A292)</f>
        <v/>
      </c>
      <c r="B295" s="29" t="str">
        <f aca="false">IF($A295="","",①出口报关!I292)</f>
        <v/>
      </c>
      <c r="C295" s="29" t="str">
        <f aca="false">IF($A295="","",①出口报关!J292)</f>
        <v/>
      </c>
      <c r="D295" s="30" t="str">
        <f aca="false">IF($A295="","",IF(①出口报关!D292="","",①出口报关!D292))</f>
        <v/>
      </c>
      <c r="E295" s="31" t="str">
        <f aca="false">IF($A295="","",N(①出口报关!L292))</f>
        <v/>
      </c>
      <c r="F295" s="31" t="str">
        <f aca="false">IF($A295="","",IF(①出口报关!Y292="","未签收",①出口报关!Y292))</f>
        <v/>
      </c>
      <c r="G295" s="32" t="str">
        <f aca="false">IF(OR($A295="",NOT(ISNUMBER(F295))),"",F295-E295)</f>
        <v/>
      </c>
      <c r="H295" s="31" t="str">
        <f aca="false">IF($A295="","",SUMIFS(②销售核销!$I$4:$I$603,②销售核销!$E$4:$E$603,$A295))</f>
        <v/>
      </c>
      <c r="I295" s="31" t="str">
        <f aca="false">IF($A295="","",SUMIFS(⑤库存异常!$E$4:$E$203,⑤库存异常!$B$4:$B$203,$A295))</f>
        <v/>
      </c>
      <c r="J295" s="31" t="str">
        <f aca="false">IF($A295="","",IF(ISNUMBER(F295),F295,E295)-H295-I295)</f>
        <v/>
      </c>
      <c r="K295" s="33" t="str">
        <f aca="false">IF(OR($A295="",N(E295)=0),"",H295/E295)</f>
        <v/>
      </c>
      <c r="L295" s="34" t="str">
        <f aca="false">IF($A295="","",SUMIFS(②销售核销!$L$4:$L$603,②销售核销!$E$4:$E$603,$A295))</f>
        <v/>
      </c>
      <c r="M295" s="34" t="str">
        <f aca="false">IF($A295="","",SUMIFS(②销售核销!$L$4:$L$603,②销售核销!$E$4:$E$603,$A295,②销售核销!$M$4:$M$603,"已收汇"))</f>
        <v/>
      </c>
      <c r="N295" s="30" t="str">
        <f aca="false">IF(ISNUMBER(D295),DATE(YEAR(D295)+1,4,30),"")</f>
        <v/>
      </c>
      <c r="O295" s="35" t="str">
        <f aca="true">IF($A295="","",IF(N(H295)=0,IF(AND(ISNUMBER(N295),TODAY()&gt;N295),"超过收汇期限仍未销售","尚未销售"),IF(ROUND(M295,2)&gt;=ROUND(L295,2),"已售部分已收汇",IF(AND(ISNUMBER(N295),TODAY()&gt;N295),"超期未收汇","有回款待收汇"))))</f>
        <v/>
      </c>
      <c r="P295" s="34" t="str">
        <f aca="false">IF($A295="","",SUMIFS(④退税核算!$H$4:$H$303,④退税核算!$A$4:$A$303,$A295))</f>
        <v/>
      </c>
      <c r="Q295" s="34" t="str">
        <f aca="false">IF($A295="","",SUMIFS(④退税核算!$H$4:$H$303,④退税核算!$A$4:$A$303,$A295,④退税核算!$D$4:$D$303,"未售-海外仓预退（HWC-YT）"))</f>
        <v/>
      </c>
      <c r="R295" s="30" t="str">
        <f aca="false">IF($A295="","",IF(COUNTIFS(④退税核算!$A$4:$A$303,$A295,④退税核算!$D$4:$D$303,"未售-海外仓预退（HWC-YT）",④退税核算!$I$4:$I$303,"&gt;0")=0,"",_xlfn.MINIFS(④退税核算!$J$4:$J$303,④退税核算!$A$4:$A$303,$A295,④退税核算!$D$4:$D$303,"未售-海外仓预退（HWC-YT）")))</f>
        <v/>
      </c>
      <c r="S295" s="35" t="str">
        <f aca="false">IF($A295="","",IF(COUNTIFS(④退税核算!$A$4:$A$303,$A295,④退税核算!$D$4:$D$303,"未售-海外仓预退（HWC-YT）")=0,"不涉及",IF(COUNTIFS(④退税核算!$A$4:$A$303,$A295,④退税核算!$S$4:$S$303,"已逾期*")&gt;0,"已逾期",IF(COUNTIFS(④退税核算!$A$4:$A$303,$A295,④退税核算!$S$4:$S$303,"临近*")&gt;0,"临近截止",IF(COUNTIFS(④退税核算!$A$4:$A$303,$A295,④退税核算!$S$4:$S$303,"待*")&gt;0,"待核算","已核算")))))</f>
        <v/>
      </c>
      <c r="T295" s="35" t="str">
        <f aca="false">IF($A295="","",IFERROR(INDEX(⑥单证留存!$P$4:$P$203,MATCH(①出口报关!B292,⑥单证留存!$A$4:$A$203,0)),"未登记"))</f>
        <v/>
      </c>
      <c r="U295" s="36" t="str">
        <f aca="false">IF($A295="","",IF(IF(OR(O295="超期未收汇",O295="超过收汇期限仍未销售")," 收汇超期","")&amp;IF(S295="已逾期"," 核算逾期","")&amp;IF(S295="临近截止"," 核算临近截止","")&amp;IF(LEFT(T295,1)="缺"," 单证"&amp;T295,"")&amp;IF(T295="未登记"," 单证未登记","")&amp;IF(AND(ISNUMBER(G295),N(G295)&lt;&gt;0)," 入仓差异"&amp;G295,"")="","正常",SUBSTITUTE(TRIM(IF(OR(O295="超期未收汇",O295="超过收汇期限仍未销售")," 收汇超期","")&amp;IF(S295="已逾期"," 核算逾期","")&amp;IF(S295="临近截止"," 核算临近截止","")&amp;IF(LEFT(T295,1)="缺"," 单证"&amp;T295,"")&amp;IF(T295="未登记"," 单证未登记","")&amp;IF(AND(ISNUMBER(G295),N(G295)&lt;&gt;0)," 入仓差异"&amp;G295,""))," ","、")))</f>
        <v/>
      </c>
    </row>
    <row r="296" customFormat="false" ht="21.75" hidden="false" customHeight="true" outlineLevel="0" collapsed="false">
      <c r="A296" s="29" t="str">
        <f aca="false">IF(①出口报关!A293="","",①出口报关!A293)</f>
        <v/>
      </c>
      <c r="B296" s="29" t="str">
        <f aca="false">IF($A296="","",①出口报关!I293)</f>
        <v/>
      </c>
      <c r="C296" s="29" t="str">
        <f aca="false">IF($A296="","",①出口报关!J293)</f>
        <v/>
      </c>
      <c r="D296" s="30" t="str">
        <f aca="false">IF($A296="","",IF(①出口报关!D293="","",①出口报关!D293))</f>
        <v/>
      </c>
      <c r="E296" s="31" t="str">
        <f aca="false">IF($A296="","",N(①出口报关!L293))</f>
        <v/>
      </c>
      <c r="F296" s="31" t="str">
        <f aca="false">IF($A296="","",IF(①出口报关!Y293="","未签收",①出口报关!Y293))</f>
        <v/>
      </c>
      <c r="G296" s="32" t="str">
        <f aca="false">IF(OR($A296="",NOT(ISNUMBER(F296))),"",F296-E296)</f>
        <v/>
      </c>
      <c r="H296" s="31" t="str">
        <f aca="false">IF($A296="","",SUMIFS(②销售核销!$I$4:$I$603,②销售核销!$E$4:$E$603,$A296))</f>
        <v/>
      </c>
      <c r="I296" s="31" t="str">
        <f aca="false">IF($A296="","",SUMIFS(⑤库存异常!$E$4:$E$203,⑤库存异常!$B$4:$B$203,$A296))</f>
        <v/>
      </c>
      <c r="J296" s="31" t="str">
        <f aca="false">IF($A296="","",IF(ISNUMBER(F296),F296,E296)-H296-I296)</f>
        <v/>
      </c>
      <c r="K296" s="33" t="str">
        <f aca="false">IF(OR($A296="",N(E296)=0),"",H296/E296)</f>
        <v/>
      </c>
      <c r="L296" s="34" t="str">
        <f aca="false">IF($A296="","",SUMIFS(②销售核销!$L$4:$L$603,②销售核销!$E$4:$E$603,$A296))</f>
        <v/>
      </c>
      <c r="M296" s="34" t="str">
        <f aca="false">IF($A296="","",SUMIFS(②销售核销!$L$4:$L$603,②销售核销!$E$4:$E$603,$A296,②销售核销!$M$4:$M$603,"已收汇"))</f>
        <v/>
      </c>
      <c r="N296" s="30" t="str">
        <f aca="false">IF(ISNUMBER(D296),DATE(YEAR(D296)+1,4,30),"")</f>
        <v/>
      </c>
      <c r="O296" s="35" t="str">
        <f aca="true">IF($A296="","",IF(N(H296)=0,IF(AND(ISNUMBER(N296),TODAY()&gt;N296),"超过收汇期限仍未销售","尚未销售"),IF(ROUND(M296,2)&gt;=ROUND(L296,2),"已售部分已收汇",IF(AND(ISNUMBER(N296),TODAY()&gt;N296),"超期未收汇","有回款待收汇"))))</f>
        <v/>
      </c>
      <c r="P296" s="34" t="str">
        <f aca="false">IF($A296="","",SUMIFS(④退税核算!$H$4:$H$303,④退税核算!$A$4:$A$303,$A296))</f>
        <v/>
      </c>
      <c r="Q296" s="34" t="str">
        <f aca="false">IF($A296="","",SUMIFS(④退税核算!$H$4:$H$303,④退税核算!$A$4:$A$303,$A296,④退税核算!$D$4:$D$303,"未售-海外仓预退（HWC-YT）"))</f>
        <v/>
      </c>
      <c r="R296" s="30" t="str">
        <f aca="false">IF($A296="","",IF(COUNTIFS(④退税核算!$A$4:$A$303,$A296,④退税核算!$D$4:$D$303,"未售-海外仓预退（HWC-YT）",④退税核算!$I$4:$I$303,"&gt;0")=0,"",_xlfn.MINIFS(④退税核算!$J$4:$J$303,④退税核算!$A$4:$A$303,$A296,④退税核算!$D$4:$D$303,"未售-海外仓预退（HWC-YT）")))</f>
        <v/>
      </c>
      <c r="S296" s="35" t="str">
        <f aca="false">IF($A296="","",IF(COUNTIFS(④退税核算!$A$4:$A$303,$A296,④退税核算!$D$4:$D$303,"未售-海外仓预退（HWC-YT）")=0,"不涉及",IF(COUNTIFS(④退税核算!$A$4:$A$303,$A296,④退税核算!$S$4:$S$303,"已逾期*")&gt;0,"已逾期",IF(COUNTIFS(④退税核算!$A$4:$A$303,$A296,④退税核算!$S$4:$S$303,"临近*")&gt;0,"临近截止",IF(COUNTIFS(④退税核算!$A$4:$A$303,$A296,④退税核算!$S$4:$S$303,"待*")&gt;0,"待核算","已核算")))))</f>
        <v/>
      </c>
      <c r="T296" s="35" t="str">
        <f aca="false">IF($A296="","",IFERROR(INDEX(⑥单证留存!$P$4:$P$203,MATCH(①出口报关!B293,⑥单证留存!$A$4:$A$203,0)),"未登记"))</f>
        <v/>
      </c>
      <c r="U296" s="36" t="str">
        <f aca="false">IF($A296="","",IF(IF(OR(O296="超期未收汇",O296="超过收汇期限仍未销售")," 收汇超期","")&amp;IF(S296="已逾期"," 核算逾期","")&amp;IF(S296="临近截止"," 核算临近截止","")&amp;IF(LEFT(T296,1)="缺"," 单证"&amp;T296,"")&amp;IF(T296="未登记"," 单证未登记","")&amp;IF(AND(ISNUMBER(G296),N(G296)&lt;&gt;0)," 入仓差异"&amp;G296,"")="","正常",SUBSTITUTE(TRIM(IF(OR(O296="超期未收汇",O296="超过收汇期限仍未销售")," 收汇超期","")&amp;IF(S296="已逾期"," 核算逾期","")&amp;IF(S296="临近截止"," 核算临近截止","")&amp;IF(LEFT(T296,1)="缺"," 单证"&amp;T296,"")&amp;IF(T296="未登记"," 单证未登记","")&amp;IF(AND(ISNUMBER(G296),N(G296)&lt;&gt;0)," 入仓差异"&amp;G296,""))," ","、")))</f>
        <v/>
      </c>
    </row>
    <row r="297" customFormat="false" ht="21.75" hidden="false" customHeight="true" outlineLevel="0" collapsed="false">
      <c r="A297" s="29" t="str">
        <f aca="false">IF(①出口报关!A294="","",①出口报关!A294)</f>
        <v/>
      </c>
      <c r="B297" s="29" t="str">
        <f aca="false">IF($A297="","",①出口报关!I294)</f>
        <v/>
      </c>
      <c r="C297" s="29" t="str">
        <f aca="false">IF($A297="","",①出口报关!J294)</f>
        <v/>
      </c>
      <c r="D297" s="30" t="str">
        <f aca="false">IF($A297="","",IF(①出口报关!D294="","",①出口报关!D294))</f>
        <v/>
      </c>
      <c r="E297" s="31" t="str">
        <f aca="false">IF($A297="","",N(①出口报关!L294))</f>
        <v/>
      </c>
      <c r="F297" s="31" t="str">
        <f aca="false">IF($A297="","",IF(①出口报关!Y294="","未签收",①出口报关!Y294))</f>
        <v/>
      </c>
      <c r="G297" s="32" t="str">
        <f aca="false">IF(OR($A297="",NOT(ISNUMBER(F297))),"",F297-E297)</f>
        <v/>
      </c>
      <c r="H297" s="31" t="str">
        <f aca="false">IF($A297="","",SUMIFS(②销售核销!$I$4:$I$603,②销售核销!$E$4:$E$603,$A297))</f>
        <v/>
      </c>
      <c r="I297" s="31" t="str">
        <f aca="false">IF($A297="","",SUMIFS(⑤库存异常!$E$4:$E$203,⑤库存异常!$B$4:$B$203,$A297))</f>
        <v/>
      </c>
      <c r="J297" s="31" t="str">
        <f aca="false">IF($A297="","",IF(ISNUMBER(F297),F297,E297)-H297-I297)</f>
        <v/>
      </c>
      <c r="K297" s="33" t="str">
        <f aca="false">IF(OR($A297="",N(E297)=0),"",H297/E297)</f>
        <v/>
      </c>
      <c r="L297" s="34" t="str">
        <f aca="false">IF($A297="","",SUMIFS(②销售核销!$L$4:$L$603,②销售核销!$E$4:$E$603,$A297))</f>
        <v/>
      </c>
      <c r="M297" s="34" t="str">
        <f aca="false">IF($A297="","",SUMIFS(②销售核销!$L$4:$L$603,②销售核销!$E$4:$E$603,$A297,②销售核销!$M$4:$M$603,"已收汇"))</f>
        <v/>
      </c>
      <c r="N297" s="30" t="str">
        <f aca="false">IF(ISNUMBER(D297),DATE(YEAR(D297)+1,4,30),"")</f>
        <v/>
      </c>
      <c r="O297" s="35" t="str">
        <f aca="true">IF($A297="","",IF(N(H297)=0,IF(AND(ISNUMBER(N297),TODAY()&gt;N297),"超过收汇期限仍未销售","尚未销售"),IF(ROUND(M297,2)&gt;=ROUND(L297,2),"已售部分已收汇",IF(AND(ISNUMBER(N297),TODAY()&gt;N297),"超期未收汇","有回款待收汇"))))</f>
        <v/>
      </c>
      <c r="P297" s="34" t="str">
        <f aca="false">IF($A297="","",SUMIFS(④退税核算!$H$4:$H$303,④退税核算!$A$4:$A$303,$A297))</f>
        <v/>
      </c>
      <c r="Q297" s="34" t="str">
        <f aca="false">IF($A297="","",SUMIFS(④退税核算!$H$4:$H$303,④退税核算!$A$4:$A$303,$A297,④退税核算!$D$4:$D$303,"未售-海外仓预退（HWC-YT）"))</f>
        <v/>
      </c>
      <c r="R297" s="30" t="str">
        <f aca="false">IF($A297="","",IF(COUNTIFS(④退税核算!$A$4:$A$303,$A297,④退税核算!$D$4:$D$303,"未售-海外仓预退（HWC-YT）",④退税核算!$I$4:$I$303,"&gt;0")=0,"",_xlfn.MINIFS(④退税核算!$J$4:$J$303,④退税核算!$A$4:$A$303,$A297,④退税核算!$D$4:$D$303,"未售-海外仓预退（HWC-YT）")))</f>
        <v/>
      </c>
      <c r="S297" s="35" t="str">
        <f aca="false">IF($A297="","",IF(COUNTIFS(④退税核算!$A$4:$A$303,$A297,④退税核算!$D$4:$D$303,"未售-海外仓预退（HWC-YT）")=0,"不涉及",IF(COUNTIFS(④退税核算!$A$4:$A$303,$A297,④退税核算!$S$4:$S$303,"已逾期*")&gt;0,"已逾期",IF(COUNTIFS(④退税核算!$A$4:$A$303,$A297,④退税核算!$S$4:$S$303,"临近*")&gt;0,"临近截止",IF(COUNTIFS(④退税核算!$A$4:$A$303,$A297,④退税核算!$S$4:$S$303,"待*")&gt;0,"待核算","已核算")))))</f>
        <v/>
      </c>
      <c r="T297" s="35" t="str">
        <f aca="false">IF($A297="","",IFERROR(INDEX(⑥单证留存!$P$4:$P$203,MATCH(①出口报关!B294,⑥单证留存!$A$4:$A$203,0)),"未登记"))</f>
        <v/>
      </c>
      <c r="U297" s="36" t="str">
        <f aca="false">IF($A297="","",IF(IF(OR(O297="超期未收汇",O297="超过收汇期限仍未销售")," 收汇超期","")&amp;IF(S297="已逾期"," 核算逾期","")&amp;IF(S297="临近截止"," 核算临近截止","")&amp;IF(LEFT(T297,1)="缺"," 单证"&amp;T297,"")&amp;IF(T297="未登记"," 单证未登记","")&amp;IF(AND(ISNUMBER(G297),N(G297)&lt;&gt;0)," 入仓差异"&amp;G297,"")="","正常",SUBSTITUTE(TRIM(IF(OR(O297="超期未收汇",O297="超过收汇期限仍未销售")," 收汇超期","")&amp;IF(S297="已逾期"," 核算逾期","")&amp;IF(S297="临近截止"," 核算临近截止","")&amp;IF(LEFT(T297,1)="缺"," 单证"&amp;T297,"")&amp;IF(T297="未登记"," 单证未登记","")&amp;IF(AND(ISNUMBER(G297),N(G297)&lt;&gt;0)," 入仓差异"&amp;G297,""))," ","、")))</f>
        <v/>
      </c>
    </row>
    <row r="298" customFormat="false" ht="21.75" hidden="false" customHeight="true" outlineLevel="0" collapsed="false">
      <c r="A298" s="29" t="str">
        <f aca="false">IF(①出口报关!A295="","",①出口报关!A295)</f>
        <v/>
      </c>
      <c r="B298" s="29" t="str">
        <f aca="false">IF($A298="","",①出口报关!I295)</f>
        <v/>
      </c>
      <c r="C298" s="29" t="str">
        <f aca="false">IF($A298="","",①出口报关!J295)</f>
        <v/>
      </c>
      <c r="D298" s="30" t="str">
        <f aca="false">IF($A298="","",IF(①出口报关!D295="","",①出口报关!D295))</f>
        <v/>
      </c>
      <c r="E298" s="31" t="str">
        <f aca="false">IF($A298="","",N(①出口报关!L295))</f>
        <v/>
      </c>
      <c r="F298" s="31" t="str">
        <f aca="false">IF($A298="","",IF(①出口报关!Y295="","未签收",①出口报关!Y295))</f>
        <v/>
      </c>
      <c r="G298" s="32" t="str">
        <f aca="false">IF(OR($A298="",NOT(ISNUMBER(F298))),"",F298-E298)</f>
        <v/>
      </c>
      <c r="H298" s="31" t="str">
        <f aca="false">IF($A298="","",SUMIFS(②销售核销!$I$4:$I$603,②销售核销!$E$4:$E$603,$A298))</f>
        <v/>
      </c>
      <c r="I298" s="31" t="str">
        <f aca="false">IF($A298="","",SUMIFS(⑤库存异常!$E$4:$E$203,⑤库存异常!$B$4:$B$203,$A298))</f>
        <v/>
      </c>
      <c r="J298" s="31" t="str">
        <f aca="false">IF($A298="","",IF(ISNUMBER(F298),F298,E298)-H298-I298)</f>
        <v/>
      </c>
      <c r="K298" s="33" t="str">
        <f aca="false">IF(OR($A298="",N(E298)=0),"",H298/E298)</f>
        <v/>
      </c>
      <c r="L298" s="34" t="str">
        <f aca="false">IF($A298="","",SUMIFS(②销售核销!$L$4:$L$603,②销售核销!$E$4:$E$603,$A298))</f>
        <v/>
      </c>
      <c r="M298" s="34" t="str">
        <f aca="false">IF($A298="","",SUMIFS(②销售核销!$L$4:$L$603,②销售核销!$E$4:$E$603,$A298,②销售核销!$M$4:$M$603,"已收汇"))</f>
        <v/>
      </c>
      <c r="N298" s="30" t="str">
        <f aca="false">IF(ISNUMBER(D298),DATE(YEAR(D298)+1,4,30),"")</f>
        <v/>
      </c>
      <c r="O298" s="35" t="str">
        <f aca="true">IF($A298="","",IF(N(H298)=0,IF(AND(ISNUMBER(N298),TODAY()&gt;N298),"超过收汇期限仍未销售","尚未销售"),IF(ROUND(M298,2)&gt;=ROUND(L298,2),"已售部分已收汇",IF(AND(ISNUMBER(N298),TODAY()&gt;N298),"超期未收汇","有回款待收汇"))))</f>
        <v/>
      </c>
      <c r="P298" s="34" t="str">
        <f aca="false">IF($A298="","",SUMIFS(④退税核算!$H$4:$H$303,④退税核算!$A$4:$A$303,$A298))</f>
        <v/>
      </c>
      <c r="Q298" s="34" t="str">
        <f aca="false">IF($A298="","",SUMIFS(④退税核算!$H$4:$H$303,④退税核算!$A$4:$A$303,$A298,④退税核算!$D$4:$D$303,"未售-海外仓预退（HWC-YT）"))</f>
        <v/>
      </c>
      <c r="R298" s="30" t="str">
        <f aca="false">IF($A298="","",IF(COUNTIFS(④退税核算!$A$4:$A$303,$A298,④退税核算!$D$4:$D$303,"未售-海外仓预退（HWC-YT）",④退税核算!$I$4:$I$303,"&gt;0")=0,"",_xlfn.MINIFS(④退税核算!$J$4:$J$303,④退税核算!$A$4:$A$303,$A298,④退税核算!$D$4:$D$303,"未售-海外仓预退（HWC-YT）")))</f>
        <v/>
      </c>
      <c r="S298" s="35" t="str">
        <f aca="false">IF($A298="","",IF(COUNTIFS(④退税核算!$A$4:$A$303,$A298,④退税核算!$D$4:$D$303,"未售-海外仓预退（HWC-YT）")=0,"不涉及",IF(COUNTIFS(④退税核算!$A$4:$A$303,$A298,④退税核算!$S$4:$S$303,"已逾期*")&gt;0,"已逾期",IF(COUNTIFS(④退税核算!$A$4:$A$303,$A298,④退税核算!$S$4:$S$303,"临近*")&gt;0,"临近截止",IF(COUNTIFS(④退税核算!$A$4:$A$303,$A298,④退税核算!$S$4:$S$303,"待*")&gt;0,"待核算","已核算")))))</f>
        <v/>
      </c>
      <c r="T298" s="35" t="str">
        <f aca="false">IF($A298="","",IFERROR(INDEX(⑥单证留存!$P$4:$P$203,MATCH(①出口报关!B295,⑥单证留存!$A$4:$A$203,0)),"未登记"))</f>
        <v/>
      </c>
      <c r="U298" s="36" t="str">
        <f aca="false">IF($A298="","",IF(IF(OR(O298="超期未收汇",O298="超过收汇期限仍未销售")," 收汇超期","")&amp;IF(S298="已逾期"," 核算逾期","")&amp;IF(S298="临近截止"," 核算临近截止","")&amp;IF(LEFT(T298,1)="缺"," 单证"&amp;T298,"")&amp;IF(T298="未登记"," 单证未登记","")&amp;IF(AND(ISNUMBER(G298),N(G298)&lt;&gt;0)," 入仓差异"&amp;G298,"")="","正常",SUBSTITUTE(TRIM(IF(OR(O298="超期未收汇",O298="超过收汇期限仍未销售")," 收汇超期","")&amp;IF(S298="已逾期"," 核算逾期","")&amp;IF(S298="临近截止"," 核算临近截止","")&amp;IF(LEFT(T298,1)="缺"," 单证"&amp;T298,"")&amp;IF(T298="未登记"," 单证未登记","")&amp;IF(AND(ISNUMBER(G298),N(G298)&lt;&gt;0)," 入仓差异"&amp;G298,""))," ","、")))</f>
        <v/>
      </c>
    </row>
    <row r="299" customFormat="false" ht="21.75" hidden="false" customHeight="true" outlineLevel="0" collapsed="false">
      <c r="A299" s="29" t="str">
        <f aca="false">IF(①出口报关!A296="","",①出口报关!A296)</f>
        <v/>
      </c>
      <c r="B299" s="29" t="str">
        <f aca="false">IF($A299="","",①出口报关!I296)</f>
        <v/>
      </c>
      <c r="C299" s="29" t="str">
        <f aca="false">IF($A299="","",①出口报关!J296)</f>
        <v/>
      </c>
      <c r="D299" s="30" t="str">
        <f aca="false">IF($A299="","",IF(①出口报关!D296="","",①出口报关!D296))</f>
        <v/>
      </c>
      <c r="E299" s="31" t="str">
        <f aca="false">IF($A299="","",N(①出口报关!L296))</f>
        <v/>
      </c>
      <c r="F299" s="31" t="str">
        <f aca="false">IF($A299="","",IF(①出口报关!Y296="","未签收",①出口报关!Y296))</f>
        <v/>
      </c>
      <c r="G299" s="32" t="str">
        <f aca="false">IF(OR($A299="",NOT(ISNUMBER(F299))),"",F299-E299)</f>
        <v/>
      </c>
      <c r="H299" s="31" t="str">
        <f aca="false">IF($A299="","",SUMIFS(②销售核销!$I$4:$I$603,②销售核销!$E$4:$E$603,$A299))</f>
        <v/>
      </c>
      <c r="I299" s="31" t="str">
        <f aca="false">IF($A299="","",SUMIFS(⑤库存异常!$E$4:$E$203,⑤库存异常!$B$4:$B$203,$A299))</f>
        <v/>
      </c>
      <c r="J299" s="31" t="str">
        <f aca="false">IF($A299="","",IF(ISNUMBER(F299),F299,E299)-H299-I299)</f>
        <v/>
      </c>
      <c r="K299" s="33" t="str">
        <f aca="false">IF(OR($A299="",N(E299)=0),"",H299/E299)</f>
        <v/>
      </c>
      <c r="L299" s="34" t="str">
        <f aca="false">IF($A299="","",SUMIFS(②销售核销!$L$4:$L$603,②销售核销!$E$4:$E$603,$A299))</f>
        <v/>
      </c>
      <c r="M299" s="34" t="str">
        <f aca="false">IF($A299="","",SUMIFS(②销售核销!$L$4:$L$603,②销售核销!$E$4:$E$603,$A299,②销售核销!$M$4:$M$603,"已收汇"))</f>
        <v/>
      </c>
      <c r="N299" s="30" t="str">
        <f aca="false">IF(ISNUMBER(D299),DATE(YEAR(D299)+1,4,30),"")</f>
        <v/>
      </c>
      <c r="O299" s="35" t="str">
        <f aca="true">IF($A299="","",IF(N(H299)=0,IF(AND(ISNUMBER(N299),TODAY()&gt;N299),"超过收汇期限仍未销售","尚未销售"),IF(ROUND(M299,2)&gt;=ROUND(L299,2),"已售部分已收汇",IF(AND(ISNUMBER(N299),TODAY()&gt;N299),"超期未收汇","有回款待收汇"))))</f>
        <v/>
      </c>
      <c r="P299" s="34" t="str">
        <f aca="false">IF($A299="","",SUMIFS(④退税核算!$H$4:$H$303,④退税核算!$A$4:$A$303,$A299))</f>
        <v/>
      </c>
      <c r="Q299" s="34" t="str">
        <f aca="false">IF($A299="","",SUMIFS(④退税核算!$H$4:$H$303,④退税核算!$A$4:$A$303,$A299,④退税核算!$D$4:$D$303,"未售-海外仓预退（HWC-YT）"))</f>
        <v/>
      </c>
      <c r="R299" s="30" t="str">
        <f aca="false">IF($A299="","",IF(COUNTIFS(④退税核算!$A$4:$A$303,$A299,④退税核算!$D$4:$D$303,"未售-海外仓预退（HWC-YT）",④退税核算!$I$4:$I$303,"&gt;0")=0,"",_xlfn.MINIFS(④退税核算!$J$4:$J$303,④退税核算!$A$4:$A$303,$A299,④退税核算!$D$4:$D$303,"未售-海外仓预退（HWC-YT）")))</f>
        <v/>
      </c>
      <c r="S299" s="35" t="str">
        <f aca="false">IF($A299="","",IF(COUNTIFS(④退税核算!$A$4:$A$303,$A299,④退税核算!$D$4:$D$303,"未售-海外仓预退（HWC-YT）")=0,"不涉及",IF(COUNTIFS(④退税核算!$A$4:$A$303,$A299,④退税核算!$S$4:$S$303,"已逾期*")&gt;0,"已逾期",IF(COUNTIFS(④退税核算!$A$4:$A$303,$A299,④退税核算!$S$4:$S$303,"临近*")&gt;0,"临近截止",IF(COUNTIFS(④退税核算!$A$4:$A$303,$A299,④退税核算!$S$4:$S$303,"待*")&gt;0,"待核算","已核算")))))</f>
        <v/>
      </c>
      <c r="T299" s="35" t="str">
        <f aca="false">IF($A299="","",IFERROR(INDEX(⑥单证留存!$P$4:$P$203,MATCH(①出口报关!B296,⑥单证留存!$A$4:$A$203,0)),"未登记"))</f>
        <v/>
      </c>
      <c r="U299" s="36" t="str">
        <f aca="false">IF($A299="","",IF(IF(OR(O299="超期未收汇",O299="超过收汇期限仍未销售")," 收汇超期","")&amp;IF(S299="已逾期"," 核算逾期","")&amp;IF(S299="临近截止"," 核算临近截止","")&amp;IF(LEFT(T299,1)="缺"," 单证"&amp;T299,"")&amp;IF(T299="未登记"," 单证未登记","")&amp;IF(AND(ISNUMBER(G299),N(G299)&lt;&gt;0)," 入仓差异"&amp;G299,"")="","正常",SUBSTITUTE(TRIM(IF(OR(O299="超期未收汇",O299="超过收汇期限仍未销售")," 收汇超期","")&amp;IF(S299="已逾期"," 核算逾期","")&amp;IF(S299="临近截止"," 核算临近截止","")&amp;IF(LEFT(T299,1)="缺"," 单证"&amp;T299,"")&amp;IF(T299="未登记"," 单证未登记","")&amp;IF(AND(ISNUMBER(G299),N(G299)&lt;&gt;0)," 入仓差异"&amp;G299,""))," ","、")))</f>
        <v/>
      </c>
    </row>
    <row r="300" customFormat="false" ht="21.75" hidden="false" customHeight="true" outlineLevel="0" collapsed="false">
      <c r="A300" s="29" t="str">
        <f aca="false">IF(①出口报关!A297="","",①出口报关!A297)</f>
        <v/>
      </c>
      <c r="B300" s="29" t="str">
        <f aca="false">IF($A300="","",①出口报关!I297)</f>
        <v/>
      </c>
      <c r="C300" s="29" t="str">
        <f aca="false">IF($A300="","",①出口报关!J297)</f>
        <v/>
      </c>
      <c r="D300" s="30" t="str">
        <f aca="false">IF($A300="","",IF(①出口报关!D297="","",①出口报关!D297))</f>
        <v/>
      </c>
      <c r="E300" s="31" t="str">
        <f aca="false">IF($A300="","",N(①出口报关!L297))</f>
        <v/>
      </c>
      <c r="F300" s="31" t="str">
        <f aca="false">IF($A300="","",IF(①出口报关!Y297="","未签收",①出口报关!Y297))</f>
        <v/>
      </c>
      <c r="G300" s="32" t="str">
        <f aca="false">IF(OR($A300="",NOT(ISNUMBER(F300))),"",F300-E300)</f>
        <v/>
      </c>
      <c r="H300" s="31" t="str">
        <f aca="false">IF($A300="","",SUMIFS(②销售核销!$I$4:$I$603,②销售核销!$E$4:$E$603,$A300))</f>
        <v/>
      </c>
      <c r="I300" s="31" t="str">
        <f aca="false">IF($A300="","",SUMIFS(⑤库存异常!$E$4:$E$203,⑤库存异常!$B$4:$B$203,$A300))</f>
        <v/>
      </c>
      <c r="J300" s="31" t="str">
        <f aca="false">IF($A300="","",IF(ISNUMBER(F300),F300,E300)-H300-I300)</f>
        <v/>
      </c>
      <c r="K300" s="33" t="str">
        <f aca="false">IF(OR($A300="",N(E300)=0),"",H300/E300)</f>
        <v/>
      </c>
      <c r="L300" s="34" t="str">
        <f aca="false">IF($A300="","",SUMIFS(②销售核销!$L$4:$L$603,②销售核销!$E$4:$E$603,$A300))</f>
        <v/>
      </c>
      <c r="M300" s="34" t="str">
        <f aca="false">IF($A300="","",SUMIFS(②销售核销!$L$4:$L$603,②销售核销!$E$4:$E$603,$A300,②销售核销!$M$4:$M$603,"已收汇"))</f>
        <v/>
      </c>
      <c r="N300" s="30" t="str">
        <f aca="false">IF(ISNUMBER(D300),DATE(YEAR(D300)+1,4,30),"")</f>
        <v/>
      </c>
      <c r="O300" s="35" t="str">
        <f aca="true">IF($A300="","",IF(N(H300)=0,IF(AND(ISNUMBER(N300),TODAY()&gt;N300),"超过收汇期限仍未销售","尚未销售"),IF(ROUND(M300,2)&gt;=ROUND(L300,2),"已售部分已收汇",IF(AND(ISNUMBER(N300),TODAY()&gt;N300),"超期未收汇","有回款待收汇"))))</f>
        <v/>
      </c>
      <c r="P300" s="34" t="str">
        <f aca="false">IF($A300="","",SUMIFS(④退税核算!$H$4:$H$303,④退税核算!$A$4:$A$303,$A300))</f>
        <v/>
      </c>
      <c r="Q300" s="34" t="str">
        <f aca="false">IF($A300="","",SUMIFS(④退税核算!$H$4:$H$303,④退税核算!$A$4:$A$303,$A300,④退税核算!$D$4:$D$303,"未售-海外仓预退（HWC-YT）"))</f>
        <v/>
      </c>
      <c r="R300" s="30" t="str">
        <f aca="false">IF($A300="","",IF(COUNTIFS(④退税核算!$A$4:$A$303,$A300,④退税核算!$D$4:$D$303,"未售-海外仓预退（HWC-YT）",④退税核算!$I$4:$I$303,"&gt;0")=0,"",_xlfn.MINIFS(④退税核算!$J$4:$J$303,④退税核算!$A$4:$A$303,$A300,④退税核算!$D$4:$D$303,"未售-海外仓预退（HWC-YT）")))</f>
        <v/>
      </c>
      <c r="S300" s="35" t="str">
        <f aca="false">IF($A300="","",IF(COUNTIFS(④退税核算!$A$4:$A$303,$A300,④退税核算!$D$4:$D$303,"未售-海外仓预退（HWC-YT）")=0,"不涉及",IF(COUNTIFS(④退税核算!$A$4:$A$303,$A300,④退税核算!$S$4:$S$303,"已逾期*")&gt;0,"已逾期",IF(COUNTIFS(④退税核算!$A$4:$A$303,$A300,④退税核算!$S$4:$S$303,"临近*")&gt;0,"临近截止",IF(COUNTIFS(④退税核算!$A$4:$A$303,$A300,④退税核算!$S$4:$S$303,"待*")&gt;0,"待核算","已核算")))))</f>
        <v/>
      </c>
      <c r="T300" s="35" t="str">
        <f aca="false">IF($A300="","",IFERROR(INDEX(⑥单证留存!$P$4:$P$203,MATCH(①出口报关!B297,⑥单证留存!$A$4:$A$203,0)),"未登记"))</f>
        <v/>
      </c>
      <c r="U300" s="36" t="str">
        <f aca="false">IF($A300="","",IF(IF(OR(O300="超期未收汇",O300="超过收汇期限仍未销售")," 收汇超期","")&amp;IF(S300="已逾期"," 核算逾期","")&amp;IF(S300="临近截止"," 核算临近截止","")&amp;IF(LEFT(T300,1)="缺"," 单证"&amp;T300,"")&amp;IF(T300="未登记"," 单证未登记","")&amp;IF(AND(ISNUMBER(G300),N(G300)&lt;&gt;0)," 入仓差异"&amp;G300,"")="","正常",SUBSTITUTE(TRIM(IF(OR(O300="超期未收汇",O300="超过收汇期限仍未销售")," 收汇超期","")&amp;IF(S300="已逾期"," 核算逾期","")&amp;IF(S300="临近截止"," 核算临近截止","")&amp;IF(LEFT(T300,1)="缺"," 单证"&amp;T300,"")&amp;IF(T300="未登记"," 单证未登记","")&amp;IF(AND(ISNUMBER(G300),N(G300)&lt;&gt;0)," 入仓差异"&amp;G300,""))," ","、")))</f>
        <v/>
      </c>
    </row>
    <row r="301" customFormat="false" ht="21.75" hidden="false" customHeight="true" outlineLevel="0" collapsed="false">
      <c r="A301" s="29" t="str">
        <f aca="false">IF(①出口报关!A298="","",①出口报关!A298)</f>
        <v/>
      </c>
      <c r="B301" s="29" t="str">
        <f aca="false">IF($A301="","",①出口报关!I298)</f>
        <v/>
      </c>
      <c r="C301" s="29" t="str">
        <f aca="false">IF($A301="","",①出口报关!J298)</f>
        <v/>
      </c>
      <c r="D301" s="30" t="str">
        <f aca="false">IF($A301="","",IF(①出口报关!D298="","",①出口报关!D298))</f>
        <v/>
      </c>
      <c r="E301" s="31" t="str">
        <f aca="false">IF($A301="","",N(①出口报关!L298))</f>
        <v/>
      </c>
      <c r="F301" s="31" t="str">
        <f aca="false">IF($A301="","",IF(①出口报关!Y298="","未签收",①出口报关!Y298))</f>
        <v/>
      </c>
      <c r="G301" s="32" t="str">
        <f aca="false">IF(OR($A301="",NOT(ISNUMBER(F301))),"",F301-E301)</f>
        <v/>
      </c>
      <c r="H301" s="31" t="str">
        <f aca="false">IF($A301="","",SUMIFS(②销售核销!$I$4:$I$603,②销售核销!$E$4:$E$603,$A301))</f>
        <v/>
      </c>
      <c r="I301" s="31" t="str">
        <f aca="false">IF($A301="","",SUMIFS(⑤库存异常!$E$4:$E$203,⑤库存异常!$B$4:$B$203,$A301))</f>
        <v/>
      </c>
      <c r="J301" s="31" t="str">
        <f aca="false">IF($A301="","",IF(ISNUMBER(F301),F301,E301)-H301-I301)</f>
        <v/>
      </c>
      <c r="K301" s="33" t="str">
        <f aca="false">IF(OR($A301="",N(E301)=0),"",H301/E301)</f>
        <v/>
      </c>
      <c r="L301" s="34" t="str">
        <f aca="false">IF($A301="","",SUMIFS(②销售核销!$L$4:$L$603,②销售核销!$E$4:$E$603,$A301))</f>
        <v/>
      </c>
      <c r="M301" s="34" t="str">
        <f aca="false">IF($A301="","",SUMIFS(②销售核销!$L$4:$L$603,②销售核销!$E$4:$E$603,$A301,②销售核销!$M$4:$M$603,"已收汇"))</f>
        <v/>
      </c>
      <c r="N301" s="30" t="str">
        <f aca="false">IF(ISNUMBER(D301),DATE(YEAR(D301)+1,4,30),"")</f>
        <v/>
      </c>
      <c r="O301" s="35" t="str">
        <f aca="true">IF($A301="","",IF(N(H301)=0,IF(AND(ISNUMBER(N301),TODAY()&gt;N301),"超过收汇期限仍未销售","尚未销售"),IF(ROUND(M301,2)&gt;=ROUND(L301,2),"已售部分已收汇",IF(AND(ISNUMBER(N301),TODAY()&gt;N301),"超期未收汇","有回款待收汇"))))</f>
        <v/>
      </c>
      <c r="P301" s="34" t="str">
        <f aca="false">IF($A301="","",SUMIFS(④退税核算!$H$4:$H$303,④退税核算!$A$4:$A$303,$A301))</f>
        <v/>
      </c>
      <c r="Q301" s="34" t="str">
        <f aca="false">IF($A301="","",SUMIFS(④退税核算!$H$4:$H$303,④退税核算!$A$4:$A$303,$A301,④退税核算!$D$4:$D$303,"未售-海外仓预退（HWC-YT）"))</f>
        <v/>
      </c>
      <c r="R301" s="30" t="str">
        <f aca="false">IF($A301="","",IF(COUNTIFS(④退税核算!$A$4:$A$303,$A301,④退税核算!$D$4:$D$303,"未售-海外仓预退（HWC-YT）",④退税核算!$I$4:$I$303,"&gt;0")=0,"",_xlfn.MINIFS(④退税核算!$J$4:$J$303,④退税核算!$A$4:$A$303,$A301,④退税核算!$D$4:$D$303,"未售-海外仓预退（HWC-YT）")))</f>
        <v/>
      </c>
      <c r="S301" s="35" t="str">
        <f aca="false">IF($A301="","",IF(COUNTIFS(④退税核算!$A$4:$A$303,$A301,④退税核算!$D$4:$D$303,"未售-海外仓预退（HWC-YT）")=0,"不涉及",IF(COUNTIFS(④退税核算!$A$4:$A$303,$A301,④退税核算!$S$4:$S$303,"已逾期*")&gt;0,"已逾期",IF(COUNTIFS(④退税核算!$A$4:$A$303,$A301,④退税核算!$S$4:$S$303,"临近*")&gt;0,"临近截止",IF(COUNTIFS(④退税核算!$A$4:$A$303,$A301,④退税核算!$S$4:$S$303,"待*")&gt;0,"待核算","已核算")))))</f>
        <v/>
      </c>
      <c r="T301" s="35" t="str">
        <f aca="false">IF($A301="","",IFERROR(INDEX(⑥单证留存!$P$4:$P$203,MATCH(①出口报关!B298,⑥单证留存!$A$4:$A$203,0)),"未登记"))</f>
        <v/>
      </c>
      <c r="U301" s="36" t="str">
        <f aca="false">IF($A301="","",IF(IF(OR(O301="超期未收汇",O301="超过收汇期限仍未销售")," 收汇超期","")&amp;IF(S301="已逾期"," 核算逾期","")&amp;IF(S301="临近截止"," 核算临近截止","")&amp;IF(LEFT(T301,1)="缺"," 单证"&amp;T301,"")&amp;IF(T301="未登记"," 单证未登记","")&amp;IF(AND(ISNUMBER(G301),N(G301)&lt;&gt;0)," 入仓差异"&amp;G301,"")="","正常",SUBSTITUTE(TRIM(IF(OR(O301="超期未收汇",O301="超过收汇期限仍未销售")," 收汇超期","")&amp;IF(S301="已逾期"," 核算逾期","")&amp;IF(S301="临近截止"," 核算临近截止","")&amp;IF(LEFT(T301,1)="缺"," 单证"&amp;T301,"")&amp;IF(T301="未登记"," 单证未登记","")&amp;IF(AND(ISNUMBER(G301),N(G301)&lt;&gt;0)," 入仓差异"&amp;G301,""))," ","、")))</f>
        <v/>
      </c>
    </row>
    <row r="302" customFormat="false" ht="21.75" hidden="false" customHeight="true" outlineLevel="0" collapsed="false">
      <c r="A302" s="29" t="str">
        <f aca="false">IF(①出口报关!A299="","",①出口报关!A299)</f>
        <v/>
      </c>
      <c r="B302" s="29" t="str">
        <f aca="false">IF($A302="","",①出口报关!I299)</f>
        <v/>
      </c>
      <c r="C302" s="29" t="str">
        <f aca="false">IF($A302="","",①出口报关!J299)</f>
        <v/>
      </c>
      <c r="D302" s="30" t="str">
        <f aca="false">IF($A302="","",IF(①出口报关!D299="","",①出口报关!D299))</f>
        <v/>
      </c>
      <c r="E302" s="31" t="str">
        <f aca="false">IF($A302="","",N(①出口报关!L299))</f>
        <v/>
      </c>
      <c r="F302" s="31" t="str">
        <f aca="false">IF($A302="","",IF(①出口报关!Y299="","未签收",①出口报关!Y299))</f>
        <v/>
      </c>
      <c r="G302" s="32" t="str">
        <f aca="false">IF(OR($A302="",NOT(ISNUMBER(F302))),"",F302-E302)</f>
        <v/>
      </c>
      <c r="H302" s="31" t="str">
        <f aca="false">IF($A302="","",SUMIFS(②销售核销!$I$4:$I$603,②销售核销!$E$4:$E$603,$A302))</f>
        <v/>
      </c>
      <c r="I302" s="31" t="str">
        <f aca="false">IF($A302="","",SUMIFS(⑤库存异常!$E$4:$E$203,⑤库存异常!$B$4:$B$203,$A302))</f>
        <v/>
      </c>
      <c r="J302" s="31" t="str">
        <f aca="false">IF($A302="","",IF(ISNUMBER(F302),F302,E302)-H302-I302)</f>
        <v/>
      </c>
      <c r="K302" s="33" t="str">
        <f aca="false">IF(OR($A302="",N(E302)=0),"",H302/E302)</f>
        <v/>
      </c>
      <c r="L302" s="34" t="str">
        <f aca="false">IF($A302="","",SUMIFS(②销售核销!$L$4:$L$603,②销售核销!$E$4:$E$603,$A302))</f>
        <v/>
      </c>
      <c r="M302" s="34" t="str">
        <f aca="false">IF($A302="","",SUMIFS(②销售核销!$L$4:$L$603,②销售核销!$E$4:$E$603,$A302,②销售核销!$M$4:$M$603,"已收汇"))</f>
        <v/>
      </c>
      <c r="N302" s="30" t="str">
        <f aca="false">IF(ISNUMBER(D302),DATE(YEAR(D302)+1,4,30),"")</f>
        <v/>
      </c>
      <c r="O302" s="35" t="str">
        <f aca="true">IF($A302="","",IF(N(H302)=0,IF(AND(ISNUMBER(N302),TODAY()&gt;N302),"超过收汇期限仍未销售","尚未销售"),IF(ROUND(M302,2)&gt;=ROUND(L302,2),"已售部分已收汇",IF(AND(ISNUMBER(N302),TODAY()&gt;N302),"超期未收汇","有回款待收汇"))))</f>
        <v/>
      </c>
      <c r="P302" s="34" t="str">
        <f aca="false">IF($A302="","",SUMIFS(④退税核算!$H$4:$H$303,④退税核算!$A$4:$A$303,$A302))</f>
        <v/>
      </c>
      <c r="Q302" s="34" t="str">
        <f aca="false">IF($A302="","",SUMIFS(④退税核算!$H$4:$H$303,④退税核算!$A$4:$A$303,$A302,④退税核算!$D$4:$D$303,"未售-海外仓预退（HWC-YT）"))</f>
        <v/>
      </c>
      <c r="R302" s="30" t="str">
        <f aca="false">IF($A302="","",IF(COUNTIFS(④退税核算!$A$4:$A$303,$A302,④退税核算!$D$4:$D$303,"未售-海外仓预退（HWC-YT）",④退税核算!$I$4:$I$303,"&gt;0")=0,"",_xlfn.MINIFS(④退税核算!$J$4:$J$303,④退税核算!$A$4:$A$303,$A302,④退税核算!$D$4:$D$303,"未售-海外仓预退（HWC-YT）")))</f>
        <v/>
      </c>
      <c r="S302" s="35" t="str">
        <f aca="false">IF($A302="","",IF(COUNTIFS(④退税核算!$A$4:$A$303,$A302,④退税核算!$D$4:$D$303,"未售-海外仓预退（HWC-YT）")=0,"不涉及",IF(COUNTIFS(④退税核算!$A$4:$A$303,$A302,④退税核算!$S$4:$S$303,"已逾期*")&gt;0,"已逾期",IF(COUNTIFS(④退税核算!$A$4:$A$303,$A302,④退税核算!$S$4:$S$303,"临近*")&gt;0,"临近截止",IF(COUNTIFS(④退税核算!$A$4:$A$303,$A302,④退税核算!$S$4:$S$303,"待*")&gt;0,"待核算","已核算")))))</f>
        <v/>
      </c>
      <c r="T302" s="35" t="str">
        <f aca="false">IF($A302="","",IFERROR(INDEX(⑥单证留存!$P$4:$P$203,MATCH(①出口报关!B299,⑥单证留存!$A$4:$A$203,0)),"未登记"))</f>
        <v/>
      </c>
      <c r="U302" s="36" t="str">
        <f aca="false">IF($A302="","",IF(IF(OR(O302="超期未收汇",O302="超过收汇期限仍未销售")," 收汇超期","")&amp;IF(S302="已逾期"," 核算逾期","")&amp;IF(S302="临近截止"," 核算临近截止","")&amp;IF(LEFT(T302,1)="缺"," 单证"&amp;T302,"")&amp;IF(T302="未登记"," 单证未登记","")&amp;IF(AND(ISNUMBER(G302),N(G302)&lt;&gt;0)," 入仓差异"&amp;G302,"")="","正常",SUBSTITUTE(TRIM(IF(OR(O302="超期未收汇",O302="超过收汇期限仍未销售")," 收汇超期","")&amp;IF(S302="已逾期"," 核算逾期","")&amp;IF(S302="临近截止"," 核算临近截止","")&amp;IF(LEFT(T302,1)="缺"," 单证"&amp;T302,"")&amp;IF(T302="未登记"," 单证未登记","")&amp;IF(AND(ISNUMBER(G302),N(G302)&lt;&gt;0)," 入仓差异"&amp;G302,""))," ","、")))</f>
        <v/>
      </c>
    </row>
    <row r="303" customFormat="false" ht="21.75" hidden="false" customHeight="true" outlineLevel="0" collapsed="false">
      <c r="A303" s="29" t="str">
        <f aca="false">IF(①出口报关!A300="","",①出口报关!A300)</f>
        <v/>
      </c>
      <c r="B303" s="29" t="str">
        <f aca="false">IF($A303="","",①出口报关!I300)</f>
        <v/>
      </c>
      <c r="C303" s="29" t="str">
        <f aca="false">IF($A303="","",①出口报关!J300)</f>
        <v/>
      </c>
      <c r="D303" s="30" t="str">
        <f aca="false">IF($A303="","",IF(①出口报关!D300="","",①出口报关!D300))</f>
        <v/>
      </c>
      <c r="E303" s="31" t="str">
        <f aca="false">IF($A303="","",N(①出口报关!L300))</f>
        <v/>
      </c>
      <c r="F303" s="31" t="str">
        <f aca="false">IF($A303="","",IF(①出口报关!Y300="","未签收",①出口报关!Y300))</f>
        <v/>
      </c>
      <c r="G303" s="32" t="str">
        <f aca="false">IF(OR($A303="",NOT(ISNUMBER(F303))),"",F303-E303)</f>
        <v/>
      </c>
      <c r="H303" s="31" t="str">
        <f aca="false">IF($A303="","",SUMIFS(②销售核销!$I$4:$I$603,②销售核销!$E$4:$E$603,$A303))</f>
        <v/>
      </c>
      <c r="I303" s="31" t="str">
        <f aca="false">IF($A303="","",SUMIFS(⑤库存异常!$E$4:$E$203,⑤库存异常!$B$4:$B$203,$A303))</f>
        <v/>
      </c>
      <c r="J303" s="31" t="str">
        <f aca="false">IF($A303="","",IF(ISNUMBER(F303),F303,E303)-H303-I303)</f>
        <v/>
      </c>
      <c r="K303" s="33" t="str">
        <f aca="false">IF(OR($A303="",N(E303)=0),"",H303/E303)</f>
        <v/>
      </c>
      <c r="L303" s="34" t="str">
        <f aca="false">IF($A303="","",SUMIFS(②销售核销!$L$4:$L$603,②销售核销!$E$4:$E$603,$A303))</f>
        <v/>
      </c>
      <c r="M303" s="34" t="str">
        <f aca="false">IF($A303="","",SUMIFS(②销售核销!$L$4:$L$603,②销售核销!$E$4:$E$603,$A303,②销售核销!$M$4:$M$603,"已收汇"))</f>
        <v/>
      </c>
      <c r="N303" s="30" t="str">
        <f aca="false">IF(ISNUMBER(D303),DATE(YEAR(D303)+1,4,30),"")</f>
        <v/>
      </c>
      <c r="O303" s="35" t="str">
        <f aca="true">IF($A303="","",IF(N(H303)=0,IF(AND(ISNUMBER(N303),TODAY()&gt;N303),"超过收汇期限仍未销售","尚未销售"),IF(ROUND(M303,2)&gt;=ROUND(L303,2),"已售部分已收汇",IF(AND(ISNUMBER(N303),TODAY()&gt;N303),"超期未收汇","有回款待收汇"))))</f>
        <v/>
      </c>
      <c r="P303" s="34" t="str">
        <f aca="false">IF($A303="","",SUMIFS(④退税核算!$H$4:$H$303,④退税核算!$A$4:$A$303,$A303))</f>
        <v/>
      </c>
      <c r="Q303" s="34" t="str">
        <f aca="false">IF($A303="","",SUMIFS(④退税核算!$H$4:$H$303,④退税核算!$A$4:$A$303,$A303,④退税核算!$D$4:$D$303,"未售-海外仓预退（HWC-YT）"))</f>
        <v/>
      </c>
      <c r="R303" s="30" t="str">
        <f aca="false">IF($A303="","",IF(COUNTIFS(④退税核算!$A$4:$A$303,$A303,④退税核算!$D$4:$D$303,"未售-海外仓预退（HWC-YT）",④退税核算!$I$4:$I$303,"&gt;0")=0,"",_xlfn.MINIFS(④退税核算!$J$4:$J$303,④退税核算!$A$4:$A$303,$A303,④退税核算!$D$4:$D$303,"未售-海外仓预退（HWC-YT）")))</f>
        <v/>
      </c>
      <c r="S303" s="35" t="str">
        <f aca="false">IF($A303="","",IF(COUNTIFS(④退税核算!$A$4:$A$303,$A303,④退税核算!$D$4:$D$303,"未售-海外仓预退（HWC-YT）")=0,"不涉及",IF(COUNTIFS(④退税核算!$A$4:$A$303,$A303,④退税核算!$S$4:$S$303,"已逾期*")&gt;0,"已逾期",IF(COUNTIFS(④退税核算!$A$4:$A$303,$A303,④退税核算!$S$4:$S$303,"临近*")&gt;0,"临近截止",IF(COUNTIFS(④退税核算!$A$4:$A$303,$A303,④退税核算!$S$4:$S$303,"待*")&gt;0,"待核算","已核算")))))</f>
        <v/>
      </c>
      <c r="T303" s="35" t="str">
        <f aca="false">IF($A303="","",IFERROR(INDEX(⑥单证留存!$P$4:$P$203,MATCH(①出口报关!B300,⑥单证留存!$A$4:$A$203,0)),"未登记"))</f>
        <v/>
      </c>
      <c r="U303" s="36" t="str">
        <f aca="false">IF($A303="","",IF(IF(OR(O303="超期未收汇",O303="超过收汇期限仍未销售")," 收汇超期","")&amp;IF(S303="已逾期"," 核算逾期","")&amp;IF(S303="临近截止"," 核算临近截止","")&amp;IF(LEFT(T303,1)="缺"," 单证"&amp;T303,"")&amp;IF(T303="未登记"," 单证未登记","")&amp;IF(AND(ISNUMBER(G303),N(G303)&lt;&gt;0)," 入仓差异"&amp;G303,"")="","正常",SUBSTITUTE(TRIM(IF(OR(O303="超期未收汇",O303="超过收汇期限仍未销售")," 收汇超期","")&amp;IF(S303="已逾期"," 核算逾期","")&amp;IF(S303="临近截止"," 核算临近截止","")&amp;IF(LEFT(T303,1)="缺"," 单证"&amp;T303,"")&amp;IF(T303="未登记"," 单证未登记","")&amp;IF(AND(ISNUMBER(G303),N(G303)&lt;&gt;0)," 入仓差异"&amp;G303,""))," ","、")))</f>
        <v/>
      </c>
    </row>
    <row r="304" customFormat="false" ht="21.75" hidden="false" customHeight="true" outlineLevel="0" collapsed="false">
      <c r="A304" s="29" t="str">
        <f aca="false">IF(①出口报关!A301="","",①出口报关!A301)</f>
        <v/>
      </c>
      <c r="B304" s="29" t="str">
        <f aca="false">IF($A304="","",①出口报关!I301)</f>
        <v/>
      </c>
      <c r="C304" s="29" t="str">
        <f aca="false">IF($A304="","",①出口报关!J301)</f>
        <v/>
      </c>
      <c r="D304" s="30" t="str">
        <f aca="false">IF($A304="","",IF(①出口报关!D301="","",①出口报关!D301))</f>
        <v/>
      </c>
      <c r="E304" s="31" t="str">
        <f aca="false">IF($A304="","",N(①出口报关!L301))</f>
        <v/>
      </c>
      <c r="F304" s="31" t="str">
        <f aca="false">IF($A304="","",IF(①出口报关!Y301="","未签收",①出口报关!Y301))</f>
        <v/>
      </c>
      <c r="G304" s="32" t="str">
        <f aca="false">IF(OR($A304="",NOT(ISNUMBER(F304))),"",F304-E304)</f>
        <v/>
      </c>
      <c r="H304" s="31" t="str">
        <f aca="false">IF($A304="","",SUMIFS(②销售核销!$I$4:$I$603,②销售核销!$E$4:$E$603,$A304))</f>
        <v/>
      </c>
      <c r="I304" s="31" t="str">
        <f aca="false">IF($A304="","",SUMIFS(⑤库存异常!$E$4:$E$203,⑤库存异常!$B$4:$B$203,$A304))</f>
        <v/>
      </c>
      <c r="J304" s="31" t="str">
        <f aca="false">IF($A304="","",IF(ISNUMBER(F304),F304,E304)-H304-I304)</f>
        <v/>
      </c>
      <c r="K304" s="33" t="str">
        <f aca="false">IF(OR($A304="",N(E304)=0),"",H304/E304)</f>
        <v/>
      </c>
      <c r="L304" s="34" t="str">
        <f aca="false">IF($A304="","",SUMIFS(②销售核销!$L$4:$L$603,②销售核销!$E$4:$E$603,$A304))</f>
        <v/>
      </c>
      <c r="M304" s="34" t="str">
        <f aca="false">IF($A304="","",SUMIFS(②销售核销!$L$4:$L$603,②销售核销!$E$4:$E$603,$A304,②销售核销!$M$4:$M$603,"已收汇"))</f>
        <v/>
      </c>
      <c r="N304" s="30" t="str">
        <f aca="false">IF(ISNUMBER(D304),DATE(YEAR(D304)+1,4,30),"")</f>
        <v/>
      </c>
      <c r="O304" s="35" t="str">
        <f aca="true">IF($A304="","",IF(N(H304)=0,IF(AND(ISNUMBER(N304),TODAY()&gt;N304),"超过收汇期限仍未销售","尚未销售"),IF(ROUND(M304,2)&gt;=ROUND(L304,2),"已售部分已收汇",IF(AND(ISNUMBER(N304),TODAY()&gt;N304),"超期未收汇","有回款待收汇"))))</f>
        <v/>
      </c>
      <c r="P304" s="34" t="str">
        <f aca="false">IF($A304="","",SUMIFS(④退税核算!$H$4:$H$303,④退税核算!$A$4:$A$303,$A304))</f>
        <v/>
      </c>
      <c r="Q304" s="34" t="str">
        <f aca="false">IF($A304="","",SUMIFS(④退税核算!$H$4:$H$303,④退税核算!$A$4:$A$303,$A304,④退税核算!$D$4:$D$303,"未售-海外仓预退（HWC-YT）"))</f>
        <v/>
      </c>
      <c r="R304" s="30" t="str">
        <f aca="false">IF($A304="","",IF(COUNTIFS(④退税核算!$A$4:$A$303,$A304,④退税核算!$D$4:$D$303,"未售-海外仓预退（HWC-YT）",④退税核算!$I$4:$I$303,"&gt;0")=0,"",_xlfn.MINIFS(④退税核算!$J$4:$J$303,④退税核算!$A$4:$A$303,$A304,④退税核算!$D$4:$D$303,"未售-海外仓预退（HWC-YT）")))</f>
        <v/>
      </c>
      <c r="S304" s="35" t="str">
        <f aca="false">IF($A304="","",IF(COUNTIFS(④退税核算!$A$4:$A$303,$A304,④退税核算!$D$4:$D$303,"未售-海外仓预退（HWC-YT）")=0,"不涉及",IF(COUNTIFS(④退税核算!$A$4:$A$303,$A304,④退税核算!$S$4:$S$303,"已逾期*")&gt;0,"已逾期",IF(COUNTIFS(④退税核算!$A$4:$A$303,$A304,④退税核算!$S$4:$S$303,"临近*")&gt;0,"临近截止",IF(COUNTIFS(④退税核算!$A$4:$A$303,$A304,④退税核算!$S$4:$S$303,"待*")&gt;0,"待核算","已核算")))))</f>
        <v/>
      </c>
      <c r="T304" s="35" t="str">
        <f aca="false">IF($A304="","",IFERROR(INDEX(⑥单证留存!$P$4:$P$203,MATCH(①出口报关!B301,⑥单证留存!$A$4:$A$203,0)),"未登记"))</f>
        <v/>
      </c>
      <c r="U304" s="36" t="str">
        <f aca="false">IF($A304="","",IF(IF(OR(O304="超期未收汇",O304="超过收汇期限仍未销售")," 收汇超期","")&amp;IF(S304="已逾期"," 核算逾期","")&amp;IF(S304="临近截止"," 核算临近截止","")&amp;IF(LEFT(T304,1)="缺"," 单证"&amp;T304,"")&amp;IF(T304="未登记"," 单证未登记","")&amp;IF(AND(ISNUMBER(G304),N(G304)&lt;&gt;0)," 入仓差异"&amp;G304,"")="","正常",SUBSTITUTE(TRIM(IF(OR(O304="超期未收汇",O304="超过收汇期限仍未销售")," 收汇超期","")&amp;IF(S304="已逾期"," 核算逾期","")&amp;IF(S304="临近截止"," 核算临近截止","")&amp;IF(LEFT(T304,1)="缺"," 单证"&amp;T304,"")&amp;IF(T304="未登记"," 单证未登记","")&amp;IF(AND(ISNUMBER(G304),N(G304)&lt;&gt;0)," 入仓差异"&amp;G304,""))," ","、")))</f>
        <v/>
      </c>
    </row>
    <row r="305" customFormat="false" ht="21.75" hidden="false" customHeight="true" outlineLevel="0" collapsed="false">
      <c r="A305" s="29" t="str">
        <f aca="false">IF(①出口报关!A302="","",①出口报关!A302)</f>
        <v/>
      </c>
      <c r="B305" s="29" t="str">
        <f aca="false">IF($A305="","",①出口报关!I302)</f>
        <v/>
      </c>
      <c r="C305" s="29" t="str">
        <f aca="false">IF($A305="","",①出口报关!J302)</f>
        <v/>
      </c>
      <c r="D305" s="30" t="str">
        <f aca="false">IF($A305="","",IF(①出口报关!D302="","",①出口报关!D302))</f>
        <v/>
      </c>
      <c r="E305" s="31" t="str">
        <f aca="false">IF($A305="","",N(①出口报关!L302))</f>
        <v/>
      </c>
      <c r="F305" s="31" t="str">
        <f aca="false">IF($A305="","",IF(①出口报关!Y302="","未签收",①出口报关!Y302))</f>
        <v/>
      </c>
      <c r="G305" s="32" t="str">
        <f aca="false">IF(OR($A305="",NOT(ISNUMBER(F305))),"",F305-E305)</f>
        <v/>
      </c>
      <c r="H305" s="31" t="str">
        <f aca="false">IF($A305="","",SUMIFS(②销售核销!$I$4:$I$603,②销售核销!$E$4:$E$603,$A305))</f>
        <v/>
      </c>
      <c r="I305" s="31" t="str">
        <f aca="false">IF($A305="","",SUMIFS(⑤库存异常!$E$4:$E$203,⑤库存异常!$B$4:$B$203,$A305))</f>
        <v/>
      </c>
      <c r="J305" s="31" t="str">
        <f aca="false">IF($A305="","",IF(ISNUMBER(F305),F305,E305)-H305-I305)</f>
        <v/>
      </c>
      <c r="K305" s="33" t="str">
        <f aca="false">IF(OR($A305="",N(E305)=0),"",H305/E305)</f>
        <v/>
      </c>
      <c r="L305" s="34" t="str">
        <f aca="false">IF($A305="","",SUMIFS(②销售核销!$L$4:$L$603,②销售核销!$E$4:$E$603,$A305))</f>
        <v/>
      </c>
      <c r="M305" s="34" t="str">
        <f aca="false">IF($A305="","",SUMIFS(②销售核销!$L$4:$L$603,②销售核销!$E$4:$E$603,$A305,②销售核销!$M$4:$M$603,"已收汇"))</f>
        <v/>
      </c>
      <c r="N305" s="30" t="str">
        <f aca="false">IF(ISNUMBER(D305),DATE(YEAR(D305)+1,4,30),"")</f>
        <v/>
      </c>
      <c r="O305" s="35" t="str">
        <f aca="true">IF($A305="","",IF(N(H305)=0,IF(AND(ISNUMBER(N305),TODAY()&gt;N305),"超过收汇期限仍未销售","尚未销售"),IF(ROUND(M305,2)&gt;=ROUND(L305,2),"已售部分已收汇",IF(AND(ISNUMBER(N305),TODAY()&gt;N305),"超期未收汇","有回款待收汇"))))</f>
        <v/>
      </c>
      <c r="P305" s="34" t="str">
        <f aca="false">IF($A305="","",SUMIFS(④退税核算!$H$4:$H$303,④退税核算!$A$4:$A$303,$A305))</f>
        <v/>
      </c>
      <c r="Q305" s="34" t="str">
        <f aca="false">IF($A305="","",SUMIFS(④退税核算!$H$4:$H$303,④退税核算!$A$4:$A$303,$A305,④退税核算!$D$4:$D$303,"未售-海外仓预退（HWC-YT）"))</f>
        <v/>
      </c>
      <c r="R305" s="30" t="str">
        <f aca="false">IF($A305="","",IF(COUNTIFS(④退税核算!$A$4:$A$303,$A305,④退税核算!$D$4:$D$303,"未售-海外仓预退（HWC-YT）",④退税核算!$I$4:$I$303,"&gt;0")=0,"",_xlfn.MINIFS(④退税核算!$J$4:$J$303,④退税核算!$A$4:$A$303,$A305,④退税核算!$D$4:$D$303,"未售-海外仓预退（HWC-YT）")))</f>
        <v/>
      </c>
      <c r="S305" s="35" t="str">
        <f aca="false">IF($A305="","",IF(COUNTIFS(④退税核算!$A$4:$A$303,$A305,④退税核算!$D$4:$D$303,"未售-海外仓预退（HWC-YT）")=0,"不涉及",IF(COUNTIFS(④退税核算!$A$4:$A$303,$A305,④退税核算!$S$4:$S$303,"已逾期*")&gt;0,"已逾期",IF(COUNTIFS(④退税核算!$A$4:$A$303,$A305,④退税核算!$S$4:$S$303,"临近*")&gt;0,"临近截止",IF(COUNTIFS(④退税核算!$A$4:$A$303,$A305,④退税核算!$S$4:$S$303,"待*")&gt;0,"待核算","已核算")))))</f>
        <v/>
      </c>
      <c r="T305" s="35" t="str">
        <f aca="false">IF($A305="","",IFERROR(INDEX(⑥单证留存!$P$4:$P$203,MATCH(①出口报关!B302,⑥单证留存!$A$4:$A$203,0)),"未登记"))</f>
        <v/>
      </c>
      <c r="U305" s="36" t="str">
        <f aca="false">IF($A305="","",IF(IF(OR(O305="超期未收汇",O305="超过收汇期限仍未销售")," 收汇超期","")&amp;IF(S305="已逾期"," 核算逾期","")&amp;IF(S305="临近截止"," 核算临近截止","")&amp;IF(LEFT(T305,1)="缺"," 单证"&amp;T305,"")&amp;IF(T305="未登记"," 单证未登记","")&amp;IF(AND(ISNUMBER(G305),N(G305)&lt;&gt;0)," 入仓差异"&amp;G305,"")="","正常",SUBSTITUTE(TRIM(IF(OR(O305="超期未收汇",O305="超过收汇期限仍未销售")," 收汇超期","")&amp;IF(S305="已逾期"," 核算逾期","")&amp;IF(S305="临近截止"," 核算临近截止","")&amp;IF(LEFT(T305,1)="缺"," 单证"&amp;T305,"")&amp;IF(T305="未登记"," 单证未登记","")&amp;IF(AND(ISNUMBER(G305),N(G305)&lt;&gt;0)," 入仓差异"&amp;G305,""))," ","、")))</f>
        <v/>
      </c>
    </row>
    <row r="306" customFormat="false" ht="21.75" hidden="false" customHeight="true" outlineLevel="0" collapsed="false">
      <c r="A306" s="29" t="str">
        <f aca="false">IF(①出口报关!A303="","",①出口报关!A303)</f>
        <v/>
      </c>
      <c r="B306" s="29" t="str">
        <f aca="false">IF($A306="","",①出口报关!I303)</f>
        <v/>
      </c>
      <c r="C306" s="29" t="str">
        <f aca="false">IF($A306="","",①出口报关!J303)</f>
        <v/>
      </c>
      <c r="D306" s="30" t="str">
        <f aca="false">IF($A306="","",IF(①出口报关!D303="","",①出口报关!D303))</f>
        <v/>
      </c>
      <c r="E306" s="31" t="str">
        <f aca="false">IF($A306="","",N(①出口报关!L303))</f>
        <v/>
      </c>
      <c r="F306" s="31" t="str">
        <f aca="false">IF($A306="","",IF(①出口报关!Y303="","未签收",①出口报关!Y303))</f>
        <v/>
      </c>
      <c r="G306" s="32" t="str">
        <f aca="false">IF(OR($A306="",NOT(ISNUMBER(F306))),"",F306-E306)</f>
        <v/>
      </c>
      <c r="H306" s="31" t="str">
        <f aca="false">IF($A306="","",SUMIFS(②销售核销!$I$4:$I$603,②销售核销!$E$4:$E$603,$A306))</f>
        <v/>
      </c>
      <c r="I306" s="31" t="str">
        <f aca="false">IF($A306="","",SUMIFS(⑤库存异常!$E$4:$E$203,⑤库存异常!$B$4:$B$203,$A306))</f>
        <v/>
      </c>
      <c r="J306" s="31" t="str">
        <f aca="false">IF($A306="","",IF(ISNUMBER(F306),F306,E306)-H306-I306)</f>
        <v/>
      </c>
      <c r="K306" s="33" t="str">
        <f aca="false">IF(OR($A306="",N(E306)=0),"",H306/E306)</f>
        <v/>
      </c>
      <c r="L306" s="34" t="str">
        <f aca="false">IF($A306="","",SUMIFS(②销售核销!$L$4:$L$603,②销售核销!$E$4:$E$603,$A306))</f>
        <v/>
      </c>
      <c r="M306" s="34" t="str">
        <f aca="false">IF($A306="","",SUMIFS(②销售核销!$L$4:$L$603,②销售核销!$E$4:$E$603,$A306,②销售核销!$M$4:$M$603,"已收汇"))</f>
        <v/>
      </c>
      <c r="N306" s="30" t="str">
        <f aca="false">IF(ISNUMBER(D306),DATE(YEAR(D306)+1,4,30),"")</f>
        <v/>
      </c>
      <c r="O306" s="35" t="str">
        <f aca="true">IF($A306="","",IF(N(H306)=0,IF(AND(ISNUMBER(N306),TODAY()&gt;N306),"超过收汇期限仍未销售","尚未销售"),IF(ROUND(M306,2)&gt;=ROUND(L306,2),"已售部分已收汇",IF(AND(ISNUMBER(N306),TODAY()&gt;N306),"超期未收汇","有回款待收汇"))))</f>
        <v/>
      </c>
      <c r="P306" s="34" t="str">
        <f aca="false">IF($A306="","",SUMIFS(④退税核算!$H$4:$H$303,④退税核算!$A$4:$A$303,$A306))</f>
        <v/>
      </c>
      <c r="Q306" s="34" t="str">
        <f aca="false">IF($A306="","",SUMIFS(④退税核算!$H$4:$H$303,④退税核算!$A$4:$A$303,$A306,④退税核算!$D$4:$D$303,"未售-海外仓预退（HWC-YT）"))</f>
        <v/>
      </c>
      <c r="R306" s="30" t="str">
        <f aca="false">IF($A306="","",IF(COUNTIFS(④退税核算!$A$4:$A$303,$A306,④退税核算!$D$4:$D$303,"未售-海外仓预退（HWC-YT）",④退税核算!$I$4:$I$303,"&gt;0")=0,"",_xlfn.MINIFS(④退税核算!$J$4:$J$303,④退税核算!$A$4:$A$303,$A306,④退税核算!$D$4:$D$303,"未售-海外仓预退（HWC-YT）")))</f>
        <v/>
      </c>
      <c r="S306" s="35" t="str">
        <f aca="false">IF($A306="","",IF(COUNTIFS(④退税核算!$A$4:$A$303,$A306,④退税核算!$D$4:$D$303,"未售-海外仓预退（HWC-YT）")=0,"不涉及",IF(COUNTIFS(④退税核算!$A$4:$A$303,$A306,④退税核算!$S$4:$S$303,"已逾期*")&gt;0,"已逾期",IF(COUNTIFS(④退税核算!$A$4:$A$303,$A306,④退税核算!$S$4:$S$303,"临近*")&gt;0,"临近截止",IF(COUNTIFS(④退税核算!$A$4:$A$303,$A306,④退税核算!$S$4:$S$303,"待*")&gt;0,"待核算","已核算")))))</f>
        <v/>
      </c>
      <c r="T306" s="35" t="str">
        <f aca="false">IF($A306="","",IFERROR(INDEX(⑥单证留存!$P$4:$P$203,MATCH(①出口报关!B303,⑥单证留存!$A$4:$A$203,0)),"未登记"))</f>
        <v/>
      </c>
      <c r="U306" s="36" t="str">
        <f aca="false">IF($A306="","",IF(IF(OR(O306="超期未收汇",O306="超过收汇期限仍未销售")," 收汇超期","")&amp;IF(S306="已逾期"," 核算逾期","")&amp;IF(S306="临近截止"," 核算临近截止","")&amp;IF(LEFT(T306,1)="缺"," 单证"&amp;T306,"")&amp;IF(T306="未登记"," 单证未登记","")&amp;IF(AND(ISNUMBER(G306),N(G306)&lt;&gt;0)," 入仓差异"&amp;G306,"")="","正常",SUBSTITUTE(TRIM(IF(OR(O306="超期未收汇",O306="超过收汇期限仍未销售")," 收汇超期","")&amp;IF(S306="已逾期"," 核算逾期","")&amp;IF(S306="临近截止"," 核算临近截止","")&amp;IF(LEFT(T306,1)="缺"," 单证"&amp;T306,"")&amp;IF(T306="未登记"," 单证未登记","")&amp;IF(AND(ISNUMBER(G306),N(G306)&lt;&gt;0)," 入仓差异"&amp;G306,""))," ","、")))</f>
        <v/>
      </c>
    </row>
  </sheetData>
  <mergeCells count="19">
    <mergeCell ref="A2:U2"/>
    <mergeCell ref="A3:B3"/>
    <mergeCell ref="C3:D3"/>
    <mergeCell ref="E3:F3"/>
    <mergeCell ref="G3:H3"/>
    <mergeCell ref="I3:J3"/>
    <mergeCell ref="K3:L3"/>
    <mergeCell ref="M3:N3"/>
    <mergeCell ref="O3:P3"/>
    <mergeCell ref="Q3:R3"/>
    <mergeCell ref="A4:B4"/>
    <mergeCell ref="C4:D4"/>
    <mergeCell ref="E4:F4"/>
    <mergeCell ref="G4:H4"/>
    <mergeCell ref="I4:J4"/>
    <mergeCell ref="K4:L4"/>
    <mergeCell ref="M4:N4"/>
    <mergeCell ref="O4:P4"/>
    <mergeCell ref="Q4:R4"/>
  </mergeCells>
  <conditionalFormatting sqref="O4">
    <cfRule type="expression" priority="2" aboveAverage="0" equalAverage="0" bottom="0" percent="0" rank="0" text="" dxfId="0">
      <formula>N(O4)&gt;0</formula>
    </cfRule>
  </conditionalFormatting>
  <conditionalFormatting sqref="Q4">
    <cfRule type="expression" priority="3" aboveAverage="0" equalAverage="0" bottom="0" percent="0" rank="0" text="" dxfId="0">
      <formula>N(Q4)&gt;0</formula>
    </cfRule>
  </conditionalFormatting>
  <conditionalFormatting sqref="M4">
    <cfRule type="expression" priority="4" aboveAverage="0" equalAverage="0" bottom="0" percent="0" rank="0" text="" dxfId="1">
      <formula>N(M4)&gt;0</formula>
    </cfRule>
  </conditionalFormatting>
  <conditionalFormatting sqref="F7:G306">
    <cfRule type="expression" priority="5" aboveAverage="0" equalAverage="0" bottom="0" percent="0" rank="0" text="" dxfId="0">
      <formula>OR(ISNUMBER(SEARCH("逾期",F7)),ISNUMBER(SEARCH("超期",F7)),ISNUMBER(SEARCH("缺",F7)),ISNUMBER(SEARCH("未收汇",F7)),ISNUMBER(SEARCH("不符",F7)),ISNUMBER(SEARCH("未建档",F7)),ISNUMBER(SEARCH("超过",F7)),ISNUMBER(SEARCH("未登记",F7)),ISNUMBER(SEARCH("不存在",F7)),ISNUMBER(SEARCH("差异",F7)))</formula>
    </cfRule>
    <cfRule type="expression" priority="6" aboveAverage="0" equalAverage="0" bottom="0" percent="0" rank="0" text="" dxfId="2">
      <formula>OR(ISNUMBER(SEARCH("临近",F7)),ISNUMBER(SEARCH("仍未销售",F7)),ISNUMBER(SEARCH("需要调整",F7)),ISNUMBER(SEARCH("待",F7)),ISNUMBER(SEARCH("尚未",F7)),ISNUMBER(SEARCH("请选择",F7)),ISNUMBER(SEARCH("未签收",F7)))</formula>
    </cfRule>
    <cfRule type="expression" priority="7" aboveAverage="0" equalAverage="0" bottom="0" percent="0" rank="0" text="" dxfId="3">
      <formula>OR(ISNUMBER(SEARCH("已收汇",F7)),ISNUMBER(SEARCH("及时",F7)),ISNUMBER(SEARCH("按时",F7)),ISNUMBER(SEARCH("齐全",F7)),ISNUMBER(SEARCH("已核算",F7)),F7="正常",F7="一致",ISNUMBER(SEARCH("无需调整",F7)))</formula>
    </cfRule>
  </conditionalFormatting>
  <conditionalFormatting sqref="O7:O306">
    <cfRule type="expression" priority="8" aboveAverage="0" equalAverage="0" bottom="0" percent="0" rank="0" text="" dxfId="0">
      <formula>OR(ISNUMBER(SEARCH("逾期",O7)),ISNUMBER(SEARCH("超期",O7)),ISNUMBER(SEARCH("缺",O7)),ISNUMBER(SEARCH("未收汇",O7)),ISNUMBER(SEARCH("不符",O7)),ISNUMBER(SEARCH("未建档",O7)),ISNUMBER(SEARCH("超过",O7)),ISNUMBER(SEARCH("未登记",O7)),ISNUMBER(SEARCH("不存在",O7)),ISNUMBER(SEARCH("差异",O7)))</formula>
    </cfRule>
    <cfRule type="expression" priority="9" aboveAverage="0" equalAverage="0" bottom="0" percent="0" rank="0" text="" dxfId="2">
      <formula>OR(ISNUMBER(SEARCH("临近",O7)),ISNUMBER(SEARCH("仍未销售",O7)),ISNUMBER(SEARCH("需要调整",O7)),ISNUMBER(SEARCH("待",O7)),ISNUMBER(SEARCH("尚未",O7)),ISNUMBER(SEARCH("请选择",O7)),ISNUMBER(SEARCH("未签收",O7)))</formula>
    </cfRule>
    <cfRule type="expression" priority="10" aboveAverage="0" equalAverage="0" bottom="0" percent="0" rank="0" text="" dxfId="3">
      <formula>OR(ISNUMBER(SEARCH("已收汇",O7)),ISNUMBER(SEARCH("及时",O7)),ISNUMBER(SEARCH("按时",O7)),ISNUMBER(SEARCH("齐全",O7)),ISNUMBER(SEARCH("已核算",O7)),O7="正常",O7="一致",ISNUMBER(SEARCH("无需调整",O7)))</formula>
    </cfRule>
  </conditionalFormatting>
  <conditionalFormatting sqref="S7:U306">
    <cfRule type="expression" priority="11" aboveAverage="0" equalAverage="0" bottom="0" percent="0" rank="0" text="" dxfId="0">
      <formula>OR(ISNUMBER(SEARCH("逾期",S7)),ISNUMBER(SEARCH("超期",S7)),ISNUMBER(SEARCH("缺",S7)),ISNUMBER(SEARCH("未收汇",S7)),ISNUMBER(SEARCH("不符",S7)),ISNUMBER(SEARCH("未建档",S7)),ISNUMBER(SEARCH("超过",S7)),ISNUMBER(SEARCH("未登记",S7)),ISNUMBER(SEARCH("不存在",S7)),ISNUMBER(SEARCH("差异",S7)))</formula>
    </cfRule>
    <cfRule type="expression" priority="12" aboveAverage="0" equalAverage="0" bottom="0" percent="0" rank="0" text="" dxfId="2">
      <formula>OR(ISNUMBER(SEARCH("临近",S7)),ISNUMBER(SEARCH("仍未销售",S7)),ISNUMBER(SEARCH("需要调整",S7)),ISNUMBER(SEARCH("待",S7)),ISNUMBER(SEARCH("尚未",S7)),ISNUMBER(SEARCH("请选择",S7)),ISNUMBER(SEARCH("未签收",S7)))</formula>
    </cfRule>
    <cfRule type="expression" priority="13" aboveAverage="0" equalAverage="0" bottom="0" percent="0" rank="0" text="" dxfId="3">
      <formula>OR(ISNUMBER(SEARCH("已收汇",S7)),ISNUMBER(SEARCH("及时",S7)),ISNUMBER(SEARCH("按时",S7)),ISNUMBER(SEARCH("齐全",S7)),ISNUMBER(SEARCH("已核算",S7)),S7="正常",S7="一致",ISNUMBER(SEARCH("无需调整",S7)))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6C8"/>
    <pageSetUpPr fitToPage="true"/>
  </sheetPr>
  <dimension ref="A1:AC3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7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7"/>
    <col collapsed="false" customWidth="true" hidden="false" outlineLevel="0" max="14" min="14" style="0" width="8"/>
    <col collapsed="false" customWidth="true" hidden="false" outlineLevel="0" max="15" min="15" style="0" width="13"/>
    <col collapsed="false" customWidth="true" hidden="false" outlineLevel="0" max="16" min="16" style="0" width="9"/>
    <col collapsed="false" customWidth="true" hidden="false" outlineLevel="0" max="19" min="17" style="0" width="14"/>
    <col collapsed="false" customWidth="true" hidden="false" outlineLevel="0" max="20" min="20" style="0" width="8"/>
    <col collapsed="false" customWidth="true" hidden="false" outlineLevel="0" max="21" min="21" style="0" width="14"/>
    <col collapsed="false" customWidth="true" hidden="false" outlineLevel="0" max="22" min="22" style="0" width="13"/>
    <col collapsed="false" customWidth="true" hidden="false" outlineLevel="0" max="23" min="23" style="0" width="12"/>
    <col collapsed="false" customWidth="true" hidden="false" outlineLevel="0" max="24" min="24" style="0" width="14"/>
    <col collapsed="false" customWidth="true" hidden="false" outlineLevel="0" max="25" min="25" style="0" width="11"/>
    <col collapsed="false" customWidth="true" hidden="false" outlineLevel="0" max="26" min="26" style="0" width="12"/>
    <col collapsed="false" customWidth="true" hidden="false" outlineLevel="0" max="27" min="27" style="0" width="9"/>
    <col collapsed="false" customWidth="true" hidden="false" outlineLevel="0" max="28" min="28" style="0" width="20"/>
    <col collapsed="false" customWidth="true" hidden="false" outlineLevel="0" max="29" min="29" style="0" width="10"/>
  </cols>
  <sheetData>
    <row r="1" customFormat="false" ht="36" hidden="false" customHeight="true" outlineLevel="0" collapsed="false">
      <c r="A1" s="23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33.75" hidden="false" customHeight="true" outlineLevel="0" collapsed="false">
      <c r="A2" s="22" t="s">
        <v>142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customFormat="false" ht="61.5" hidden="false" customHeight="true" outlineLevel="0" collapsed="false">
      <c r="A3" s="27" t="s">
        <v>143</v>
      </c>
      <c r="B3" s="37" t="s">
        <v>144</v>
      </c>
      <c r="C3" s="37" t="s">
        <v>145</v>
      </c>
      <c r="D3" s="37" t="s">
        <v>127</v>
      </c>
      <c r="E3" s="37" t="s">
        <v>146</v>
      </c>
      <c r="F3" s="38" t="s">
        <v>147</v>
      </c>
      <c r="G3" s="37" t="s">
        <v>148</v>
      </c>
      <c r="H3" s="37" t="s">
        <v>149</v>
      </c>
      <c r="I3" s="38" t="s">
        <v>125</v>
      </c>
      <c r="J3" s="27" t="s">
        <v>150</v>
      </c>
      <c r="K3" s="28" t="s">
        <v>151</v>
      </c>
      <c r="L3" s="37" t="s">
        <v>128</v>
      </c>
      <c r="M3" s="27" t="s">
        <v>152</v>
      </c>
      <c r="N3" s="37" t="s">
        <v>153</v>
      </c>
      <c r="O3" s="38" t="s">
        <v>154</v>
      </c>
      <c r="P3" s="37" t="s">
        <v>155</v>
      </c>
      <c r="Q3" s="28" t="s">
        <v>156</v>
      </c>
      <c r="R3" s="37" t="s">
        <v>157</v>
      </c>
      <c r="S3" s="37" t="s">
        <v>158</v>
      </c>
      <c r="T3" s="27" t="s">
        <v>159</v>
      </c>
      <c r="U3" s="27" t="s">
        <v>160</v>
      </c>
      <c r="V3" s="27" t="s">
        <v>161</v>
      </c>
      <c r="W3" s="37" t="s">
        <v>162</v>
      </c>
      <c r="X3" s="37" t="s">
        <v>163</v>
      </c>
      <c r="Y3" s="37" t="s">
        <v>164</v>
      </c>
      <c r="Z3" s="37" t="s">
        <v>165</v>
      </c>
      <c r="AA3" s="27" t="s">
        <v>166</v>
      </c>
      <c r="AB3" s="37" t="s">
        <v>167</v>
      </c>
      <c r="AC3" s="37" t="s">
        <v>168</v>
      </c>
    </row>
    <row r="4" customFormat="false" ht="21.75" hidden="false" customHeight="true" outlineLevel="0" collapsed="false">
      <c r="A4" s="29" t="str">
        <f aca="false">IF(OR(B4="",C4=""),"",B4&amp;"-"&amp;C4)</f>
        <v>530120260000000001-1</v>
      </c>
      <c r="B4" s="39" t="s">
        <v>169</v>
      </c>
      <c r="C4" s="40" t="n">
        <v>1</v>
      </c>
      <c r="D4" s="41" t="n">
        <v>46091</v>
      </c>
      <c r="E4" s="42" t="s">
        <v>170</v>
      </c>
      <c r="F4" s="39" t="s">
        <v>171</v>
      </c>
      <c r="G4" s="43" t="s">
        <v>172</v>
      </c>
      <c r="H4" s="44" t="s">
        <v>173</v>
      </c>
      <c r="I4" s="44" t="s">
        <v>174</v>
      </c>
      <c r="J4" s="36" t="str">
        <f aca="false">IF(I4="","",IFERROR(INDEX(参数表!$D$13:$D$212,MATCH(I4,参数表!$A$13:$A$212,0)),"SKU未建档"))</f>
        <v>示例商品A</v>
      </c>
      <c r="K4" s="36" t="str">
        <f aca="false">IF(I4="","",IFERROR(INDEX(参数表!$F$13:$F$212,MATCH(I4,参数表!$A$13:$A$212,0)),"SKU未建档"))</f>
        <v>按实际填写</v>
      </c>
      <c r="L4" s="45" t="n">
        <v>1000</v>
      </c>
      <c r="M4" s="35" t="str">
        <f aca="false">IF(I4="","",IFERROR(INDEX(参数表!$G$13:$G$212,MATCH(I4,参数表!$A$13:$A$212,0)),"SKU未建档"))</f>
        <v>个</v>
      </c>
      <c r="N4" s="40" t="s">
        <v>175</v>
      </c>
      <c r="O4" s="46" t="n">
        <v>6000</v>
      </c>
      <c r="P4" s="47" t="n">
        <v>7.1</v>
      </c>
      <c r="Q4" s="34" t="n">
        <f aca="false">IF(OR(O4="",P4=""),"",ROUND(O4*P4,2))</f>
        <v>42600</v>
      </c>
      <c r="R4" s="48" t="s">
        <v>176</v>
      </c>
      <c r="S4" s="46" t="n">
        <v>36000</v>
      </c>
      <c r="T4" s="33" t="n">
        <f aca="false">IF(I4="","",IFERROR(INDEX(参数表!$H$13:$H$212,MATCH(I4,参数表!$A$13:$A$212,0)),"SKU未建档"))</f>
        <v>0.13</v>
      </c>
      <c r="U4" s="34" t="n">
        <f aca="false">IF(A4="","",IF(参数表!$B$6="外贸企业",IF(S4="","",S4),IF(Q4="","",Q4)))</f>
        <v>36000</v>
      </c>
      <c r="V4" s="34" t="n">
        <f aca="false">IF(OR(U4="",NOT(ISNUMBER(T4))),"",ROUND(U4*T4,2))</f>
        <v>4680</v>
      </c>
      <c r="W4" s="43" t="s">
        <v>177</v>
      </c>
      <c r="X4" s="48" t="s">
        <v>178</v>
      </c>
      <c r="Y4" s="45" t="n">
        <v>996</v>
      </c>
      <c r="Z4" s="41" t="n">
        <v>46132</v>
      </c>
      <c r="AA4" s="32" t="n">
        <f aca="false">IF(OR(L4="",Y4=""),"",Y4-L4)</f>
        <v>-4</v>
      </c>
      <c r="AB4" s="44" t="s">
        <v>179</v>
      </c>
      <c r="AC4" s="43" t="s">
        <v>180</v>
      </c>
    </row>
    <row r="5" customFormat="false" ht="21.75" hidden="false" customHeight="true" outlineLevel="0" collapsed="false">
      <c r="A5" s="29" t="str">
        <f aca="false">IF(OR(B5="",C5=""),"",B5&amp;"-"&amp;C5)</f>
        <v>530120260000000001-2</v>
      </c>
      <c r="B5" s="39" t="s">
        <v>169</v>
      </c>
      <c r="C5" s="40" t="n">
        <v>2</v>
      </c>
      <c r="D5" s="41" t="n">
        <v>46091</v>
      </c>
      <c r="E5" s="42" t="s">
        <v>170</v>
      </c>
      <c r="F5" s="39" t="s">
        <v>171</v>
      </c>
      <c r="G5" s="43" t="s">
        <v>172</v>
      </c>
      <c r="H5" s="44" t="s">
        <v>173</v>
      </c>
      <c r="I5" s="44" t="s">
        <v>181</v>
      </c>
      <c r="J5" s="36" t="str">
        <f aca="false">IF(I5="","",IFERROR(INDEX(参数表!$D$13:$D$212,MATCH(I5,参数表!$A$13:$A$212,0)),"SKU未建档"))</f>
        <v>示例商品B</v>
      </c>
      <c r="K5" s="36" t="str">
        <f aca="false">IF(I5="","",IFERROR(INDEX(参数表!$F$13:$F$212,MATCH(I5,参数表!$A$13:$A$212,0)),"SKU未建档"))</f>
        <v>按实际填写</v>
      </c>
      <c r="L5" s="45" t="n">
        <v>500</v>
      </c>
      <c r="M5" s="35" t="str">
        <f aca="false">IF(I5="","",IFERROR(INDEX(参数表!$G$13:$G$212,MATCH(I5,参数表!$A$13:$A$212,0)),"SKU未建档"))</f>
        <v>个</v>
      </c>
      <c r="N5" s="40" t="s">
        <v>175</v>
      </c>
      <c r="O5" s="46" t="n">
        <v>4000</v>
      </c>
      <c r="P5" s="47" t="n">
        <v>7.1</v>
      </c>
      <c r="Q5" s="34" t="n">
        <f aca="false">IF(OR(O5="",P5=""),"",ROUND(O5*P5,2))</f>
        <v>28400</v>
      </c>
      <c r="R5" s="48" t="s">
        <v>182</v>
      </c>
      <c r="S5" s="46" t="n">
        <v>22000</v>
      </c>
      <c r="T5" s="33" t="n">
        <f aca="false">IF(I5="","",IFERROR(INDEX(参数表!$H$13:$H$212,MATCH(I5,参数表!$A$13:$A$212,0)),"SKU未建档"))</f>
        <v>0.13</v>
      </c>
      <c r="U5" s="34" t="n">
        <f aca="false">IF(A5="","",IF(参数表!$B$6="外贸企业",IF(S5="","",S5),IF(Q5="","",Q5)))</f>
        <v>22000</v>
      </c>
      <c r="V5" s="34" t="n">
        <f aca="false">IF(OR(U5="",NOT(ISNUMBER(T5))),"",ROUND(U5*T5,2))</f>
        <v>2860</v>
      </c>
      <c r="W5" s="43" t="s">
        <v>177</v>
      </c>
      <c r="X5" s="48" t="s">
        <v>178</v>
      </c>
      <c r="Y5" s="45" t="n">
        <v>500</v>
      </c>
      <c r="Z5" s="41" t="n">
        <v>46132</v>
      </c>
      <c r="AA5" s="32" t="n">
        <f aca="false">IF(OR(L5="",Y5=""),"",Y5-L5)</f>
        <v>0</v>
      </c>
      <c r="AB5" s="43"/>
      <c r="AC5" s="43" t="s">
        <v>180</v>
      </c>
    </row>
    <row r="6" customFormat="false" ht="21.75" hidden="false" customHeight="true" outlineLevel="0" collapsed="false">
      <c r="A6" s="29" t="str">
        <f aca="false">IF(OR(B6="",C6=""),"",B6&amp;"-"&amp;C6)</f>
        <v/>
      </c>
      <c r="B6" s="48"/>
      <c r="C6" s="40"/>
      <c r="D6" s="41"/>
      <c r="E6" s="42"/>
      <c r="F6" s="48"/>
      <c r="G6" s="43"/>
      <c r="H6" s="43"/>
      <c r="I6" s="44"/>
      <c r="J6" s="36" t="str">
        <f aca="false">IF(I6="","",IFERROR(INDEX(参数表!$D$13:$D$212,MATCH(I6,参数表!$A$13:$A$212,0)),"SKU未建档"))</f>
        <v/>
      </c>
      <c r="K6" s="36" t="str">
        <f aca="false">IF(I6="","",IFERROR(INDEX(参数表!$F$13:$F$212,MATCH(I6,参数表!$A$13:$A$212,0)),"SKU未建档"))</f>
        <v/>
      </c>
      <c r="L6" s="45"/>
      <c r="M6" s="35" t="str">
        <f aca="false">IF(I6="","",IFERROR(INDEX(参数表!$G$13:$G$212,MATCH(I6,参数表!$A$13:$A$212,0)),"SKU未建档"))</f>
        <v/>
      </c>
      <c r="N6" s="40"/>
      <c r="O6" s="46"/>
      <c r="P6" s="47"/>
      <c r="Q6" s="34" t="str">
        <f aca="false">IF(OR(O6="",P6=""),"",ROUND(O6*P6,2))</f>
        <v/>
      </c>
      <c r="R6" s="48"/>
      <c r="S6" s="46"/>
      <c r="T6" s="33" t="str">
        <f aca="false">IF(I6="","",IFERROR(INDEX(参数表!$H$13:$H$212,MATCH(I6,参数表!$A$13:$A$212,0)),"SKU未建档"))</f>
        <v/>
      </c>
      <c r="U6" s="34" t="str">
        <f aca="false">IF(A6="","",IF(参数表!$B$6="外贸企业",IF(S6="","",S6),IF(Q6="","",Q6)))</f>
        <v/>
      </c>
      <c r="V6" s="34" t="str">
        <f aca="false">IF(OR(U6="",NOT(ISNUMBER(T6))),"",ROUND(U6*T6,2))</f>
        <v/>
      </c>
      <c r="W6" s="43"/>
      <c r="X6" s="48"/>
      <c r="Y6" s="45"/>
      <c r="Z6" s="41"/>
      <c r="AA6" s="32" t="str">
        <f aca="false">IF(OR(L6="",Y6=""),"",Y6-L6)</f>
        <v/>
      </c>
      <c r="AB6" s="43"/>
      <c r="AC6" s="43"/>
    </row>
    <row r="7" customFormat="false" ht="21.75" hidden="false" customHeight="true" outlineLevel="0" collapsed="false">
      <c r="A7" s="29" t="str">
        <f aca="false">IF(OR(B7="",C7=""),"",B7&amp;"-"&amp;C7)</f>
        <v/>
      </c>
      <c r="B7" s="48"/>
      <c r="C7" s="40"/>
      <c r="D7" s="41"/>
      <c r="E7" s="42"/>
      <c r="F7" s="48"/>
      <c r="G7" s="43"/>
      <c r="H7" s="43"/>
      <c r="I7" s="44"/>
      <c r="J7" s="36" t="str">
        <f aca="false">IF(I7="","",IFERROR(INDEX(参数表!$D$13:$D$212,MATCH(I7,参数表!$A$13:$A$212,0)),"SKU未建档"))</f>
        <v/>
      </c>
      <c r="K7" s="36" t="str">
        <f aca="false">IF(I7="","",IFERROR(INDEX(参数表!$F$13:$F$212,MATCH(I7,参数表!$A$13:$A$212,0)),"SKU未建档"))</f>
        <v/>
      </c>
      <c r="L7" s="45"/>
      <c r="M7" s="35" t="str">
        <f aca="false">IF(I7="","",IFERROR(INDEX(参数表!$G$13:$G$212,MATCH(I7,参数表!$A$13:$A$212,0)),"SKU未建档"))</f>
        <v/>
      </c>
      <c r="N7" s="40"/>
      <c r="O7" s="46"/>
      <c r="P7" s="47"/>
      <c r="Q7" s="34" t="str">
        <f aca="false">IF(OR(O7="",P7=""),"",ROUND(O7*P7,2))</f>
        <v/>
      </c>
      <c r="R7" s="48"/>
      <c r="S7" s="46"/>
      <c r="T7" s="33" t="str">
        <f aca="false">IF(I7="","",IFERROR(INDEX(参数表!$H$13:$H$212,MATCH(I7,参数表!$A$13:$A$212,0)),"SKU未建档"))</f>
        <v/>
      </c>
      <c r="U7" s="34" t="str">
        <f aca="false">IF(A7="","",IF(参数表!$B$6="外贸企业",IF(S7="","",S7),IF(Q7="","",Q7)))</f>
        <v/>
      </c>
      <c r="V7" s="34" t="str">
        <f aca="false">IF(OR(U7="",NOT(ISNUMBER(T7))),"",ROUND(U7*T7,2))</f>
        <v/>
      </c>
      <c r="W7" s="43"/>
      <c r="X7" s="48"/>
      <c r="Y7" s="45"/>
      <c r="Z7" s="41"/>
      <c r="AA7" s="32" t="str">
        <f aca="false">IF(OR(L7="",Y7=""),"",Y7-L7)</f>
        <v/>
      </c>
      <c r="AB7" s="43"/>
      <c r="AC7" s="43"/>
    </row>
    <row r="8" customFormat="false" ht="21.75" hidden="false" customHeight="true" outlineLevel="0" collapsed="false">
      <c r="A8" s="29" t="str">
        <f aca="false">IF(OR(B8="",C8=""),"",B8&amp;"-"&amp;C8)</f>
        <v/>
      </c>
      <c r="B8" s="48"/>
      <c r="C8" s="40"/>
      <c r="D8" s="41"/>
      <c r="E8" s="42"/>
      <c r="F8" s="48"/>
      <c r="G8" s="43"/>
      <c r="H8" s="43"/>
      <c r="I8" s="44"/>
      <c r="J8" s="36" t="str">
        <f aca="false">IF(I8="","",IFERROR(INDEX(参数表!$D$13:$D$212,MATCH(I8,参数表!$A$13:$A$212,0)),"SKU未建档"))</f>
        <v/>
      </c>
      <c r="K8" s="36" t="str">
        <f aca="false">IF(I8="","",IFERROR(INDEX(参数表!$F$13:$F$212,MATCH(I8,参数表!$A$13:$A$212,0)),"SKU未建档"))</f>
        <v/>
      </c>
      <c r="L8" s="45"/>
      <c r="M8" s="35" t="str">
        <f aca="false">IF(I8="","",IFERROR(INDEX(参数表!$G$13:$G$212,MATCH(I8,参数表!$A$13:$A$212,0)),"SKU未建档"))</f>
        <v/>
      </c>
      <c r="N8" s="40"/>
      <c r="O8" s="46"/>
      <c r="P8" s="47"/>
      <c r="Q8" s="34" t="str">
        <f aca="false">IF(OR(O8="",P8=""),"",ROUND(O8*P8,2))</f>
        <v/>
      </c>
      <c r="R8" s="48"/>
      <c r="S8" s="46"/>
      <c r="T8" s="33" t="str">
        <f aca="false">IF(I8="","",IFERROR(INDEX(参数表!$H$13:$H$212,MATCH(I8,参数表!$A$13:$A$212,0)),"SKU未建档"))</f>
        <v/>
      </c>
      <c r="U8" s="34" t="str">
        <f aca="false">IF(A8="","",IF(参数表!$B$6="外贸企业",IF(S8="","",S8),IF(Q8="","",Q8)))</f>
        <v/>
      </c>
      <c r="V8" s="34" t="str">
        <f aca="false">IF(OR(U8="",NOT(ISNUMBER(T8))),"",ROUND(U8*T8,2))</f>
        <v/>
      </c>
      <c r="W8" s="43"/>
      <c r="X8" s="48"/>
      <c r="Y8" s="45"/>
      <c r="Z8" s="41"/>
      <c r="AA8" s="32" t="str">
        <f aca="false">IF(OR(L8="",Y8=""),"",Y8-L8)</f>
        <v/>
      </c>
      <c r="AB8" s="43"/>
      <c r="AC8" s="43"/>
    </row>
    <row r="9" customFormat="false" ht="21.75" hidden="false" customHeight="true" outlineLevel="0" collapsed="false">
      <c r="A9" s="29" t="str">
        <f aca="false">IF(OR(B9="",C9=""),"",B9&amp;"-"&amp;C9)</f>
        <v/>
      </c>
      <c r="B9" s="48"/>
      <c r="C9" s="40"/>
      <c r="D9" s="41"/>
      <c r="E9" s="42"/>
      <c r="F9" s="48"/>
      <c r="G9" s="43"/>
      <c r="H9" s="43"/>
      <c r="I9" s="44"/>
      <c r="J9" s="36" t="str">
        <f aca="false">IF(I9="","",IFERROR(INDEX(参数表!$D$13:$D$212,MATCH(I9,参数表!$A$13:$A$212,0)),"SKU未建档"))</f>
        <v/>
      </c>
      <c r="K9" s="36" t="str">
        <f aca="false">IF(I9="","",IFERROR(INDEX(参数表!$F$13:$F$212,MATCH(I9,参数表!$A$13:$A$212,0)),"SKU未建档"))</f>
        <v/>
      </c>
      <c r="L9" s="45"/>
      <c r="M9" s="35" t="str">
        <f aca="false">IF(I9="","",IFERROR(INDEX(参数表!$G$13:$G$212,MATCH(I9,参数表!$A$13:$A$212,0)),"SKU未建档"))</f>
        <v/>
      </c>
      <c r="N9" s="40"/>
      <c r="O9" s="46"/>
      <c r="P9" s="47"/>
      <c r="Q9" s="34" t="str">
        <f aca="false">IF(OR(O9="",P9=""),"",ROUND(O9*P9,2))</f>
        <v/>
      </c>
      <c r="R9" s="48"/>
      <c r="S9" s="46"/>
      <c r="T9" s="33" t="str">
        <f aca="false">IF(I9="","",IFERROR(INDEX(参数表!$H$13:$H$212,MATCH(I9,参数表!$A$13:$A$212,0)),"SKU未建档"))</f>
        <v/>
      </c>
      <c r="U9" s="34" t="str">
        <f aca="false">IF(A9="","",IF(参数表!$B$6="外贸企业",IF(S9="","",S9),IF(Q9="","",Q9)))</f>
        <v/>
      </c>
      <c r="V9" s="34" t="str">
        <f aca="false">IF(OR(U9="",NOT(ISNUMBER(T9))),"",ROUND(U9*T9,2))</f>
        <v/>
      </c>
      <c r="W9" s="43"/>
      <c r="X9" s="48"/>
      <c r="Y9" s="45"/>
      <c r="Z9" s="41"/>
      <c r="AA9" s="32" t="str">
        <f aca="false">IF(OR(L9="",Y9=""),"",Y9-L9)</f>
        <v/>
      </c>
      <c r="AB9" s="43"/>
      <c r="AC9" s="43"/>
    </row>
    <row r="10" customFormat="false" ht="21.75" hidden="false" customHeight="true" outlineLevel="0" collapsed="false">
      <c r="A10" s="29" t="str">
        <f aca="false">IF(OR(B10="",C10=""),"",B10&amp;"-"&amp;C10)</f>
        <v/>
      </c>
      <c r="B10" s="48"/>
      <c r="C10" s="40"/>
      <c r="D10" s="41"/>
      <c r="E10" s="42"/>
      <c r="F10" s="48"/>
      <c r="G10" s="43"/>
      <c r="H10" s="43"/>
      <c r="I10" s="44"/>
      <c r="J10" s="36" t="str">
        <f aca="false">IF(I10="","",IFERROR(INDEX(参数表!$D$13:$D$212,MATCH(I10,参数表!$A$13:$A$212,0)),"SKU未建档"))</f>
        <v/>
      </c>
      <c r="K10" s="36" t="str">
        <f aca="false">IF(I10="","",IFERROR(INDEX(参数表!$F$13:$F$212,MATCH(I10,参数表!$A$13:$A$212,0)),"SKU未建档"))</f>
        <v/>
      </c>
      <c r="L10" s="45"/>
      <c r="M10" s="35" t="str">
        <f aca="false">IF(I10="","",IFERROR(INDEX(参数表!$G$13:$G$212,MATCH(I10,参数表!$A$13:$A$212,0)),"SKU未建档"))</f>
        <v/>
      </c>
      <c r="N10" s="40"/>
      <c r="O10" s="46"/>
      <c r="P10" s="47"/>
      <c r="Q10" s="34" t="str">
        <f aca="false">IF(OR(O10="",P10=""),"",ROUND(O10*P10,2))</f>
        <v/>
      </c>
      <c r="R10" s="48"/>
      <c r="S10" s="46"/>
      <c r="T10" s="33" t="str">
        <f aca="false">IF(I10="","",IFERROR(INDEX(参数表!$H$13:$H$212,MATCH(I10,参数表!$A$13:$A$212,0)),"SKU未建档"))</f>
        <v/>
      </c>
      <c r="U10" s="34" t="str">
        <f aca="false">IF(A10="","",IF(参数表!$B$6="外贸企业",IF(S10="","",S10),IF(Q10="","",Q10)))</f>
        <v/>
      </c>
      <c r="V10" s="34" t="str">
        <f aca="false">IF(OR(U10="",NOT(ISNUMBER(T10))),"",ROUND(U10*T10,2))</f>
        <v/>
      </c>
      <c r="W10" s="43"/>
      <c r="X10" s="48"/>
      <c r="Y10" s="45"/>
      <c r="Z10" s="41"/>
      <c r="AA10" s="32" t="str">
        <f aca="false">IF(OR(L10="",Y10=""),"",Y10-L10)</f>
        <v/>
      </c>
      <c r="AB10" s="43"/>
      <c r="AC10" s="43"/>
    </row>
    <row r="11" customFormat="false" ht="21.75" hidden="false" customHeight="true" outlineLevel="0" collapsed="false">
      <c r="A11" s="29" t="str">
        <f aca="false">IF(OR(B11="",C11=""),"",B11&amp;"-"&amp;C11)</f>
        <v/>
      </c>
      <c r="B11" s="48"/>
      <c r="C11" s="40"/>
      <c r="D11" s="41"/>
      <c r="E11" s="42"/>
      <c r="F11" s="48"/>
      <c r="G11" s="43"/>
      <c r="H11" s="43"/>
      <c r="I11" s="44"/>
      <c r="J11" s="36" t="str">
        <f aca="false">IF(I11="","",IFERROR(INDEX(参数表!$D$13:$D$212,MATCH(I11,参数表!$A$13:$A$212,0)),"SKU未建档"))</f>
        <v/>
      </c>
      <c r="K11" s="36" t="str">
        <f aca="false">IF(I11="","",IFERROR(INDEX(参数表!$F$13:$F$212,MATCH(I11,参数表!$A$13:$A$212,0)),"SKU未建档"))</f>
        <v/>
      </c>
      <c r="L11" s="45"/>
      <c r="M11" s="35" t="str">
        <f aca="false">IF(I11="","",IFERROR(INDEX(参数表!$G$13:$G$212,MATCH(I11,参数表!$A$13:$A$212,0)),"SKU未建档"))</f>
        <v/>
      </c>
      <c r="N11" s="40"/>
      <c r="O11" s="46"/>
      <c r="P11" s="47"/>
      <c r="Q11" s="34" t="str">
        <f aca="false">IF(OR(O11="",P11=""),"",ROUND(O11*P11,2))</f>
        <v/>
      </c>
      <c r="R11" s="48"/>
      <c r="S11" s="46"/>
      <c r="T11" s="33" t="str">
        <f aca="false">IF(I11="","",IFERROR(INDEX(参数表!$H$13:$H$212,MATCH(I11,参数表!$A$13:$A$212,0)),"SKU未建档"))</f>
        <v/>
      </c>
      <c r="U11" s="34" t="str">
        <f aca="false">IF(A11="","",IF(参数表!$B$6="外贸企业",IF(S11="","",S11),IF(Q11="","",Q11)))</f>
        <v/>
      </c>
      <c r="V11" s="34" t="str">
        <f aca="false">IF(OR(U11="",NOT(ISNUMBER(T11))),"",ROUND(U11*T11,2))</f>
        <v/>
      </c>
      <c r="W11" s="43"/>
      <c r="X11" s="48"/>
      <c r="Y11" s="45"/>
      <c r="Z11" s="41"/>
      <c r="AA11" s="32" t="str">
        <f aca="false">IF(OR(L11="",Y11=""),"",Y11-L11)</f>
        <v/>
      </c>
      <c r="AB11" s="43"/>
      <c r="AC11" s="43"/>
    </row>
    <row r="12" customFormat="false" ht="21.75" hidden="false" customHeight="true" outlineLevel="0" collapsed="false">
      <c r="A12" s="29" t="str">
        <f aca="false">IF(OR(B12="",C12=""),"",B12&amp;"-"&amp;C12)</f>
        <v/>
      </c>
      <c r="B12" s="48"/>
      <c r="C12" s="40"/>
      <c r="D12" s="41"/>
      <c r="E12" s="42"/>
      <c r="F12" s="48"/>
      <c r="G12" s="43"/>
      <c r="H12" s="43"/>
      <c r="I12" s="44"/>
      <c r="J12" s="36" t="str">
        <f aca="false">IF(I12="","",IFERROR(INDEX(参数表!$D$13:$D$212,MATCH(I12,参数表!$A$13:$A$212,0)),"SKU未建档"))</f>
        <v/>
      </c>
      <c r="K12" s="36" t="str">
        <f aca="false">IF(I12="","",IFERROR(INDEX(参数表!$F$13:$F$212,MATCH(I12,参数表!$A$13:$A$212,0)),"SKU未建档"))</f>
        <v/>
      </c>
      <c r="L12" s="45"/>
      <c r="M12" s="35" t="str">
        <f aca="false">IF(I12="","",IFERROR(INDEX(参数表!$G$13:$G$212,MATCH(I12,参数表!$A$13:$A$212,0)),"SKU未建档"))</f>
        <v/>
      </c>
      <c r="N12" s="40"/>
      <c r="O12" s="46"/>
      <c r="P12" s="47"/>
      <c r="Q12" s="34" t="str">
        <f aca="false">IF(OR(O12="",P12=""),"",ROUND(O12*P12,2))</f>
        <v/>
      </c>
      <c r="R12" s="48"/>
      <c r="S12" s="46"/>
      <c r="T12" s="33" t="str">
        <f aca="false">IF(I12="","",IFERROR(INDEX(参数表!$H$13:$H$212,MATCH(I12,参数表!$A$13:$A$212,0)),"SKU未建档"))</f>
        <v/>
      </c>
      <c r="U12" s="34" t="str">
        <f aca="false">IF(A12="","",IF(参数表!$B$6="外贸企业",IF(S12="","",S12),IF(Q12="","",Q12)))</f>
        <v/>
      </c>
      <c r="V12" s="34" t="str">
        <f aca="false">IF(OR(U12="",NOT(ISNUMBER(T12))),"",ROUND(U12*T12,2))</f>
        <v/>
      </c>
      <c r="W12" s="43"/>
      <c r="X12" s="48"/>
      <c r="Y12" s="45"/>
      <c r="Z12" s="41"/>
      <c r="AA12" s="32" t="str">
        <f aca="false">IF(OR(L12="",Y12=""),"",Y12-L12)</f>
        <v/>
      </c>
      <c r="AB12" s="43"/>
      <c r="AC12" s="43"/>
    </row>
    <row r="13" customFormat="false" ht="21.75" hidden="false" customHeight="true" outlineLevel="0" collapsed="false">
      <c r="A13" s="29" t="str">
        <f aca="false">IF(OR(B13="",C13=""),"",B13&amp;"-"&amp;C13)</f>
        <v/>
      </c>
      <c r="B13" s="48"/>
      <c r="C13" s="40"/>
      <c r="D13" s="41"/>
      <c r="E13" s="42"/>
      <c r="F13" s="48"/>
      <c r="G13" s="43"/>
      <c r="H13" s="43"/>
      <c r="I13" s="44"/>
      <c r="J13" s="36" t="str">
        <f aca="false">IF(I13="","",IFERROR(INDEX(参数表!$D$13:$D$212,MATCH(I13,参数表!$A$13:$A$212,0)),"SKU未建档"))</f>
        <v/>
      </c>
      <c r="K13" s="36" t="str">
        <f aca="false">IF(I13="","",IFERROR(INDEX(参数表!$F$13:$F$212,MATCH(I13,参数表!$A$13:$A$212,0)),"SKU未建档"))</f>
        <v/>
      </c>
      <c r="L13" s="45"/>
      <c r="M13" s="35" t="str">
        <f aca="false">IF(I13="","",IFERROR(INDEX(参数表!$G$13:$G$212,MATCH(I13,参数表!$A$13:$A$212,0)),"SKU未建档"))</f>
        <v/>
      </c>
      <c r="N13" s="40"/>
      <c r="O13" s="46"/>
      <c r="P13" s="47"/>
      <c r="Q13" s="34" t="str">
        <f aca="false">IF(OR(O13="",P13=""),"",ROUND(O13*P13,2))</f>
        <v/>
      </c>
      <c r="R13" s="48"/>
      <c r="S13" s="46"/>
      <c r="T13" s="33" t="str">
        <f aca="false">IF(I13="","",IFERROR(INDEX(参数表!$H$13:$H$212,MATCH(I13,参数表!$A$13:$A$212,0)),"SKU未建档"))</f>
        <v/>
      </c>
      <c r="U13" s="34" t="str">
        <f aca="false">IF(A13="","",IF(参数表!$B$6="外贸企业",IF(S13="","",S13),IF(Q13="","",Q13)))</f>
        <v/>
      </c>
      <c r="V13" s="34" t="str">
        <f aca="false">IF(OR(U13="",NOT(ISNUMBER(T13))),"",ROUND(U13*T13,2))</f>
        <v/>
      </c>
      <c r="W13" s="43"/>
      <c r="X13" s="48"/>
      <c r="Y13" s="45"/>
      <c r="Z13" s="41"/>
      <c r="AA13" s="32" t="str">
        <f aca="false">IF(OR(L13="",Y13=""),"",Y13-L13)</f>
        <v/>
      </c>
      <c r="AB13" s="43"/>
      <c r="AC13" s="43"/>
    </row>
    <row r="14" customFormat="false" ht="21.75" hidden="false" customHeight="true" outlineLevel="0" collapsed="false">
      <c r="A14" s="29" t="str">
        <f aca="false">IF(OR(B14="",C14=""),"",B14&amp;"-"&amp;C14)</f>
        <v/>
      </c>
      <c r="B14" s="48"/>
      <c r="C14" s="40"/>
      <c r="D14" s="41"/>
      <c r="E14" s="42"/>
      <c r="F14" s="48"/>
      <c r="G14" s="43"/>
      <c r="H14" s="43"/>
      <c r="I14" s="44"/>
      <c r="J14" s="36" t="str">
        <f aca="false">IF(I14="","",IFERROR(INDEX(参数表!$D$13:$D$212,MATCH(I14,参数表!$A$13:$A$212,0)),"SKU未建档"))</f>
        <v/>
      </c>
      <c r="K14" s="36" t="str">
        <f aca="false">IF(I14="","",IFERROR(INDEX(参数表!$F$13:$F$212,MATCH(I14,参数表!$A$13:$A$212,0)),"SKU未建档"))</f>
        <v/>
      </c>
      <c r="L14" s="45"/>
      <c r="M14" s="35" t="str">
        <f aca="false">IF(I14="","",IFERROR(INDEX(参数表!$G$13:$G$212,MATCH(I14,参数表!$A$13:$A$212,0)),"SKU未建档"))</f>
        <v/>
      </c>
      <c r="N14" s="40"/>
      <c r="O14" s="46"/>
      <c r="P14" s="47"/>
      <c r="Q14" s="34" t="str">
        <f aca="false">IF(OR(O14="",P14=""),"",ROUND(O14*P14,2))</f>
        <v/>
      </c>
      <c r="R14" s="48"/>
      <c r="S14" s="46"/>
      <c r="T14" s="33" t="str">
        <f aca="false">IF(I14="","",IFERROR(INDEX(参数表!$H$13:$H$212,MATCH(I14,参数表!$A$13:$A$212,0)),"SKU未建档"))</f>
        <v/>
      </c>
      <c r="U14" s="34" t="str">
        <f aca="false">IF(A14="","",IF(参数表!$B$6="外贸企业",IF(S14="","",S14),IF(Q14="","",Q14)))</f>
        <v/>
      </c>
      <c r="V14" s="34" t="str">
        <f aca="false">IF(OR(U14="",NOT(ISNUMBER(T14))),"",ROUND(U14*T14,2))</f>
        <v/>
      </c>
      <c r="W14" s="43"/>
      <c r="X14" s="48"/>
      <c r="Y14" s="45"/>
      <c r="Z14" s="41"/>
      <c r="AA14" s="32" t="str">
        <f aca="false">IF(OR(L14="",Y14=""),"",Y14-L14)</f>
        <v/>
      </c>
      <c r="AB14" s="43"/>
      <c r="AC14" s="43"/>
    </row>
    <row r="15" customFormat="false" ht="21.75" hidden="false" customHeight="true" outlineLevel="0" collapsed="false">
      <c r="A15" s="29" t="str">
        <f aca="false">IF(OR(B15="",C15=""),"",B15&amp;"-"&amp;C15)</f>
        <v/>
      </c>
      <c r="B15" s="48"/>
      <c r="C15" s="40"/>
      <c r="D15" s="41"/>
      <c r="E15" s="42"/>
      <c r="F15" s="48"/>
      <c r="G15" s="43"/>
      <c r="H15" s="43"/>
      <c r="I15" s="44"/>
      <c r="J15" s="36" t="str">
        <f aca="false">IF(I15="","",IFERROR(INDEX(参数表!$D$13:$D$212,MATCH(I15,参数表!$A$13:$A$212,0)),"SKU未建档"))</f>
        <v/>
      </c>
      <c r="K15" s="36" t="str">
        <f aca="false">IF(I15="","",IFERROR(INDEX(参数表!$F$13:$F$212,MATCH(I15,参数表!$A$13:$A$212,0)),"SKU未建档"))</f>
        <v/>
      </c>
      <c r="L15" s="45"/>
      <c r="M15" s="35" t="str">
        <f aca="false">IF(I15="","",IFERROR(INDEX(参数表!$G$13:$G$212,MATCH(I15,参数表!$A$13:$A$212,0)),"SKU未建档"))</f>
        <v/>
      </c>
      <c r="N15" s="40"/>
      <c r="O15" s="46"/>
      <c r="P15" s="47"/>
      <c r="Q15" s="34" t="str">
        <f aca="false">IF(OR(O15="",P15=""),"",ROUND(O15*P15,2))</f>
        <v/>
      </c>
      <c r="R15" s="48"/>
      <c r="S15" s="46"/>
      <c r="T15" s="33" t="str">
        <f aca="false">IF(I15="","",IFERROR(INDEX(参数表!$H$13:$H$212,MATCH(I15,参数表!$A$13:$A$212,0)),"SKU未建档"))</f>
        <v/>
      </c>
      <c r="U15" s="34" t="str">
        <f aca="false">IF(A15="","",IF(参数表!$B$6="外贸企业",IF(S15="","",S15),IF(Q15="","",Q15)))</f>
        <v/>
      </c>
      <c r="V15" s="34" t="str">
        <f aca="false">IF(OR(U15="",NOT(ISNUMBER(T15))),"",ROUND(U15*T15,2))</f>
        <v/>
      </c>
      <c r="W15" s="43"/>
      <c r="X15" s="48"/>
      <c r="Y15" s="45"/>
      <c r="Z15" s="41"/>
      <c r="AA15" s="32" t="str">
        <f aca="false">IF(OR(L15="",Y15=""),"",Y15-L15)</f>
        <v/>
      </c>
      <c r="AB15" s="43"/>
      <c r="AC15" s="43"/>
    </row>
    <row r="16" customFormat="false" ht="21.75" hidden="false" customHeight="true" outlineLevel="0" collapsed="false">
      <c r="A16" s="29" t="str">
        <f aca="false">IF(OR(B16="",C16=""),"",B16&amp;"-"&amp;C16)</f>
        <v/>
      </c>
      <c r="B16" s="48"/>
      <c r="C16" s="40"/>
      <c r="D16" s="41"/>
      <c r="E16" s="42"/>
      <c r="F16" s="48"/>
      <c r="G16" s="43"/>
      <c r="H16" s="43"/>
      <c r="I16" s="44"/>
      <c r="J16" s="36" t="str">
        <f aca="false">IF(I16="","",IFERROR(INDEX(参数表!$D$13:$D$212,MATCH(I16,参数表!$A$13:$A$212,0)),"SKU未建档"))</f>
        <v/>
      </c>
      <c r="K16" s="36" t="str">
        <f aca="false">IF(I16="","",IFERROR(INDEX(参数表!$F$13:$F$212,MATCH(I16,参数表!$A$13:$A$212,0)),"SKU未建档"))</f>
        <v/>
      </c>
      <c r="L16" s="45"/>
      <c r="M16" s="35" t="str">
        <f aca="false">IF(I16="","",IFERROR(INDEX(参数表!$G$13:$G$212,MATCH(I16,参数表!$A$13:$A$212,0)),"SKU未建档"))</f>
        <v/>
      </c>
      <c r="N16" s="40"/>
      <c r="O16" s="46"/>
      <c r="P16" s="47"/>
      <c r="Q16" s="34" t="str">
        <f aca="false">IF(OR(O16="",P16=""),"",ROUND(O16*P16,2))</f>
        <v/>
      </c>
      <c r="R16" s="48"/>
      <c r="S16" s="46"/>
      <c r="T16" s="33" t="str">
        <f aca="false">IF(I16="","",IFERROR(INDEX(参数表!$H$13:$H$212,MATCH(I16,参数表!$A$13:$A$212,0)),"SKU未建档"))</f>
        <v/>
      </c>
      <c r="U16" s="34" t="str">
        <f aca="false">IF(A16="","",IF(参数表!$B$6="外贸企业",IF(S16="","",S16),IF(Q16="","",Q16)))</f>
        <v/>
      </c>
      <c r="V16" s="34" t="str">
        <f aca="false">IF(OR(U16="",NOT(ISNUMBER(T16))),"",ROUND(U16*T16,2))</f>
        <v/>
      </c>
      <c r="W16" s="43"/>
      <c r="X16" s="48"/>
      <c r="Y16" s="45"/>
      <c r="Z16" s="41"/>
      <c r="AA16" s="32" t="str">
        <f aca="false">IF(OR(L16="",Y16=""),"",Y16-L16)</f>
        <v/>
      </c>
      <c r="AB16" s="43"/>
      <c r="AC16" s="43"/>
    </row>
    <row r="17" customFormat="false" ht="21.75" hidden="false" customHeight="true" outlineLevel="0" collapsed="false">
      <c r="A17" s="29" t="str">
        <f aca="false">IF(OR(B17="",C17=""),"",B17&amp;"-"&amp;C17)</f>
        <v/>
      </c>
      <c r="B17" s="48"/>
      <c r="C17" s="40"/>
      <c r="D17" s="41"/>
      <c r="E17" s="42"/>
      <c r="F17" s="48"/>
      <c r="G17" s="43"/>
      <c r="H17" s="43"/>
      <c r="I17" s="44"/>
      <c r="J17" s="36" t="str">
        <f aca="false">IF(I17="","",IFERROR(INDEX(参数表!$D$13:$D$212,MATCH(I17,参数表!$A$13:$A$212,0)),"SKU未建档"))</f>
        <v/>
      </c>
      <c r="K17" s="36" t="str">
        <f aca="false">IF(I17="","",IFERROR(INDEX(参数表!$F$13:$F$212,MATCH(I17,参数表!$A$13:$A$212,0)),"SKU未建档"))</f>
        <v/>
      </c>
      <c r="L17" s="45"/>
      <c r="M17" s="35" t="str">
        <f aca="false">IF(I17="","",IFERROR(INDEX(参数表!$G$13:$G$212,MATCH(I17,参数表!$A$13:$A$212,0)),"SKU未建档"))</f>
        <v/>
      </c>
      <c r="N17" s="40"/>
      <c r="O17" s="46"/>
      <c r="P17" s="47"/>
      <c r="Q17" s="34" t="str">
        <f aca="false">IF(OR(O17="",P17=""),"",ROUND(O17*P17,2))</f>
        <v/>
      </c>
      <c r="R17" s="48"/>
      <c r="S17" s="46"/>
      <c r="T17" s="33" t="str">
        <f aca="false">IF(I17="","",IFERROR(INDEX(参数表!$H$13:$H$212,MATCH(I17,参数表!$A$13:$A$212,0)),"SKU未建档"))</f>
        <v/>
      </c>
      <c r="U17" s="34" t="str">
        <f aca="false">IF(A17="","",IF(参数表!$B$6="外贸企业",IF(S17="","",S17),IF(Q17="","",Q17)))</f>
        <v/>
      </c>
      <c r="V17" s="34" t="str">
        <f aca="false">IF(OR(U17="",NOT(ISNUMBER(T17))),"",ROUND(U17*T17,2))</f>
        <v/>
      </c>
      <c r="W17" s="43"/>
      <c r="X17" s="48"/>
      <c r="Y17" s="45"/>
      <c r="Z17" s="41"/>
      <c r="AA17" s="32" t="str">
        <f aca="false">IF(OR(L17="",Y17=""),"",Y17-L17)</f>
        <v/>
      </c>
      <c r="AB17" s="43"/>
      <c r="AC17" s="43"/>
    </row>
    <row r="18" customFormat="false" ht="21.75" hidden="false" customHeight="true" outlineLevel="0" collapsed="false">
      <c r="A18" s="29" t="str">
        <f aca="false">IF(OR(B18="",C18=""),"",B18&amp;"-"&amp;C18)</f>
        <v/>
      </c>
      <c r="B18" s="48"/>
      <c r="C18" s="40"/>
      <c r="D18" s="41"/>
      <c r="E18" s="42"/>
      <c r="F18" s="48"/>
      <c r="G18" s="43"/>
      <c r="H18" s="43"/>
      <c r="I18" s="44"/>
      <c r="J18" s="36" t="str">
        <f aca="false">IF(I18="","",IFERROR(INDEX(参数表!$D$13:$D$212,MATCH(I18,参数表!$A$13:$A$212,0)),"SKU未建档"))</f>
        <v/>
      </c>
      <c r="K18" s="36" t="str">
        <f aca="false">IF(I18="","",IFERROR(INDEX(参数表!$F$13:$F$212,MATCH(I18,参数表!$A$13:$A$212,0)),"SKU未建档"))</f>
        <v/>
      </c>
      <c r="L18" s="45"/>
      <c r="M18" s="35" t="str">
        <f aca="false">IF(I18="","",IFERROR(INDEX(参数表!$G$13:$G$212,MATCH(I18,参数表!$A$13:$A$212,0)),"SKU未建档"))</f>
        <v/>
      </c>
      <c r="N18" s="40"/>
      <c r="O18" s="46"/>
      <c r="P18" s="47"/>
      <c r="Q18" s="34" t="str">
        <f aca="false">IF(OR(O18="",P18=""),"",ROUND(O18*P18,2))</f>
        <v/>
      </c>
      <c r="R18" s="48"/>
      <c r="S18" s="46"/>
      <c r="T18" s="33" t="str">
        <f aca="false">IF(I18="","",IFERROR(INDEX(参数表!$H$13:$H$212,MATCH(I18,参数表!$A$13:$A$212,0)),"SKU未建档"))</f>
        <v/>
      </c>
      <c r="U18" s="34" t="str">
        <f aca="false">IF(A18="","",IF(参数表!$B$6="外贸企业",IF(S18="","",S18),IF(Q18="","",Q18)))</f>
        <v/>
      </c>
      <c r="V18" s="34" t="str">
        <f aca="false">IF(OR(U18="",NOT(ISNUMBER(T18))),"",ROUND(U18*T18,2))</f>
        <v/>
      </c>
      <c r="W18" s="43"/>
      <c r="X18" s="48"/>
      <c r="Y18" s="45"/>
      <c r="Z18" s="41"/>
      <c r="AA18" s="32" t="str">
        <f aca="false">IF(OR(L18="",Y18=""),"",Y18-L18)</f>
        <v/>
      </c>
      <c r="AB18" s="43"/>
      <c r="AC18" s="43"/>
    </row>
    <row r="19" customFormat="false" ht="21.75" hidden="false" customHeight="true" outlineLevel="0" collapsed="false">
      <c r="A19" s="29" t="str">
        <f aca="false">IF(OR(B19="",C19=""),"",B19&amp;"-"&amp;C19)</f>
        <v/>
      </c>
      <c r="B19" s="48"/>
      <c r="C19" s="40"/>
      <c r="D19" s="41"/>
      <c r="E19" s="42"/>
      <c r="F19" s="48"/>
      <c r="G19" s="43"/>
      <c r="H19" s="43"/>
      <c r="I19" s="44"/>
      <c r="J19" s="36" t="str">
        <f aca="false">IF(I19="","",IFERROR(INDEX(参数表!$D$13:$D$212,MATCH(I19,参数表!$A$13:$A$212,0)),"SKU未建档"))</f>
        <v/>
      </c>
      <c r="K19" s="36" t="str">
        <f aca="false">IF(I19="","",IFERROR(INDEX(参数表!$F$13:$F$212,MATCH(I19,参数表!$A$13:$A$212,0)),"SKU未建档"))</f>
        <v/>
      </c>
      <c r="L19" s="45"/>
      <c r="M19" s="35" t="str">
        <f aca="false">IF(I19="","",IFERROR(INDEX(参数表!$G$13:$G$212,MATCH(I19,参数表!$A$13:$A$212,0)),"SKU未建档"))</f>
        <v/>
      </c>
      <c r="N19" s="40"/>
      <c r="O19" s="46"/>
      <c r="P19" s="47"/>
      <c r="Q19" s="34" t="str">
        <f aca="false">IF(OR(O19="",P19=""),"",ROUND(O19*P19,2))</f>
        <v/>
      </c>
      <c r="R19" s="48"/>
      <c r="S19" s="46"/>
      <c r="T19" s="33" t="str">
        <f aca="false">IF(I19="","",IFERROR(INDEX(参数表!$H$13:$H$212,MATCH(I19,参数表!$A$13:$A$212,0)),"SKU未建档"))</f>
        <v/>
      </c>
      <c r="U19" s="34" t="str">
        <f aca="false">IF(A19="","",IF(参数表!$B$6="外贸企业",IF(S19="","",S19),IF(Q19="","",Q19)))</f>
        <v/>
      </c>
      <c r="V19" s="34" t="str">
        <f aca="false">IF(OR(U19="",NOT(ISNUMBER(T19))),"",ROUND(U19*T19,2))</f>
        <v/>
      </c>
      <c r="W19" s="43"/>
      <c r="X19" s="48"/>
      <c r="Y19" s="45"/>
      <c r="Z19" s="41"/>
      <c r="AA19" s="32" t="str">
        <f aca="false">IF(OR(L19="",Y19=""),"",Y19-L19)</f>
        <v/>
      </c>
      <c r="AB19" s="43"/>
      <c r="AC19" s="43"/>
    </row>
    <row r="20" customFormat="false" ht="21.75" hidden="false" customHeight="true" outlineLevel="0" collapsed="false">
      <c r="A20" s="29" t="str">
        <f aca="false">IF(OR(B20="",C20=""),"",B20&amp;"-"&amp;C20)</f>
        <v/>
      </c>
      <c r="B20" s="48"/>
      <c r="C20" s="40"/>
      <c r="D20" s="41"/>
      <c r="E20" s="42"/>
      <c r="F20" s="48"/>
      <c r="G20" s="43"/>
      <c r="H20" s="43"/>
      <c r="I20" s="44"/>
      <c r="J20" s="36" t="str">
        <f aca="false">IF(I20="","",IFERROR(INDEX(参数表!$D$13:$D$212,MATCH(I20,参数表!$A$13:$A$212,0)),"SKU未建档"))</f>
        <v/>
      </c>
      <c r="K20" s="36" t="str">
        <f aca="false">IF(I20="","",IFERROR(INDEX(参数表!$F$13:$F$212,MATCH(I20,参数表!$A$13:$A$212,0)),"SKU未建档"))</f>
        <v/>
      </c>
      <c r="L20" s="45"/>
      <c r="M20" s="35" t="str">
        <f aca="false">IF(I20="","",IFERROR(INDEX(参数表!$G$13:$G$212,MATCH(I20,参数表!$A$13:$A$212,0)),"SKU未建档"))</f>
        <v/>
      </c>
      <c r="N20" s="40"/>
      <c r="O20" s="46"/>
      <c r="P20" s="47"/>
      <c r="Q20" s="34" t="str">
        <f aca="false">IF(OR(O20="",P20=""),"",ROUND(O20*P20,2))</f>
        <v/>
      </c>
      <c r="R20" s="48"/>
      <c r="S20" s="46"/>
      <c r="T20" s="33" t="str">
        <f aca="false">IF(I20="","",IFERROR(INDEX(参数表!$H$13:$H$212,MATCH(I20,参数表!$A$13:$A$212,0)),"SKU未建档"))</f>
        <v/>
      </c>
      <c r="U20" s="34" t="str">
        <f aca="false">IF(A20="","",IF(参数表!$B$6="外贸企业",IF(S20="","",S20),IF(Q20="","",Q20)))</f>
        <v/>
      </c>
      <c r="V20" s="34" t="str">
        <f aca="false">IF(OR(U20="",NOT(ISNUMBER(T20))),"",ROUND(U20*T20,2))</f>
        <v/>
      </c>
      <c r="W20" s="43"/>
      <c r="X20" s="48"/>
      <c r="Y20" s="45"/>
      <c r="Z20" s="41"/>
      <c r="AA20" s="32" t="str">
        <f aca="false">IF(OR(L20="",Y20=""),"",Y20-L20)</f>
        <v/>
      </c>
      <c r="AB20" s="43"/>
      <c r="AC20" s="43"/>
    </row>
    <row r="21" customFormat="false" ht="21.75" hidden="false" customHeight="true" outlineLevel="0" collapsed="false">
      <c r="A21" s="29" t="str">
        <f aca="false">IF(OR(B21="",C21=""),"",B21&amp;"-"&amp;C21)</f>
        <v/>
      </c>
      <c r="B21" s="48"/>
      <c r="C21" s="40"/>
      <c r="D21" s="41"/>
      <c r="E21" s="42"/>
      <c r="F21" s="48"/>
      <c r="G21" s="43"/>
      <c r="H21" s="43"/>
      <c r="I21" s="44"/>
      <c r="J21" s="36" t="str">
        <f aca="false">IF(I21="","",IFERROR(INDEX(参数表!$D$13:$D$212,MATCH(I21,参数表!$A$13:$A$212,0)),"SKU未建档"))</f>
        <v/>
      </c>
      <c r="K21" s="36" t="str">
        <f aca="false">IF(I21="","",IFERROR(INDEX(参数表!$F$13:$F$212,MATCH(I21,参数表!$A$13:$A$212,0)),"SKU未建档"))</f>
        <v/>
      </c>
      <c r="L21" s="45"/>
      <c r="M21" s="35" t="str">
        <f aca="false">IF(I21="","",IFERROR(INDEX(参数表!$G$13:$G$212,MATCH(I21,参数表!$A$13:$A$212,0)),"SKU未建档"))</f>
        <v/>
      </c>
      <c r="N21" s="40"/>
      <c r="O21" s="46"/>
      <c r="P21" s="47"/>
      <c r="Q21" s="34" t="str">
        <f aca="false">IF(OR(O21="",P21=""),"",ROUND(O21*P21,2))</f>
        <v/>
      </c>
      <c r="R21" s="48"/>
      <c r="S21" s="46"/>
      <c r="T21" s="33" t="str">
        <f aca="false">IF(I21="","",IFERROR(INDEX(参数表!$H$13:$H$212,MATCH(I21,参数表!$A$13:$A$212,0)),"SKU未建档"))</f>
        <v/>
      </c>
      <c r="U21" s="34" t="str">
        <f aca="false">IF(A21="","",IF(参数表!$B$6="外贸企业",IF(S21="","",S21),IF(Q21="","",Q21)))</f>
        <v/>
      </c>
      <c r="V21" s="34" t="str">
        <f aca="false">IF(OR(U21="",NOT(ISNUMBER(T21))),"",ROUND(U21*T21,2))</f>
        <v/>
      </c>
      <c r="W21" s="43"/>
      <c r="X21" s="48"/>
      <c r="Y21" s="45"/>
      <c r="Z21" s="41"/>
      <c r="AA21" s="32" t="str">
        <f aca="false">IF(OR(L21="",Y21=""),"",Y21-L21)</f>
        <v/>
      </c>
      <c r="AB21" s="43"/>
      <c r="AC21" s="43"/>
    </row>
    <row r="22" customFormat="false" ht="21.75" hidden="false" customHeight="true" outlineLevel="0" collapsed="false">
      <c r="A22" s="29" t="str">
        <f aca="false">IF(OR(B22="",C22=""),"",B22&amp;"-"&amp;C22)</f>
        <v/>
      </c>
      <c r="B22" s="48"/>
      <c r="C22" s="40"/>
      <c r="D22" s="41"/>
      <c r="E22" s="42"/>
      <c r="F22" s="48"/>
      <c r="G22" s="43"/>
      <c r="H22" s="43"/>
      <c r="I22" s="44"/>
      <c r="J22" s="36" t="str">
        <f aca="false">IF(I22="","",IFERROR(INDEX(参数表!$D$13:$D$212,MATCH(I22,参数表!$A$13:$A$212,0)),"SKU未建档"))</f>
        <v/>
      </c>
      <c r="K22" s="36" t="str">
        <f aca="false">IF(I22="","",IFERROR(INDEX(参数表!$F$13:$F$212,MATCH(I22,参数表!$A$13:$A$212,0)),"SKU未建档"))</f>
        <v/>
      </c>
      <c r="L22" s="45"/>
      <c r="M22" s="35" t="str">
        <f aca="false">IF(I22="","",IFERROR(INDEX(参数表!$G$13:$G$212,MATCH(I22,参数表!$A$13:$A$212,0)),"SKU未建档"))</f>
        <v/>
      </c>
      <c r="N22" s="40"/>
      <c r="O22" s="46"/>
      <c r="P22" s="47"/>
      <c r="Q22" s="34" t="str">
        <f aca="false">IF(OR(O22="",P22=""),"",ROUND(O22*P22,2))</f>
        <v/>
      </c>
      <c r="R22" s="48"/>
      <c r="S22" s="46"/>
      <c r="T22" s="33" t="str">
        <f aca="false">IF(I22="","",IFERROR(INDEX(参数表!$H$13:$H$212,MATCH(I22,参数表!$A$13:$A$212,0)),"SKU未建档"))</f>
        <v/>
      </c>
      <c r="U22" s="34" t="str">
        <f aca="false">IF(A22="","",IF(参数表!$B$6="外贸企业",IF(S22="","",S22),IF(Q22="","",Q22)))</f>
        <v/>
      </c>
      <c r="V22" s="34" t="str">
        <f aca="false">IF(OR(U22="",NOT(ISNUMBER(T22))),"",ROUND(U22*T22,2))</f>
        <v/>
      </c>
      <c r="W22" s="43"/>
      <c r="X22" s="48"/>
      <c r="Y22" s="45"/>
      <c r="Z22" s="41"/>
      <c r="AA22" s="32" t="str">
        <f aca="false">IF(OR(L22="",Y22=""),"",Y22-L22)</f>
        <v/>
      </c>
      <c r="AB22" s="43"/>
      <c r="AC22" s="43"/>
    </row>
    <row r="23" customFormat="false" ht="21.75" hidden="false" customHeight="true" outlineLevel="0" collapsed="false">
      <c r="A23" s="29" t="str">
        <f aca="false">IF(OR(B23="",C23=""),"",B23&amp;"-"&amp;C23)</f>
        <v/>
      </c>
      <c r="B23" s="48"/>
      <c r="C23" s="40"/>
      <c r="D23" s="41"/>
      <c r="E23" s="42"/>
      <c r="F23" s="48"/>
      <c r="G23" s="43"/>
      <c r="H23" s="43"/>
      <c r="I23" s="44"/>
      <c r="J23" s="36" t="str">
        <f aca="false">IF(I23="","",IFERROR(INDEX(参数表!$D$13:$D$212,MATCH(I23,参数表!$A$13:$A$212,0)),"SKU未建档"))</f>
        <v/>
      </c>
      <c r="K23" s="36" t="str">
        <f aca="false">IF(I23="","",IFERROR(INDEX(参数表!$F$13:$F$212,MATCH(I23,参数表!$A$13:$A$212,0)),"SKU未建档"))</f>
        <v/>
      </c>
      <c r="L23" s="45"/>
      <c r="M23" s="35" t="str">
        <f aca="false">IF(I23="","",IFERROR(INDEX(参数表!$G$13:$G$212,MATCH(I23,参数表!$A$13:$A$212,0)),"SKU未建档"))</f>
        <v/>
      </c>
      <c r="N23" s="40"/>
      <c r="O23" s="46"/>
      <c r="P23" s="47"/>
      <c r="Q23" s="34" t="str">
        <f aca="false">IF(OR(O23="",P23=""),"",ROUND(O23*P23,2))</f>
        <v/>
      </c>
      <c r="R23" s="48"/>
      <c r="S23" s="46"/>
      <c r="T23" s="33" t="str">
        <f aca="false">IF(I23="","",IFERROR(INDEX(参数表!$H$13:$H$212,MATCH(I23,参数表!$A$13:$A$212,0)),"SKU未建档"))</f>
        <v/>
      </c>
      <c r="U23" s="34" t="str">
        <f aca="false">IF(A23="","",IF(参数表!$B$6="外贸企业",IF(S23="","",S23),IF(Q23="","",Q23)))</f>
        <v/>
      </c>
      <c r="V23" s="34" t="str">
        <f aca="false">IF(OR(U23="",NOT(ISNUMBER(T23))),"",ROUND(U23*T23,2))</f>
        <v/>
      </c>
      <c r="W23" s="43"/>
      <c r="X23" s="48"/>
      <c r="Y23" s="45"/>
      <c r="Z23" s="41"/>
      <c r="AA23" s="32" t="str">
        <f aca="false">IF(OR(L23="",Y23=""),"",Y23-L23)</f>
        <v/>
      </c>
      <c r="AB23" s="43"/>
      <c r="AC23" s="43"/>
    </row>
    <row r="24" customFormat="false" ht="21.75" hidden="false" customHeight="true" outlineLevel="0" collapsed="false">
      <c r="A24" s="29" t="str">
        <f aca="false">IF(OR(B24="",C24=""),"",B24&amp;"-"&amp;C24)</f>
        <v/>
      </c>
      <c r="B24" s="48"/>
      <c r="C24" s="40"/>
      <c r="D24" s="41"/>
      <c r="E24" s="42"/>
      <c r="F24" s="48"/>
      <c r="G24" s="43"/>
      <c r="H24" s="43"/>
      <c r="I24" s="44"/>
      <c r="J24" s="36" t="str">
        <f aca="false">IF(I24="","",IFERROR(INDEX(参数表!$D$13:$D$212,MATCH(I24,参数表!$A$13:$A$212,0)),"SKU未建档"))</f>
        <v/>
      </c>
      <c r="K24" s="36" t="str">
        <f aca="false">IF(I24="","",IFERROR(INDEX(参数表!$F$13:$F$212,MATCH(I24,参数表!$A$13:$A$212,0)),"SKU未建档"))</f>
        <v/>
      </c>
      <c r="L24" s="45"/>
      <c r="M24" s="35" t="str">
        <f aca="false">IF(I24="","",IFERROR(INDEX(参数表!$G$13:$G$212,MATCH(I24,参数表!$A$13:$A$212,0)),"SKU未建档"))</f>
        <v/>
      </c>
      <c r="N24" s="40"/>
      <c r="O24" s="46"/>
      <c r="P24" s="47"/>
      <c r="Q24" s="34" t="str">
        <f aca="false">IF(OR(O24="",P24=""),"",ROUND(O24*P24,2))</f>
        <v/>
      </c>
      <c r="R24" s="48"/>
      <c r="S24" s="46"/>
      <c r="T24" s="33" t="str">
        <f aca="false">IF(I24="","",IFERROR(INDEX(参数表!$H$13:$H$212,MATCH(I24,参数表!$A$13:$A$212,0)),"SKU未建档"))</f>
        <v/>
      </c>
      <c r="U24" s="34" t="str">
        <f aca="false">IF(A24="","",IF(参数表!$B$6="外贸企业",IF(S24="","",S24),IF(Q24="","",Q24)))</f>
        <v/>
      </c>
      <c r="V24" s="34" t="str">
        <f aca="false">IF(OR(U24="",NOT(ISNUMBER(T24))),"",ROUND(U24*T24,2))</f>
        <v/>
      </c>
      <c r="W24" s="43"/>
      <c r="X24" s="48"/>
      <c r="Y24" s="45"/>
      <c r="Z24" s="41"/>
      <c r="AA24" s="32" t="str">
        <f aca="false">IF(OR(L24="",Y24=""),"",Y24-L24)</f>
        <v/>
      </c>
      <c r="AB24" s="43"/>
      <c r="AC24" s="43"/>
    </row>
    <row r="25" customFormat="false" ht="21.75" hidden="false" customHeight="true" outlineLevel="0" collapsed="false">
      <c r="A25" s="29" t="str">
        <f aca="false">IF(OR(B25="",C25=""),"",B25&amp;"-"&amp;C25)</f>
        <v/>
      </c>
      <c r="B25" s="48"/>
      <c r="C25" s="40"/>
      <c r="D25" s="41"/>
      <c r="E25" s="42"/>
      <c r="F25" s="48"/>
      <c r="G25" s="43"/>
      <c r="H25" s="43"/>
      <c r="I25" s="44"/>
      <c r="J25" s="36" t="str">
        <f aca="false">IF(I25="","",IFERROR(INDEX(参数表!$D$13:$D$212,MATCH(I25,参数表!$A$13:$A$212,0)),"SKU未建档"))</f>
        <v/>
      </c>
      <c r="K25" s="36" t="str">
        <f aca="false">IF(I25="","",IFERROR(INDEX(参数表!$F$13:$F$212,MATCH(I25,参数表!$A$13:$A$212,0)),"SKU未建档"))</f>
        <v/>
      </c>
      <c r="L25" s="45"/>
      <c r="M25" s="35" t="str">
        <f aca="false">IF(I25="","",IFERROR(INDEX(参数表!$G$13:$G$212,MATCH(I25,参数表!$A$13:$A$212,0)),"SKU未建档"))</f>
        <v/>
      </c>
      <c r="N25" s="40"/>
      <c r="O25" s="46"/>
      <c r="P25" s="47"/>
      <c r="Q25" s="34" t="str">
        <f aca="false">IF(OR(O25="",P25=""),"",ROUND(O25*P25,2))</f>
        <v/>
      </c>
      <c r="R25" s="48"/>
      <c r="S25" s="46"/>
      <c r="T25" s="33" t="str">
        <f aca="false">IF(I25="","",IFERROR(INDEX(参数表!$H$13:$H$212,MATCH(I25,参数表!$A$13:$A$212,0)),"SKU未建档"))</f>
        <v/>
      </c>
      <c r="U25" s="34" t="str">
        <f aca="false">IF(A25="","",IF(参数表!$B$6="外贸企业",IF(S25="","",S25),IF(Q25="","",Q25)))</f>
        <v/>
      </c>
      <c r="V25" s="34" t="str">
        <f aca="false">IF(OR(U25="",NOT(ISNUMBER(T25))),"",ROUND(U25*T25,2))</f>
        <v/>
      </c>
      <c r="W25" s="43"/>
      <c r="X25" s="48"/>
      <c r="Y25" s="45"/>
      <c r="Z25" s="41"/>
      <c r="AA25" s="32" t="str">
        <f aca="false">IF(OR(L25="",Y25=""),"",Y25-L25)</f>
        <v/>
      </c>
      <c r="AB25" s="43"/>
      <c r="AC25" s="43"/>
    </row>
    <row r="26" customFormat="false" ht="21.75" hidden="false" customHeight="true" outlineLevel="0" collapsed="false">
      <c r="A26" s="29" t="str">
        <f aca="false">IF(OR(B26="",C26=""),"",B26&amp;"-"&amp;C26)</f>
        <v/>
      </c>
      <c r="B26" s="48"/>
      <c r="C26" s="40"/>
      <c r="D26" s="41"/>
      <c r="E26" s="42"/>
      <c r="F26" s="48"/>
      <c r="G26" s="43"/>
      <c r="H26" s="43"/>
      <c r="I26" s="44"/>
      <c r="J26" s="36" t="str">
        <f aca="false">IF(I26="","",IFERROR(INDEX(参数表!$D$13:$D$212,MATCH(I26,参数表!$A$13:$A$212,0)),"SKU未建档"))</f>
        <v/>
      </c>
      <c r="K26" s="36" t="str">
        <f aca="false">IF(I26="","",IFERROR(INDEX(参数表!$F$13:$F$212,MATCH(I26,参数表!$A$13:$A$212,0)),"SKU未建档"))</f>
        <v/>
      </c>
      <c r="L26" s="45"/>
      <c r="M26" s="35" t="str">
        <f aca="false">IF(I26="","",IFERROR(INDEX(参数表!$G$13:$G$212,MATCH(I26,参数表!$A$13:$A$212,0)),"SKU未建档"))</f>
        <v/>
      </c>
      <c r="N26" s="40"/>
      <c r="O26" s="46"/>
      <c r="P26" s="47"/>
      <c r="Q26" s="34" t="str">
        <f aca="false">IF(OR(O26="",P26=""),"",ROUND(O26*P26,2))</f>
        <v/>
      </c>
      <c r="R26" s="48"/>
      <c r="S26" s="46"/>
      <c r="T26" s="33" t="str">
        <f aca="false">IF(I26="","",IFERROR(INDEX(参数表!$H$13:$H$212,MATCH(I26,参数表!$A$13:$A$212,0)),"SKU未建档"))</f>
        <v/>
      </c>
      <c r="U26" s="34" t="str">
        <f aca="false">IF(A26="","",IF(参数表!$B$6="外贸企业",IF(S26="","",S26),IF(Q26="","",Q26)))</f>
        <v/>
      </c>
      <c r="V26" s="34" t="str">
        <f aca="false">IF(OR(U26="",NOT(ISNUMBER(T26))),"",ROUND(U26*T26,2))</f>
        <v/>
      </c>
      <c r="W26" s="43"/>
      <c r="X26" s="48"/>
      <c r="Y26" s="45"/>
      <c r="Z26" s="41"/>
      <c r="AA26" s="32" t="str">
        <f aca="false">IF(OR(L26="",Y26=""),"",Y26-L26)</f>
        <v/>
      </c>
      <c r="AB26" s="43"/>
      <c r="AC26" s="43"/>
    </row>
    <row r="27" customFormat="false" ht="21.75" hidden="false" customHeight="true" outlineLevel="0" collapsed="false">
      <c r="A27" s="29" t="str">
        <f aca="false">IF(OR(B27="",C27=""),"",B27&amp;"-"&amp;C27)</f>
        <v/>
      </c>
      <c r="B27" s="48"/>
      <c r="C27" s="40"/>
      <c r="D27" s="41"/>
      <c r="E27" s="42"/>
      <c r="F27" s="48"/>
      <c r="G27" s="43"/>
      <c r="H27" s="43"/>
      <c r="I27" s="44"/>
      <c r="J27" s="36" t="str">
        <f aca="false">IF(I27="","",IFERROR(INDEX(参数表!$D$13:$D$212,MATCH(I27,参数表!$A$13:$A$212,0)),"SKU未建档"))</f>
        <v/>
      </c>
      <c r="K27" s="36" t="str">
        <f aca="false">IF(I27="","",IFERROR(INDEX(参数表!$F$13:$F$212,MATCH(I27,参数表!$A$13:$A$212,0)),"SKU未建档"))</f>
        <v/>
      </c>
      <c r="L27" s="45"/>
      <c r="M27" s="35" t="str">
        <f aca="false">IF(I27="","",IFERROR(INDEX(参数表!$G$13:$G$212,MATCH(I27,参数表!$A$13:$A$212,0)),"SKU未建档"))</f>
        <v/>
      </c>
      <c r="N27" s="40"/>
      <c r="O27" s="46"/>
      <c r="P27" s="47"/>
      <c r="Q27" s="34" t="str">
        <f aca="false">IF(OR(O27="",P27=""),"",ROUND(O27*P27,2))</f>
        <v/>
      </c>
      <c r="R27" s="48"/>
      <c r="S27" s="46"/>
      <c r="T27" s="33" t="str">
        <f aca="false">IF(I27="","",IFERROR(INDEX(参数表!$H$13:$H$212,MATCH(I27,参数表!$A$13:$A$212,0)),"SKU未建档"))</f>
        <v/>
      </c>
      <c r="U27" s="34" t="str">
        <f aca="false">IF(A27="","",IF(参数表!$B$6="外贸企业",IF(S27="","",S27),IF(Q27="","",Q27)))</f>
        <v/>
      </c>
      <c r="V27" s="34" t="str">
        <f aca="false">IF(OR(U27="",NOT(ISNUMBER(T27))),"",ROUND(U27*T27,2))</f>
        <v/>
      </c>
      <c r="W27" s="43"/>
      <c r="X27" s="48"/>
      <c r="Y27" s="45"/>
      <c r="Z27" s="41"/>
      <c r="AA27" s="32" t="str">
        <f aca="false">IF(OR(L27="",Y27=""),"",Y27-L27)</f>
        <v/>
      </c>
      <c r="AB27" s="43"/>
      <c r="AC27" s="43"/>
    </row>
    <row r="28" customFormat="false" ht="21.75" hidden="false" customHeight="true" outlineLevel="0" collapsed="false">
      <c r="A28" s="29" t="str">
        <f aca="false">IF(OR(B28="",C28=""),"",B28&amp;"-"&amp;C28)</f>
        <v/>
      </c>
      <c r="B28" s="48"/>
      <c r="C28" s="40"/>
      <c r="D28" s="41"/>
      <c r="E28" s="42"/>
      <c r="F28" s="48"/>
      <c r="G28" s="43"/>
      <c r="H28" s="43"/>
      <c r="I28" s="44"/>
      <c r="J28" s="36" t="str">
        <f aca="false">IF(I28="","",IFERROR(INDEX(参数表!$D$13:$D$212,MATCH(I28,参数表!$A$13:$A$212,0)),"SKU未建档"))</f>
        <v/>
      </c>
      <c r="K28" s="36" t="str">
        <f aca="false">IF(I28="","",IFERROR(INDEX(参数表!$F$13:$F$212,MATCH(I28,参数表!$A$13:$A$212,0)),"SKU未建档"))</f>
        <v/>
      </c>
      <c r="L28" s="45"/>
      <c r="M28" s="35" t="str">
        <f aca="false">IF(I28="","",IFERROR(INDEX(参数表!$G$13:$G$212,MATCH(I28,参数表!$A$13:$A$212,0)),"SKU未建档"))</f>
        <v/>
      </c>
      <c r="N28" s="40"/>
      <c r="O28" s="46"/>
      <c r="P28" s="47"/>
      <c r="Q28" s="34" t="str">
        <f aca="false">IF(OR(O28="",P28=""),"",ROUND(O28*P28,2))</f>
        <v/>
      </c>
      <c r="R28" s="48"/>
      <c r="S28" s="46"/>
      <c r="T28" s="33" t="str">
        <f aca="false">IF(I28="","",IFERROR(INDEX(参数表!$H$13:$H$212,MATCH(I28,参数表!$A$13:$A$212,0)),"SKU未建档"))</f>
        <v/>
      </c>
      <c r="U28" s="34" t="str">
        <f aca="false">IF(A28="","",IF(参数表!$B$6="外贸企业",IF(S28="","",S28),IF(Q28="","",Q28)))</f>
        <v/>
      </c>
      <c r="V28" s="34" t="str">
        <f aca="false">IF(OR(U28="",NOT(ISNUMBER(T28))),"",ROUND(U28*T28,2))</f>
        <v/>
      </c>
      <c r="W28" s="43"/>
      <c r="X28" s="48"/>
      <c r="Y28" s="45"/>
      <c r="Z28" s="41"/>
      <c r="AA28" s="32" t="str">
        <f aca="false">IF(OR(L28="",Y28=""),"",Y28-L28)</f>
        <v/>
      </c>
      <c r="AB28" s="43"/>
      <c r="AC28" s="43"/>
    </row>
    <row r="29" customFormat="false" ht="21.75" hidden="false" customHeight="true" outlineLevel="0" collapsed="false">
      <c r="A29" s="29" t="str">
        <f aca="false">IF(OR(B29="",C29=""),"",B29&amp;"-"&amp;C29)</f>
        <v/>
      </c>
      <c r="B29" s="48"/>
      <c r="C29" s="40"/>
      <c r="D29" s="41"/>
      <c r="E29" s="42"/>
      <c r="F29" s="48"/>
      <c r="G29" s="43"/>
      <c r="H29" s="43"/>
      <c r="I29" s="44"/>
      <c r="J29" s="36" t="str">
        <f aca="false">IF(I29="","",IFERROR(INDEX(参数表!$D$13:$D$212,MATCH(I29,参数表!$A$13:$A$212,0)),"SKU未建档"))</f>
        <v/>
      </c>
      <c r="K29" s="36" t="str">
        <f aca="false">IF(I29="","",IFERROR(INDEX(参数表!$F$13:$F$212,MATCH(I29,参数表!$A$13:$A$212,0)),"SKU未建档"))</f>
        <v/>
      </c>
      <c r="L29" s="45"/>
      <c r="M29" s="35" t="str">
        <f aca="false">IF(I29="","",IFERROR(INDEX(参数表!$G$13:$G$212,MATCH(I29,参数表!$A$13:$A$212,0)),"SKU未建档"))</f>
        <v/>
      </c>
      <c r="N29" s="40"/>
      <c r="O29" s="46"/>
      <c r="P29" s="47"/>
      <c r="Q29" s="34" t="str">
        <f aca="false">IF(OR(O29="",P29=""),"",ROUND(O29*P29,2))</f>
        <v/>
      </c>
      <c r="R29" s="48"/>
      <c r="S29" s="46"/>
      <c r="T29" s="33" t="str">
        <f aca="false">IF(I29="","",IFERROR(INDEX(参数表!$H$13:$H$212,MATCH(I29,参数表!$A$13:$A$212,0)),"SKU未建档"))</f>
        <v/>
      </c>
      <c r="U29" s="34" t="str">
        <f aca="false">IF(A29="","",IF(参数表!$B$6="外贸企业",IF(S29="","",S29),IF(Q29="","",Q29)))</f>
        <v/>
      </c>
      <c r="V29" s="34" t="str">
        <f aca="false">IF(OR(U29="",NOT(ISNUMBER(T29))),"",ROUND(U29*T29,2))</f>
        <v/>
      </c>
      <c r="W29" s="43"/>
      <c r="X29" s="48"/>
      <c r="Y29" s="45"/>
      <c r="Z29" s="41"/>
      <c r="AA29" s="32" t="str">
        <f aca="false">IF(OR(L29="",Y29=""),"",Y29-L29)</f>
        <v/>
      </c>
      <c r="AB29" s="43"/>
      <c r="AC29" s="43"/>
    </row>
    <row r="30" customFormat="false" ht="21.75" hidden="false" customHeight="true" outlineLevel="0" collapsed="false">
      <c r="A30" s="29" t="str">
        <f aca="false">IF(OR(B30="",C30=""),"",B30&amp;"-"&amp;C30)</f>
        <v/>
      </c>
      <c r="B30" s="48"/>
      <c r="C30" s="40"/>
      <c r="D30" s="41"/>
      <c r="E30" s="42"/>
      <c r="F30" s="48"/>
      <c r="G30" s="43"/>
      <c r="H30" s="43"/>
      <c r="I30" s="44"/>
      <c r="J30" s="36" t="str">
        <f aca="false">IF(I30="","",IFERROR(INDEX(参数表!$D$13:$D$212,MATCH(I30,参数表!$A$13:$A$212,0)),"SKU未建档"))</f>
        <v/>
      </c>
      <c r="K30" s="36" t="str">
        <f aca="false">IF(I30="","",IFERROR(INDEX(参数表!$F$13:$F$212,MATCH(I30,参数表!$A$13:$A$212,0)),"SKU未建档"))</f>
        <v/>
      </c>
      <c r="L30" s="45"/>
      <c r="M30" s="35" t="str">
        <f aca="false">IF(I30="","",IFERROR(INDEX(参数表!$G$13:$G$212,MATCH(I30,参数表!$A$13:$A$212,0)),"SKU未建档"))</f>
        <v/>
      </c>
      <c r="N30" s="40"/>
      <c r="O30" s="46"/>
      <c r="P30" s="47"/>
      <c r="Q30" s="34" t="str">
        <f aca="false">IF(OR(O30="",P30=""),"",ROUND(O30*P30,2))</f>
        <v/>
      </c>
      <c r="R30" s="48"/>
      <c r="S30" s="46"/>
      <c r="T30" s="33" t="str">
        <f aca="false">IF(I30="","",IFERROR(INDEX(参数表!$H$13:$H$212,MATCH(I30,参数表!$A$13:$A$212,0)),"SKU未建档"))</f>
        <v/>
      </c>
      <c r="U30" s="34" t="str">
        <f aca="false">IF(A30="","",IF(参数表!$B$6="外贸企业",IF(S30="","",S30),IF(Q30="","",Q30)))</f>
        <v/>
      </c>
      <c r="V30" s="34" t="str">
        <f aca="false">IF(OR(U30="",NOT(ISNUMBER(T30))),"",ROUND(U30*T30,2))</f>
        <v/>
      </c>
      <c r="W30" s="43"/>
      <c r="X30" s="48"/>
      <c r="Y30" s="45"/>
      <c r="Z30" s="41"/>
      <c r="AA30" s="32" t="str">
        <f aca="false">IF(OR(L30="",Y30=""),"",Y30-L30)</f>
        <v/>
      </c>
      <c r="AB30" s="43"/>
      <c r="AC30" s="43"/>
    </row>
    <row r="31" customFormat="false" ht="21.75" hidden="false" customHeight="true" outlineLevel="0" collapsed="false">
      <c r="A31" s="29" t="str">
        <f aca="false">IF(OR(B31="",C31=""),"",B31&amp;"-"&amp;C31)</f>
        <v/>
      </c>
      <c r="B31" s="48"/>
      <c r="C31" s="40"/>
      <c r="D31" s="41"/>
      <c r="E31" s="42"/>
      <c r="F31" s="48"/>
      <c r="G31" s="43"/>
      <c r="H31" s="43"/>
      <c r="I31" s="44"/>
      <c r="J31" s="36" t="str">
        <f aca="false">IF(I31="","",IFERROR(INDEX(参数表!$D$13:$D$212,MATCH(I31,参数表!$A$13:$A$212,0)),"SKU未建档"))</f>
        <v/>
      </c>
      <c r="K31" s="36" t="str">
        <f aca="false">IF(I31="","",IFERROR(INDEX(参数表!$F$13:$F$212,MATCH(I31,参数表!$A$13:$A$212,0)),"SKU未建档"))</f>
        <v/>
      </c>
      <c r="L31" s="45"/>
      <c r="M31" s="35" t="str">
        <f aca="false">IF(I31="","",IFERROR(INDEX(参数表!$G$13:$G$212,MATCH(I31,参数表!$A$13:$A$212,0)),"SKU未建档"))</f>
        <v/>
      </c>
      <c r="N31" s="40"/>
      <c r="O31" s="46"/>
      <c r="P31" s="47"/>
      <c r="Q31" s="34" t="str">
        <f aca="false">IF(OR(O31="",P31=""),"",ROUND(O31*P31,2))</f>
        <v/>
      </c>
      <c r="R31" s="48"/>
      <c r="S31" s="46"/>
      <c r="T31" s="33" t="str">
        <f aca="false">IF(I31="","",IFERROR(INDEX(参数表!$H$13:$H$212,MATCH(I31,参数表!$A$13:$A$212,0)),"SKU未建档"))</f>
        <v/>
      </c>
      <c r="U31" s="34" t="str">
        <f aca="false">IF(A31="","",IF(参数表!$B$6="外贸企业",IF(S31="","",S31),IF(Q31="","",Q31)))</f>
        <v/>
      </c>
      <c r="V31" s="34" t="str">
        <f aca="false">IF(OR(U31="",NOT(ISNUMBER(T31))),"",ROUND(U31*T31,2))</f>
        <v/>
      </c>
      <c r="W31" s="43"/>
      <c r="X31" s="48"/>
      <c r="Y31" s="45"/>
      <c r="Z31" s="41"/>
      <c r="AA31" s="32" t="str">
        <f aca="false">IF(OR(L31="",Y31=""),"",Y31-L31)</f>
        <v/>
      </c>
      <c r="AB31" s="43"/>
      <c r="AC31" s="43"/>
    </row>
    <row r="32" customFormat="false" ht="21.75" hidden="false" customHeight="true" outlineLevel="0" collapsed="false">
      <c r="A32" s="29" t="str">
        <f aca="false">IF(OR(B32="",C32=""),"",B32&amp;"-"&amp;C32)</f>
        <v/>
      </c>
      <c r="B32" s="48"/>
      <c r="C32" s="40"/>
      <c r="D32" s="41"/>
      <c r="E32" s="42"/>
      <c r="F32" s="48"/>
      <c r="G32" s="43"/>
      <c r="H32" s="43"/>
      <c r="I32" s="44"/>
      <c r="J32" s="36" t="str">
        <f aca="false">IF(I32="","",IFERROR(INDEX(参数表!$D$13:$D$212,MATCH(I32,参数表!$A$13:$A$212,0)),"SKU未建档"))</f>
        <v/>
      </c>
      <c r="K32" s="36" t="str">
        <f aca="false">IF(I32="","",IFERROR(INDEX(参数表!$F$13:$F$212,MATCH(I32,参数表!$A$13:$A$212,0)),"SKU未建档"))</f>
        <v/>
      </c>
      <c r="L32" s="45"/>
      <c r="M32" s="35" t="str">
        <f aca="false">IF(I32="","",IFERROR(INDEX(参数表!$G$13:$G$212,MATCH(I32,参数表!$A$13:$A$212,0)),"SKU未建档"))</f>
        <v/>
      </c>
      <c r="N32" s="40"/>
      <c r="O32" s="46"/>
      <c r="P32" s="47"/>
      <c r="Q32" s="34" t="str">
        <f aca="false">IF(OR(O32="",P32=""),"",ROUND(O32*P32,2))</f>
        <v/>
      </c>
      <c r="R32" s="48"/>
      <c r="S32" s="46"/>
      <c r="T32" s="33" t="str">
        <f aca="false">IF(I32="","",IFERROR(INDEX(参数表!$H$13:$H$212,MATCH(I32,参数表!$A$13:$A$212,0)),"SKU未建档"))</f>
        <v/>
      </c>
      <c r="U32" s="34" t="str">
        <f aca="false">IF(A32="","",IF(参数表!$B$6="外贸企业",IF(S32="","",S32),IF(Q32="","",Q32)))</f>
        <v/>
      </c>
      <c r="V32" s="34" t="str">
        <f aca="false">IF(OR(U32="",NOT(ISNUMBER(T32))),"",ROUND(U32*T32,2))</f>
        <v/>
      </c>
      <c r="W32" s="43"/>
      <c r="X32" s="48"/>
      <c r="Y32" s="45"/>
      <c r="Z32" s="41"/>
      <c r="AA32" s="32" t="str">
        <f aca="false">IF(OR(L32="",Y32=""),"",Y32-L32)</f>
        <v/>
      </c>
      <c r="AB32" s="43"/>
      <c r="AC32" s="43"/>
    </row>
    <row r="33" customFormat="false" ht="21.75" hidden="false" customHeight="true" outlineLevel="0" collapsed="false">
      <c r="A33" s="29" t="str">
        <f aca="false">IF(OR(B33="",C33=""),"",B33&amp;"-"&amp;C33)</f>
        <v/>
      </c>
      <c r="B33" s="48"/>
      <c r="C33" s="40"/>
      <c r="D33" s="41"/>
      <c r="E33" s="42"/>
      <c r="F33" s="48"/>
      <c r="G33" s="43"/>
      <c r="H33" s="43"/>
      <c r="I33" s="44"/>
      <c r="J33" s="36" t="str">
        <f aca="false">IF(I33="","",IFERROR(INDEX(参数表!$D$13:$D$212,MATCH(I33,参数表!$A$13:$A$212,0)),"SKU未建档"))</f>
        <v/>
      </c>
      <c r="K33" s="36" t="str">
        <f aca="false">IF(I33="","",IFERROR(INDEX(参数表!$F$13:$F$212,MATCH(I33,参数表!$A$13:$A$212,0)),"SKU未建档"))</f>
        <v/>
      </c>
      <c r="L33" s="45"/>
      <c r="M33" s="35" t="str">
        <f aca="false">IF(I33="","",IFERROR(INDEX(参数表!$G$13:$G$212,MATCH(I33,参数表!$A$13:$A$212,0)),"SKU未建档"))</f>
        <v/>
      </c>
      <c r="N33" s="40"/>
      <c r="O33" s="46"/>
      <c r="P33" s="47"/>
      <c r="Q33" s="34" t="str">
        <f aca="false">IF(OR(O33="",P33=""),"",ROUND(O33*P33,2))</f>
        <v/>
      </c>
      <c r="R33" s="48"/>
      <c r="S33" s="46"/>
      <c r="T33" s="33" t="str">
        <f aca="false">IF(I33="","",IFERROR(INDEX(参数表!$H$13:$H$212,MATCH(I33,参数表!$A$13:$A$212,0)),"SKU未建档"))</f>
        <v/>
      </c>
      <c r="U33" s="34" t="str">
        <f aca="false">IF(A33="","",IF(参数表!$B$6="外贸企业",IF(S33="","",S33),IF(Q33="","",Q33)))</f>
        <v/>
      </c>
      <c r="V33" s="34" t="str">
        <f aca="false">IF(OR(U33="",NOT(ISNUMBER(T33))),"",ROUND(U33*T33,2))</f>
        <v/>
      </c>
      <c r="W33" s="43"/>
      <c r="X33" s="48"/>
      <c r="Y33" s="45"/>
      <c r="Z33" s="41"/>
      <c r="AA33" s="32" t="str">
        <f aca="false">IF(OR(L33="",Y33=""),"",Y33-L33)</f>
        <v/>
      </c>
      <c r="AB33" s="43"/>
      <c r="AC33" s="43"/>
    </row>
    <row r="34" customFormat="false" ht="21.75" hidden="false" customHeight="true" outlineLevel="0" collapsed="false">
      <c r="A34" s="29" t="str">
        <f aca="false">IF(OR(B34="",C34=""),"",B34&amp;"-"&amp;C34)</f>
        <v/>
      </c>
      <c r="B34" s="48"/>
      <c r="C34" s="40"/>
      <c r="D34" s="41"/>
      <c r="E34" s="42"/>
      <c r="F34" s="48"/>
      <c r="G34" s="43"/>
      <c r="H34" s="43"/>
      <c r="I34" s="44"/>
      <c r="J34" s="36" t="str">
        <f aca="false">IF(I34="","",IFERROR(INDEX(参数表!$D$13:$D$212,MATCH(I34,参数表!$A$13:$A$212,0)),"SKU未建档"))</f>
        <v/>
      </c>
      <c r="K34" s="36" t="str">
        <f aca="false">IF(I34="","",IFERROR(INDEX(参数表!$F$13:$F$212,MATCH(I34,参数表!$A$13:$A$212,0)),"SKU未建档"))</f>
        <v/>
      </c>
      <c r="L34" s="45"/>
      <c r="M34" s="35" t="str">
        <f aca="false">IF(I34="","",IFERROR(INDEX(参数表!$G$13:$G$212,MATCH(I34,参数表!$A$13:$A$212,0)),"SKU未建档"))</f>
        <v/>
      </c>
      <c r="N34" s="40"/>
      <c r="O34" s="46"/>
      <c r="P34" s="47"/>
      <c r="Q34" s="34" t="str">
        <f aca="false">IF(OR(O34="",P34=""),"",ROUND(O34*P34,2))</f>
        <v/>
      </c>
      <c r="R34" s="48"/>
      <c r="S34" s="46"/>
      <c r="T34" s="33" t="str">
        <f aca="false">IF(I34="","",IFERROR(INDEX(参数表!$H$13:$H$212,MATCH(I34,参数表!$A$13:$A$212,0)),"SKU未建档"))</f>
        <v/>
      </c>
      <c r="U34" s="34" t="str">
        <f aca="false">IF(A34="","",IF(参数表!$B$6="外贸企业",IF(S34="","",S34),IF(Q34="","",Q34)))</f>
        <v/>
      </c>
      <c r="V34" s="34" t="str">
        <f aca="false">IF(OR(U34="",NOT(ISNUMBER(T34))),"",ROUND(U34*T34,2))</f>
        <v/>
      </c>
      <c r="W34" s="43"/>
      <c r="X34" s="48"/>
      <c r="Y34" s="45"/>
      <c r="Z34" s="41"/>
      <c r="AA34" s="32" t="str">
        <f aca="false">IF(OR(L34="",Y34=""),"",Y34-L34)</f>
        <v/>
      </c>
      <c r="AB34" s="43"/>
      <c r="AC34" s="43"/>
    </row>
    <row r="35" customFormat="false" ht="21.75" hidden="false" customHeight="true" outlineLevel="0" collapsed="false">
      <c r="A35" s="29" t="str">
        <f aca="false">IF(OR(B35="",C35=""),"",B35&amp;"-"&amp;C35)</f>
        <v/>
      </c>
      <c r="B35" s="48"/>
      <c r="C35" s="40"/>
      <c r="D35" s="41"/>
      <c r="E35" s="42"/>
      <c r="F35" s="48"/>
      <c r="G35" s="43"/>
      <c r="H35" s="43"/>
      <c r="I35" s="44"/>
      <c r="J35" s="36" t="str">
        <f aca="false">IF(I35="","",IFERROR(INDEX(参数表!$D$13:$D$212,MATCH(I35,参数表!$A$13:$A$212,0)),"SKU未建档"))</f>
        <v/>
      </c>
      <c r="K35" s="36" t="str">
        <f aca="false">IF(I35="","",IFERROR(INDEX(参数表!$F$13:$F$212,MATCH(I35,参数表!$A$13:$A$212,0)),"SKU未建档"))</f>
        <v/>
      </c>
      <c r="L35" s="45"/>
      <c r="M35" s="35" t="str">
        <f aca="false">IF(I35="","",IFERROR(INDEX(参数表!$G$13:$G$212,MATCH(I35,参数表!$A$13:$A$212,0)),"SKU未建档"))</f>
        <v/>
      </c>
      <c r="N35" s="40"/>
      <c r="O35" s="46"/>
      <c r="P35" s="47"/>
      <c r="Q35" s="34" t="str">
        <f aca="false">IF(OR(O35="",P35=""),"",ROUND(O35*P35,2))</f>
        <v/>
      </c>
      <c r="R35" s="48"/>
      <c r="S35" s="46"/>
      <c r="T35" s="33" t="str">
        <f aca="false">IF(I35="","",IFERROR(INDEX(参数表!$H$13:$H$212,MATCH(I35,参数表!$A$13:$A$212,0)),"SKU未建档"))</f>
        <v/>
      </c>
      <c r="U35" s="34" t="str">
        <f aca="false">IF(A35="","",IF(参数表!$B$6="外贸企业",IF(S35="","",S35),IF(Q35="","",Q35)))</f>
        <v/>
      </c>
      <c r="V35" s="34" t="str">
        <f aca="false">IF(OR(U35="",NOT(ISNUMBER(T35))),"",ROUND(U35*T35,2))</f>
        <v/>
      </c>
      <c r="W35" s="43"/>
      <c r="X35" s="48"/>
      <c r="Y35" s="45"/>
      <c r="Z35" s="41"/>
      <c r="AA35" s="32" t="str">
        <f aca="false">IF(OR(L35="",Y35=""),"",Y35-L35)</f>
        <v/>
      </c>
      <c r="AB35" s="43"/>
      <c r="AC35" s="43"/>
    </row>
    <row r="36" customFormat="false" ht="21.75" hidden="false" customHeight="true" outlineLevel="0" collapsed="false">
      <c r="A36" s="29" t="str">
        <f aca="false">IF(OR(B36="",C36=""),"",B36&amp;"-"&amp;C36)</f>
        <v/>
      </c>
      <c r="B36" s="48"/>
      <c r="C36" s="40"/>
      <c r="D36" s="41"/>
      <c r="E36" s="42"/>
      <c r="F36" s="48"/>
      <c r="G36" s="43"/>
      <c r="H36" s="43"/>
      <c r="I36" s="44"/>
      <c r="J36" s="36" t="str">
        <f aca="false">IF(I36="","",IFERROR(INDEX(参数表!$D$13:$D$212,MATCH(I36,参数表!$A$13:$A$212,0)),"SKU未建档"))</f>
        <v/>
      </c>
      <c r="K36" s="36" t="str">
        <f aca="false">IF(I36="","",IFERROR(INDEX(参数表!$F$13:$F$212,MATCH(I36,参数表!$A$13:$A$212,0)),"SKU未建档"))</f>
        <v/>
      </c>
      <c r="L36" s="45"/>
      <c r="M36" s="35" t="str">
        <f aca="false">IF(I36="","",IFERROR(INDEX(参数表!$G$13:$G$212,MATCH(I36,参数表!$A$13:$A$212,0)),"SKU未建档"))</f>
        <v/>
      </c>
      <c r="N36" s="40"/>
      <c r="O36" s="46"/>
      <c r="P36" s="47"/>
      <c r="Q36" s="34" t="str">
        <f aca="false">IF(OR(O36="",P36=""),"",ROUND(O36*P36,2))</f>
        <v/>
      </c>
      <c r="R36" s="48"/>
      <c r="S36" s="46"/>
      <c r="T36" s="33" t="str">
        <f aca="false">IF(I36="","",IFERROR(INDEX(参数表!$H$13:$H$212,MATCH(I36,参数表!$A$13:$A$212,0)),"SKU未建档"))</f>
        <v/>
      </c>
      <c r="U36" s="34" t="str">
        <f aca="false">IF(A36="","",IF(参数表!$B$6="外贸企业",IF(S36="","",S36),IF(Q36="","",Q36)))</f>
        <v/>
      </c>
      <c r="V36" s="34" t="str">
        <f aca="false">IF(OR(U36="",NOT(ISNUMBER(T36))),"",ROUND(U36*T36,2))</f>
        <v/>
      </c>
      <c r="W36" s="43"/>
      <c r="X36" s="48"/>
      <c r="Y36" s="45"/>
      <c r="Z36" s="41"/>
      <c r="AA36" s="32" t="str">
        <f aca="false">IF(OR(L36="",Y36=""),"",Y36-L36)</f>
        <v/>
      </c>
      <c r="AB36" s="43"/>
      <c r="AC36" s="43"/>
    </row>
    <row r="37" customFormat="false" ht="21.75" hidden="false" customHeight="true" outlineLevel="0" collapsed="false">
      <c r="A37" s="29" t="str">
        <f aca="false">IF(OR(B37="",C37=""),"",B37&amp;"-"&amp;C37)</f>
        <v/>
      </c>
      <c r="B37" s="48"/>
      <c r="C37" s="40"/>
      <c r="D37" s="41"/>
      <c r="E37" s="42"/>
      <c r="F37" s="48"/>
      <c r="G37" s="43"/>
      <c r="H37" s="43"/>
      <c r="I37" s="44"/>
      <c r="J37" s="36" t="str">
        <f aca="false">IF(I37="","",IFERROR(INDEX(参数表!$D$13:$D$212,MATCH(I37,参数表!$A$13:$A$212,0)),"SKU未建档"))</f>
        <v/>
      </c>
      <c r="K37" s="36" t="str">
        <f aca="false">IF(I37="","",IFERROR(INDEX(参数表!$F$13:$F$212,MATCH(I37,参数表!$A$13:$A$212,0)),"SKU未建档"))</f>
        <v/>
      </c>
      <c r="L37" s="45"/>
      <c r="M37" s="35" t="str">
        <f aca="false">IF(I37="","",IFERROR(INDEX(参数表!$G$13:$G$212,MATCH(I37,参数表!$A$13:$A$212,0)),"SKU未建档"))</f>
        <v/>
      </c>
      <c r="N37" s="40"/>
      <c r="O37" s="46"/>
      <c r="P37" s="47"/>
      <c r="Q37" s="34" t="str">
        <f aca="false">IF(OR(O37="",P37=""),"",ROUND(O37*P37,2))</f>
        <v/>
      </c>
      <c r="R37" s="48"/>
      <c r="S37" s="46"/>
      <c r="T37" s="33" t="str">
        <f aca="false">IF(I37="","",IFERROR(INDEX(参数表!$H$13:$H$212,MATCH(I37,参数表!$A$13:$A$212,0)),"SKU未建档"))</f>
        <v/>
      </c>
      <c r="U37" s="34" t="str">
        <f aca="false">IF(A37="","",IF(参数表!$B$6="外贸企业",IF(S37="","",S37),IF(Q37="","",Q37)))</f>
        <v/>
      </c>
      <c r="V37" s="34" t="str">
        <f aca="false">IF(OR(U37="",NOT(ISNUMBER(T37))),"",ROUND(U37*T37,2))</f>
        <v/>
      </c>
      <c r="W37" s="43"/>
      <c r="X37" s="48"/>
      <c r="Y37" s="45"/>
      <c r="Z37" s="41"/>
      <c r="AA37" s="32" t="str">
        <f aca="false">IF(OR(L37="",Y37=""),"",Y37-L37)</f>
        <v/>
      </c>
      <c r="AB37" s="43"/>
      <c r="AC37" s="43"/>
    </row>
    <row r="38" customFormat="false" ht="21.75" hidden="false" customHeight="true" outlineLevel="0" collapsed="false">
      <c r="A38" s="29" t="str">
        <f aca="false">IF(OR(B38="",C38=""),"",B38&amp;"-"&amp;C38)</f>
        <v/>
      </c>
      <c r="B38" s="48"/>
      <c r="C38" s="40"/>
      <c r="D38" s="41"/>
      <c r="E38" s="42"/>
      <c r="F38" s="48"/>
      <c r="G38" s="43"/>
      <c r="H38" s="43"/>
      <c r="I38" s="44"/>
      <c r="J38" s="36" t="str">
        <f aca="false">IF(I38="","",IFERROR(INDEX(参数表!$D$13:$D$212,MATCH(I38,参数表!$A$13:$A$212,0)),"SKU未建档"))</f>
        <v/>
      </c>
      <c r="K38" s="36" t="str">
        <f aca="false">IF(I38="","",IFERROR(INDEX(参数表!$F$13:$F$212,MATCH(I38,参数表!$A$13:$A$212,0)),"SKU未建档"))</f>
        <v/>
      </c>
      <c r="L38" s="45"/>
      <c r="M38" s="35" t="str">
        <f aca="false">IF(I38="","",IFERROR(INDEX(参数表!$G$13:$G$212,MATCH(I38,参数表!$A$13:$A$212,0)),"SKU未建档"))</f>
        <v/>
      </c>
      <c r="N38" s="40"/>
      <c r="O38" s="46"/>
      <c r="P38" s="47"/>
      <c r="Q38" s="34" t="str">
        <f aca="false">IF(OR(O38="",P38=""),"",ROUND(O38*P38,2))</f>
        <v/>
      </c>
      <c r="R38" s="48"/>
      <c r="S38" s="46"/>
      <c r="T38" s="33" t="str">
        <f aca="false">IF(I38="","",IFERROR(INDEX(参数表!$H$13:$H$212,MATCH(I38,参数表!$A$13:$A$212,0)),"SKU未建档"))</f>
        <v/>
      </c>
      <c r="U38" s="34" t="str">
        <f aca="false">IF(A38="","",IF(参数表!$B$6="外贸企业",IF(S38="","",S38),IF(Q38="","",Q38)))</f>
        <v/>
      </c>
      <c r="V38" s="34" t="str">
        <f aca="false">IF(OR(U38="",NOT(ISNUMBER(T38))),"",ROUND(U38*T38,2))</f>
        <v/>
      </c>
      <c r="W38" s="43"/>
      <c r="X38" s="48"/>
      <c r="Y38" s="45"/>
      <c r="Z38" s="41"/>
      <c r="AA38" s="32" t="str">
        <f aca="false">IF(OR(L38="",Y38=""),"",Y38-L38)</f>
        <v/>
      </c>
      <c r="AB38" s="43"/>
      <c r="AC38" s="43"/>
    </row>
    <row r="39" customFormat="false" ht="21.75" hidden="false" customHeight="true" outlineLevel="0" collapsed="false">
      <c r="A39" s="29" t="str">
        <f aca="false">IF(OR(B39="",C39=""),"",B39&amp;"-"&amp;C39)</f>
        <v/>
      </c>
      <c r="B39" s="48"/>
      <c r="C39" s="40"/>
      <c r="D39" s="41"/>
      <c r="E39" s="42"/>
      <c r="F39" s="48"/>
      <c r="G39" s="43"/>
      <c r="H39" s="43"/>
      <c r="I39" s="44"/>
      <c r="J39" s="36" t="str">
        <f aca="false">IF(I39="","",IFERROR(INDEX(参数表!$D$13:$D$212,MATCH(I39,参数表!$A$13:$A$212,0)),"SKU未建档"))</f>
        <v/>
      </c>
      <c r="K39" s="36" t="str">
        <f aca="false">IF(I39="","",IFERROR(INDEX(参数表!$F$13:$F$212,MATCH(I39,参数表!$A$13:$A$212,0)),"SKU未建档"))</f>
        <v/>
      </c>
      <c r="L39" s="45"/>
      <c r="M39" s="35" t="str">
        <f aca="false">IF(I39="","",IFERROR(INDEX(参数表!$G$13:$G$212,MATCH(I39,参数表!$A$13:$A$212,0)),"SKU未建档"))</f>
        <v/>
      </c>
      <c r="N39" s="40"/>
      <c r="O39" s="46"/>
      <c r="P39" s="47"/>
      <c r="Q39" s="34" t="str">
        <f aca="false">IF(OR(O39="",P39=""),"",ROUND(O39*P39,2))</f>
        <v/>
      </c>
      <c r="R39" s="48"/>
      <c r="S39" s="46"/>
      <c r="T39" s="33" t="str">
        <f aca="false">IF(I39="","",IFERROR(INDEX(参数表!$H$13:$H$212,MATCH(I39,参数表!$A$13:$A$212,0)),"SKU未建档"))</f>
        <v/>
      </c>
      <c r="U39" s="34" t="str">
        <f aca="false">IF(A39="","",IF(参数表!$B$6="外贸企业",IF(S39="","",S39),IF(Q39="","",Q39)))</f>
        <v/>
      </c>
      <c r="V39" s="34" t="str">
        <f aca="false">IF(OR(U39="",NOT(ISNUMBER(T39))),"",ROUND(U39*T39,2))</f>
        <v/>
      </c>
      <c r="W39" s="43"/>
      <c r="X39" s="48"/>
      <c r="Y39" s="45"/>
      <c r="Z39" s="41"/>
      <c r="AA39" s="32" t="str">
        <f aca="false">IF(OR(L39="",Y39=""),"",Y39-L39)</f>
        <v/>
      </c>
      <c r="AB39" s="43"/>
      <c r="AC39" s="43"/>
    </row>
    <row r="40" customFormat="false" ht="21.75" hidden="false" customHeight="true" outlineLevel="0" collapsed="false">
      <c r="A40" s="29" t="str">
        <f aca="false">IF(OR(B40="",C40=""),"",B40&amp;"-"&amp;C40)</f>
        <v/>
      </c>
      <c r="B40" s="48"/>
      <c r="C40" s="40"/>
      <c r="D40" s="41"/>
      <c r="E40" s="42"/>
      <c r="F40" s="48"/>
      <c r="G40" s="43"/>
      <c r="H40" s="43"/>
      <c r="I40" s="44"/>
      <c r="J40" s="36" t="str">
        <f aca="false">IF(I40="","",IFERROR(INDEX(参数表!$D$13:$D$212,MATCH(I40,参数表!$A$13:$A$212,0)),"SKU未建档"))</f>
        <v/>
      </c>
      <c r="K40" s="36" t="str">
        <f aca="false">IF(I40="","",IFERROR(INDEX(参数表!$F$13:$F$212,MATCH(I40,参数表!$A$13:$A$212,0)),"SKU未建档"))</f>
        <v/>
      </c>
      <c r="L40" s="45"/>
      <c r="M40" s="35" t="str">
        <f aca="false">IF(I40="","",IFERROR(INDEX(参数表!$G$13:$G$212,MATCH(I40,参数表!$A$13:$A$212,0)),"SKU未建档"))</f>
        <v/>
      </c>
      <c r="N40" s="40"/>
      <c r="O40" s="46"/>
      <c r="P40" s="47"/>
      <c r="Q40" s="34" t="str">
        <f aca="false">IF(OR(O40="",P40=""),"",ROUND(O40*P40,2))</f>
        <v/>
      </c>
      <c r="R40" s="48"/>
      <c r="S40" s="46"/>
      <c r="T40" s="33" t="str">
        <f aca="false">IF(I40="","",IFERROR(INDEX(参数表!$H$13:$H$212,MATCH(I40,参数表!$A$13:$A$212,0)),"SKU未建档"))</f>
        <v/>
      </c>
      <c r="U40" s="34" t="str">
        <f aca="false">IF(A40="","",IF(参数表!$B$6="外贸企业",IF(S40="","",S40),IF(Q40="","",Q40)))</f>
        <v/>
      </c>
      <c r="V40" s="34" t="str">
        <f aca="false">IF(OR(U40="",NOT(ISNUMBER(T40))),"",ROUND(U40*T40,2))</f>
        <v/>
      </c>
      <c r="W40" s="43"/>
      <c r="X40" s="48"/>
      <c r="Y40" s="45"/>
      <c r="Z40" s="41"/>
      <c r="AA40" s="32" t="str">
        <f aca="false">IF(OR(L40="",Y40=""),"",Y40-L40)</f>
        <v/>
      </c>
      <c r="AB40" s="43"/>
      <c r="AC40" s="43"/>
    </row>
    <row r="41" customFormat="false" ht="21.75" hidden="false" customHeight="true" outlineLevel="0" collapsed="false">
      <c r="A41" s="29" t="str">
        <f aca="false">IF(OR(B41="",C41=""),"",B41&amp;"-"&amp;C41)</f>
        <v/>
      </c>
      <c r="B41" s="48"/>
      <c r="C41" s="40"/>
      <c r="D41" s="41"/>
      <c r="E41" s="42"/>
      <c r="F41" s="48"/>
      <c r="G41" s="43"/>
      <c r="H41" s="43"/>
      <c r="I41" s="44"/>
      <c r="J41" s="36" t="str">
        <f aca="false">IF(I41="","",IFERROR(INDEX(参数表!$D$13:$D$212,MATCH(I41,参数表!$A$13:$A$212,0)),"SKU未建档"))</f>
        <v/>
      </c>
      <c r="K41" s="36" t="str">
        <f aca="false">IF(I41="","",IFERROR(INDEX(参数表!$F$13:$F$212,MATCH(I41,参数表!$A$13:$A$212,0)),"SKU未建档"))</f>
        <v/>
      </c>
      <c r="L41" s="45"/>
      <c r="M41" s="35" t="str">
        <f aca="false">IF(I41="","",IFERROR(INDEX(参数表!$G$13:$G$212,MATCH(I41,参数表!$A$13:$A$212,0)),"SKU未建档"))</f>
        <v/>
      </c>
      <c r="N41" s="40"/>
      <c r="O41" s="46"/>
      <c r="P41" s="47"/>
      <c r="Q41" s="34" t="str">
        <f aca="false">IF(OR(O41="",P41=""),"",ROUND(O41*P41,2))</f>
        <v/>
      </c>
      <c r="R41" s="48"/>
      <c r="S41" s="46"/>
      <c r="T41" s="33" t="str">
        <f aca="false">IF(I41="","",IFERROR(INDEX(参数表!$H$13:$H$212,MATCH(I41,参数表!$A$13:$A$212,0)),"SKU未建档"))</f>
        <v/>
      </c>
      <c r="U41" s="34" t="str">
        <f aca="false">IF(A41="","",IF(参数表!$B$6="外贸企业",IF(S41="","",S41),IF(Q41="","",Q41)))</f>
        <v/>
      </c>
      <c r="V41" s="34" t="str">
        <f aca="false">IF(OR(U41="",NOT(ISNUMBER(T41))),"",ROUND(U41*T41,2))</f>
        <v/>
      </c>
      <c r="W41" s="43"/>
      <c r="X41" s="48"/>
      <c r="Y41" s="45"/>
      <c r="Z41" s="41"/>
      <c r="AA41" s="32" t="str">
        <f aca="false">IF(OR(L41="",Y41=""),"",Y41-L41)</f>
        <v/>
      </c>
      <c r="AB41" s="43"/>
      <c r="AC41" s="43"/>
    </row>
    <row r="42" customFormat="false" ht="21.75" hidden="false" customHeight="true" outlineLevel="0" collapsed="false">
      <c r="A42" s="29" t="str">
        <f aca="false">IF(OR(B42="",C42=""),"",B42&amp;"-"&amp;C42)</f>
        <v/>
      </c>
      <c r="B42" s="48"/>
      <c r="C42" s="40"/>
      <c r="D42" s="41"/>
      <c r="E42" s="42"/>
      <c r="F42" s="48"/>
      <c r="G42" s="43"/>
      <c r="H42" s="43"/>
      <c r="I42" s="44"/>
      <c r="J42" s="36" t="str">
        <f aca="false">IF(I42="","",IFERROR(INDEX(参数表!$D$13:$D$212,MATCH(I42,参数表!$A$13:$A$212,0)),"SKU未建档"))</f>
        <v/>
      </c>
      <c r="K42" s="36" t="str">
        <f aca="false">IF(I42="","",IFERROR(INDEX(参数表!$F$13:$F$212,MATCH(I42,参数表!$A$13:$A$212,0)),"SKU未建档"))</f>
        <v/>
      </c>
      <c r="L42" s="45"/>
      <c r="M42" s="35" t="str">
        <f aca="false">IF(I42="","",IFERROR(INDEX(参数表!$G$13:$G$212,MATCH(I42,参数表!$A$13:$A$212,0)),"SKU未建档"))</f>
        <v/>
      </c>
      <c r="N42" s="40"/>
      <c r="O42" s="46"/>
      <c r="P42" s="47"/>
      <c r="Q42" s="34" t="str">
        <f aca="false">IF(OR(O42="",P42=""),"",ROUND(O42*P42,2))</f>
        <v/>
      </c>
      <c r="R42" s="48"/>
      <c r="S42" s="46"/>
      <c r="T42" s="33" t="str">
        <f aca="false">IF(I42="","",IFERROR(INDEX(参数表!$H$13:$H$212,MATCH(I42,参数表!$A$13:$A$212,0)),"SKU未建档"))</f>
        <v/>
      </c>
      <c r="U42" s="34" t="str">
        <f aca="false">IF(A42="","",IF(参数表!$B$6="外贸企业",IF(S42="","",S42),IF(Q42="","",Q42)))</f>
        <v/>
      </c>
      <c r="V42" s="34" t="str">
        <f aca="false">IF(OR(U42="",NOT(ISNUMBER(T42))),"",ROUND(U42*T42,2))</f>
        <v/>
      </c>
      <c r="W42" s="43"/>
      <c r="X42" s="48"/>
      <c r="Y42" s="45"/>
      <c r="Z42" s="41"/>
      <c r="AA42" s="32" t="str">
        <f aca="false">IF(OR(L42="",Y42=""),"",Y42-L42)</f>
        <v/>
      </c>
      <c r="AB42" s="43"/>
      <c r="AC42" s="43"/>
    </row>
    <row r="43" customFormat="false" ht="21.75" hidden="false" customHeight="true" outlineLevel="0" collapsed="false">
      <c r="A43" s="29" t="str">
        <f aca="false">IF(OR(B43="",C43=""),"",B43&amp;"-"&amp;C43)</f>
        <v/>
      </c>
      <c r="B43" s="48"/>
      <c r="C43" s="40"/>
      <c r="D43" s="41"/>
      <c r="E43" s="42"/>
      <c r="F43" s="48"/>
      <c r="G43" s="43"/>
      <c r="H43" s="43"/>
      <c r="I43" s="44"/>
      <c r="J43" s="36" t="str">
        <f aca="false">IF(I43="","",IFERROR(INDEX(参数表!$D$13:$D$212,MATCH(I43,参数表!$A$13:$A$212,0)),"SKU未建档"))</f>
        <v/>
      </c>
      <c r="K43" s="36" t="str">
        <f aca="false">IF(I43="","",IFERROR(INDEX(参数表!$F$13:$F$212,MATCH(I43,参数表!$A$13:$A$212,0)),"SKU未建档"))</f>
        <v/>
      </c>
      <c r="L43" s="45"/>
      <c r="M43" s="35" t="str">
        <f aca="false">IF(I43="","",IFERROR(INDEX(参数表!$G$13:$G$212,MATCH(I43,参数表!$A$13:$A$212,0)),"SKU未建档"))</f>
        <v/>
      </c>
      <c r="N43" s="40"/>
      <c r="O43" s="46"/>
      <c r="P43" s="47"/>
      <c r="Q43" s="34" t="str">
        <f aca="false">IF(OR(O43="",P43=""),"",ROUND(O43*P43,2))</f>
        <v/>
      </c>
      <c r="R43" s="48"/>
      <c r="S43" s="46"/>
      <c r="T43" s="33" t="str">
        <f aca="false">IF(I43="","",IFERROR(INDEX(参数表!$H$13:$H$212,MATCH(I43,参数表!$A$13:$A$212,0)),"SKU未建档"))</f>
        <v/>
      </c>
      <c r="U43" s="34" t="str">
        <f aca="false">IF(A43="","",IF(参数表!$B$6="外贸企业",IF(S43="","",S43),IF(Q43="","",Q43)))</f>
        <v/>
      </c>
      <c r="V43" s="34" t="str">
        <f aca="false">IF(OR(U43="",NOT(ISNUMBER(T43))),"",ROUND(U43*T43,2))</f>
        <v/>
      </c>
      <c r="W43" s="43"/>
      <c r="X43" s="48"/>
      <c r="Y43" s="45"/>
      <c r="Z43" s="41"/>
      <c r="AA43" s="32" t="str">
        <f aca="false">IF(OR(L43="",Y43=""),"",Y43-L43)</f>
        <v/>
      </c>
      <c r="AB43" s="43"/>
      <c r="AC43" s="43"/>
    </row>
    <row r="44" customFormat="false" ht="21.75" hidden="false" customHeight="true" outlineLevel="0" collapsed="false">
      <c r="A44" s="29" t="str">
        <f aca="false">IF(OR(B44="",C44=""),"",B44&amp;"-"&amp;C44)</f>
        <v/>
      </c>
      <c r="B44" s="48"/>
      <c r="C44" s="40"/>
      <c r="D44" s="41"/>
      <c r="E44" s="42"/>
      <c r="F44" s="48"/>
      <c r="G44" s="43"/>
      <c r="H44" s="43"/>
      <c r="I44" s="44"/>
      <c r="J44" s="36" t="str">
        <f aca="false">IF(I44="","",IFERROR(INDEX(参数表!$D$13:$D$212,MATCH(I44,参数表!$A$13:$A$212,0)),"SKU未建档"))</f>
        <v/>
      </c>
      <c r="K44" s="36" t="str">
        <f aca="false">IF(I44="","",IFERROR(INDEX(参数表!$F$13:$F$212,MATCH(I44,参数表!$A$13:$A$212,0)),"SKU未建档"))</f>
        <v/>
      </c>
      <c r="L44" s="45"/>
      <c r="M44" s="35" t="str">
        <f aca="false">IF(I44="","",IFERROR(INDEX(参数表!$G$13:$G$212,MATCH(I44,参数表!$A$13:$A$212,0)),"SKU未建档"))</f>
        <v/>
      </c>
      <c r="N44" s="40"/>
      <c r="O44" s="46"/>
      <c r="P44" s="47"/>
      <c r="Q44" s="34" t="str">
        <f aca="false">IF(OR(O44="",P44=""),"",ROUND(O44*P44,2))</f>
        <v/>
      </c>
      <c r="R44" s="48"/>
      <c r="S44" s="46"/>
      <c r="T44" s="33" t="str">
        <f aca="false">IF(I44="","",IFERROR(INDEX(参数表!$H$13:$H$212,MATCH(I44,参数表!$A$13:$A$212,0)),"SKU未建档"))</f>
        <v/>
      </c>
      <c r="U44" s="34" t="str">
        <f aca="false">IF(A44="","",IF(参数表!$B$6="外贸企业",IF(S44="","",S44),IF(Q44="","",Q44)))</f>
        <v/>
      </c>
      <c r="V44" s="34" t="str">
        <f aca="false">IF(OR(U44="",NOT(ISNUMBER(T44))),"",ROUND(U44*T44,2))</f>
        <v/>
      </c>
      <c r="W44" s="43"/>
      <c r="X44" s="48"/>
      <c r="Y44" s="45"/>
      <c r="Z44" s="41"/>
      <c r="AA44" s="32" t="str">
        <f aca="false">IF(OR(L44="",Y44=""),"",Y44-L44)</f>
        <v/>
      </c>
      <c r="AB44" s="43"/>
      <c r="AC44" s="43"/>
    </row>
    <row r="45" customFormat="false" ht="21.75" hidden="false" customHeight="true" outlineLevel="0" collapsed="false">
      <c r="A45" s="29" t="str">
        <f aca="false">IF(OR(B45="",C45=""),"",B45&amp;"-"&amp;C45)</f>
        <v/>
      </c>
      <c r="B45" s="48"/>
      <c r="C45" s="40"/>
      <c r="D45" s="41"/>
      <c r="E45" s="42"/>
      <c r="F45" s="48"/>
      <c r="G45" s="43"/>
      <c r="H45" s="43"/>
      <c r="I45" s="44"/>
      <c r="J45" s="36" t="str">
        <f aca="false">IF(I45="","",IFERROR(INDEX(参数表!$D$13:$D$212,MATCH(I45,参数表!$A$13:$A$212,0)),"SKU未建档"))</f>
        <v/>
      </c>
      <c r="K45" s="36" t="str">
        <f aca="false">IF(I45="","",IFERROR(INDEX(参数表!$F$13:$F$212,MATCH(I45,参数表!$A$13:$A$212,0)),"SKU未建档"))</f>
        <v/>
      </c>
      <c r="L45" s="45"/>
      <c r="M45" s="35" t="str">
        <f aca="false">IF(I45="","",IFERROR(INDEX(参数表!$G$13:$G$212,MATCH(I45,参数表!$A$13:$A$212,0)),"SKU未建档"))</f>
        <v/>
      </c>
      <c r="N45" s="40"/>
      <c r="O45" s="46"/>
      <c r="P45" s="47"/>
      <c r="Q45" s="34" t="str">
        <f aca="false">IF(OR(O45="",P45=""),"",ROUND(O45*P45,2))</f>
        <v/>
      </c>
      <c r="R45" s="48"/>
      <c r="S45" s="46"/>
      <c r="T45" s="33" t="str">
        <f aca="false">IF(I45="","",IFERROR(INDEX(参数表!$H$13:$H$212,MATCH(I45,参数表!$A$13:$A$212,0)),"SKU未建档"))</f>
        <v/>
      </c>
      <c r="U45" s="34" t="str">
        <f aca="false">IF(A45="","",IF(参数表!$B$6="外贸企业",IF(S45="","",S45),IF(Q45="","",Q45)))</f>
        <v/>
      </c>
      <c r="V45" s="34" t="str">
        <f aca="false">IF(OR(U45="",NOT(ISNUMBER(T45))),"",ROUND(U45*T45,2))</f>
        <v/>
      </c>
      <c r="W45" s="43"/>
      <c r="X45" s="48"/>
      <c r="Y45" s="45"/>
      <c r="Z45" s="41"/>
      <c r="AA45" s="32" t="str">
        <f aca="false">IF(OR(L45="",Y45=""),"",Y45-L45)</f>
        <v/>
      </c>
      <c r="AB45" s="43"/>
      <c r="AC45" s="43"/>
    </row>
    <row r="46" customFormat="false" ht="21.75" hidden="false" customHeight="true" outlineLevel="0" collapsed="false">
      <c r="A46" s="29" t="str">
        <f aca="false">IF(OR(B46="",C46=""),"",B46&amp;"-"&amp;C46)</f>
        <v/>
      </c>
      <c r="B46" s="48"/>
      <c r="C46" s="40"/>
      <c r="D46" s="41"/>
      <c r="E46" s="42"/>
      <c r="F46" s="48"/>
      <c r="G46" s="43"/>
      <c r="H46" s="43"/>
      <c r="I46" s="44"/>
      <c r="J46" s="36" t="str">
        <f aca="false">IF(I46="","",IFERROR(INDEX(参数表!$D$13:$D$212,MATCH(I46,参数表!$A$13:$A$212,0)),"SKU未建档"))</f>
        <v/>
      </c>
      <c r="K46" s="36" t="str">
        <f aca="false">IF(I46="","",IFERROR(INDEX(参数表!$F$13:$F$212,MATCH(I46,参数表!$A$13:$A$212,0)),"SKU未建档"))</f>
        <v/>
      </c>
      <c r="L46" s="45"/>
      <c r="M46" s="35" t="str">
        <f aca="false">IF(I46="","",IFERROR(INDEX(参数表!$G$13:$G$212,MATCH(I46,参数表!$A$13:$A$212,0)),"SKU未建档"))</f>
        <v/>
      </c>
      <c r="N46" s="40"/>
      <c r="O46" s="46"/>
      <c r="P46" s="47"/>
      <c r="Q46" s="34" t="str">
        <f aca="false">IF(OR(O46="",P46=""),"",ROUND(O46*P46,2))</f>
        <v/>
      </c>
      <c r="R46" s="48"/>
      <c r="S46" s="46"/>
      <c r="T46" s="33" t="str">
        <f aca="false">IF(I46="","",IFERROR(INDEX(参数表!$H$13:$H$212,MATCH(I46,参数表!$A$13:$A$212,0)),"SKU未建档"))</f>
        <v/>
      </c>
      <c r="U46" s="34" t="str">
        <f aca="false">IF(A46="","",IF(参数表!$B$6="外贸企业",IF(S46="","",S46),IF(Q46="","",Q46)))</f>
        <v/>
      </c>
      <c r="V46" s="34" t="str">
        <f aca="false">IF(OR(U46="",NOT(ISNUMBER(T46))),"",ROUND(U46*T46,2))</f>
        <v/>
      </c>
      <c r="W46" s="43"/>
      <c r="X46" s="48"/>
      <c r="Y46" s="45"/>
      <c r="Z46" s="41"/>
      <c r="AA46" s="32" t="str">
        <f aca="false">IF(OR(L46="",Y46=""),"",Y46-L46)</f>
        <v/>
      </c>
      <c r="AB46" s="43"/>
      <c r="AC46" s="43"/>
    </row>
    <row r="47" customFormat="false" ht="21.75" hidden="false" customHeight="true" outlineLevel="0" collapsed="false">
      <c r="A47" s="29" t="str">
        <f aca="false">IF(OR(B47="",C47=""),"",B47&amp;"-"&amp;C47)</f>
        <v/>
      </c>
      <c r="B47" s="48"/>
      <c r="C47" s="40"/>
      <c r="D47" s="41"/>
      <c r="E47" s="42"/>
      <c r="F47" s="48"/>
      <c r="G47" s="43"/>
      <c r="H47" s="43"/>
      <c r="I47" s="44"/>
      <c r="J47" s="36" t="str">
        <f aca="false">IF(I47="","",IFERROR(INDEX(参数表!$D$13:$D$212,MATCH(I47,参数表!$A$13:$A$212,0)),"SKU未建档"))</f>
        <v/>
      </c>
      <c r="K47" s="36" t="str">
        <f aca="false">IF(I47="","",IFERROR(INDEX(参数表!$F$13:$F$212,MATCH(I47,参数表!$A$13:$A$212,0)),"SKU未建档"))</f>
        <v/>
      </c>
      <c r="L47" s="45"/>
      <c r="M47" s="35" t="str">
        <f aca="false">IF(I47="","",IFERROR(INDEX(参数表!$G$13:$G$212,MATCH(I47,参数表!$A$13:$A$212,0)),"SKU未建档"))</f>
        <v/>
      </c>
      <c r="N47" s="40"/>
      <c r="O47" s="46"/>
      <c r="P47" s="47"/>
      <c r="Q47" s="34" t="str">
        <f aca="false">IF(OR(O47="",P47=""),"",ROUND(O47*P47,2))</f>
        <v/>
      </c>
      <c r="R47" s="48"/>
      <c r="S47" s="46"/>
      <c r="T47" s="33" t="str">
        <f aca="false">IF(I47="","",IFERROR(INDEX(参数表!$H$13:$H$212,MATCH(I47,参数表!$A$13:$A$212,0)),"SKU未建档"))</f>
        <v/>
      </c>
      <c r="U47" s="34" t="str">
        <f aca="false">IF(A47="","",IF(参数表!$B$6="外贸企业",IF(S47="","",S47),IF(Q47="","",Q47)))</f>
        <v/>
      </c>
      <c r="V47" s="34" t="str">
        <f aca="false">IF(OR(U47="",NOT(ISNUMBER(T47))),"",ROUND(U47*T47,2))</f>
        <v/>
      </c>
      <c r="W47" s="43"/>
      <c r="X47" s="48"/>
      <c r="Y47" s="45"/>
      <c r="Z47" s="41"/>
      <c r="AA47" s="32" t="str">
        <f aca="false">IF(OR(L47="",Y47=""),"",Y47-L47)</f>
        <v/>
      </c>
      <c r="AB47" s="43"/>
      <c r="AC47" s="43"/>
    </row>
    <row r="48" customFormat="false" ht="21.75" hidden="false" customHeight="true" outlineLevel="0" collapsed="false">
      <c r="A48" s="29" t="str">
        <f aca="false">IF(OR(B48="",C48=""),"",B48&amp;"-"&amp;C48)</f>
        <v/>
      </c>
      <c r="B48" s="48"/>
      <c r="C48" s="40"/>
      <c r="D48" s="41"/>
      <c r="E48" s="42"/>
      <c r="F48" s="48"/>
      <c r="G48" s="43"/>
      <c r="H48" s="43"/>
      <c r="I48" s="44"/>
      <c r="J48" s="36" t="str">
        <f aca="false">IF(I48="","",IFERROR(INDEX(参数表!$D$13:$D$212,MATCH(I48,参数表!$A$13:$A$212,0)),"SKU未建档"))</f>
        <v/>
      </c>
      <c r="K48" s="36" t="str">
        <f aca="false">IF(I48="","",IFERROR(INDEX(参数表!$F$13:$F$212,MATCH(I48,参数表!$A$13:$A$212,0)),"SKU未建档"))</f>
        <v/>
      </c>
      <c r="L48" s="45"/>
      <c r="M48" s="35" t="str">
        <f aca="false">IF(I48="","",IFERROR(INDEX(参数表!$G$13:$G$212,MATCH(I48,参数表!$A$13:$A$212,0)),"SKU未建档"))</f>
        <v/>
      </c>
      <c r="N48" s="40"/>
      <c r="O48" s="46"/>
      <c r="P48" s="47"/>
      <c r="Q48" s="34" t="str">
        <f aca="false">IF(OR(O48="",P48=""),"",ROUND(O48*P48,2))</f>
        <v/>
      </c>
      <c r="R48" s="48"/>
      <c r="S48" s="46"/>
      <c r="T48" s="33" t="str">
        <f aca="false">IF(I48="","",IFERROR(INDEX(参数表!$H$13:$H$212,MATCH(I48,参数表!$A$13:$A$212,0)),"SKU未建档"))</f>
        <v/>
      </c>
      <c r="U48" s="34" t="str">
        <f aca="false">IF(A48="","",IF(参数表!$B$6="外贸企业",IF(S48="","",S48),IF(Q48="","",Q48)))</f>
        <v/>
      </c>
      <c r="V48" s="34" t="str">
        <f aca="false">IF(OR(U48="",NOT(ISNUMBER(T48))),"",ROUND(U48*T48,2))</f>
        <v/>
      </c>
      <c r="W48" s="43"/>
      <c r="X48" s="48"/>
      <c r="Y48" s="45"/>
      <c r="Z48" s="41"/>
      <c r="AA48" s="32" t="str">
        <f aca="false">IF(OR(L48="",Y48=""),"",Y48-L48)</f>
        <v/>
      </c>
      <c r="AB48" s="43"/>
      <c r="AC48" s="43"/>
    </row>
    <row r="49" customFormat="false" ht="21.75" hidden="false" customHeight="true" outlineLevel="0" collapsed="false">
      <c r="A49" s="29" t="str">
        <f aca="false">IF(OR(B49="",C49=""),"",B49&amp;"-"&amp;C49)</f>
        <v/>
      </c>
      <c r="B49" s="48"/>
      <c r="C49" s="40"/>
      <c r="D49" s="41"/>
      <c r="E49" s="42"/>
      <c r="F49" s="48"/>
      <c r="G49" s="43"/>
      <c r="H49" s="43"/>
      <c r="I49" s="44"/>
      <c r="J49" s="36" t="str">
        <f aca="false">IF(I49="","",IFERROR(INDEX(参数表!$D$13:$D$212,MATCH(I49,参数表!$A$13:$A$212,0)),"SKU未建档"))</f>
        <v/>
      </c>
      <c r="K49" s="36" t="str">
        <f aca="false">IF(I49="","",IFERROR(INDEX(参数表!$F$13:$F$212,MATCH(I49,参数表!$A$13:$A$212,0)),"SKU未建档"))</f>
        <v/>
      </c>
      <c r="L49" s="45"/>
      <c r="M49" s="35" t="str">
        <f aca="false">IF(I49="","",IFERROR(INDEX(参数表!$G$13:$G$212,MATCH(I49,参数表!$A$13:$A$212,0)),"SKU未建档"))</f>
        <v/>
      </c>
      <c r="N49" s="40"/>
      <c r="O49" s="46"/>
      <c r="P49" s="47"/>
      <c r="Q49" s="34" t="str">
        <f aca="false">IF(OR(O49="",P49=""),"",ROUND(O49*P49,2))</f>
        <v/>
      </c>
      <c r="R49" s="48"/>
      <c r="S49" s="46"/>
      <c r="T49" s="33" t="str">
        <f aca="false">IF(I49="","",IFERROR(INDEX(参数表!$H$13:$H$212,MATCH(I49,参数表!$A$13:$A$212,0)),"SKU未建档"))</f>
        <v/>
      </c>
      <c r="U49" s="34" t="str">
        <f aca="false">IF(A49="","",IF(参数表!$B$6="外贸企业",IF(S49="","",S49),IF(Q49="","",Q49)))</f>
        <v/>
      </c>
      <c r="V49" s="34" t="str">
        <f aca="false">IF(OR(U49="",NOT(ISNUMBER(T49))),"",ROUND(U49*T49,2))</f>
        <v/>
      </c>
      <c r="W49" s="43"/>
      <c r="X49" s="48"/>
      <c r="Y49" s="45"/>
      <c r="Z49" s="41"/>
      <c r="AA49" s="32" t="str">
        <f aca="false">IF(OR(L49="",Y49=""),"",Y49-L49)</f>
        <v/>
      </c>
      <c r="AB49" s="43"/>
      <c r="AC49" s="43"/>
    </row>
    <row r="50" customFormat="false" ht="21.75" hidden="false" customHeight="true" outlineLevel="0" collapsed="false">
      <c r="A50" s="29" t="str">
        <f aca="false">IF(OR(B50="",C50=""),"",B50&amp;"-"&amp;C50)</f>
        <v/>
      </c>
      <c r="B50" s="48"/>
      <c r="C50" s="40"/>
      <c r="D50" s="41"/>
      <c r="E50" s="42"/>
      <c r="F50" s="48"/>
      <c r="G50" s="43"/>
      <c r="H50" s="43"/>
      <c r="I50" s="44"/>
      <c r="J50" s="36" t="str">
        <f aca="false">IF(I50="","",IFERROR(INDEX(参数表!$D$13:$D$212,MATCH(I50,参数表!$A$13:$A$212,0)),"SKU未建档"))</f>
        <v/>
      </c>
      <c r="K50" s="36" t="str">
        <f aca="false">IF(I50="","",IFERROR(INDEX(参数表!$F$13:$F$212,MATCH(I50,参数表!$A$13:$A$212,0)),"SKU未建档"))</f>
        <v/>
      </c>
      <c r="L50" s="45"/>
      <c r="M50" s="35" t="str">
        <f aca="false">IF(I50="","",IFERROR(INDEX(参数表!$G$13:$G$212,MATCH(I50,参数表!$A$13:$A$212,0)),"SKU未建档"))</f>
        <v/>
      </c>
      <c r="N50" s="40"/>
      <c r="O50" s="46"/>
      <c r="P50" s="47"/>
      <c r="Q50" s="34" t="str">
        <f aca="false">IF(OR(O50="",P50=""),"",ROUND(O50*P50,2))</f>
        <v/>
      </c>
      <c r="R50" s="48"/>
      <c r="S50" s="46"/>
      <c r="T50" s="33" t="str">
        <f aca="false">IF(I50="","",IFERROR(INDEX(参数表!$H$13:$H$212,MATCH(I50,参数表!$A$13:$A$212,0)),"SKU未建档"))</f>
        <v/>
      </c>
      <c r="U50" s="34" t="str">
        <f aca="false">IF(A50="","",IF(参数表!$B$6="外贸企业",IF(S50="","",S50),IF(Q50="","",Q50)))</f>
        <v/>
      </c>
      <c r="V50" s="34" t="str">
        <f aca="false">IF(OR(U50="",NOT(ISNUMBER(T50))),"",ROUND(U50*T50,2))</f>
        <v/>
      </c>
      <c r="W50" s="43"/>
      <c r="X50" s="48"/>
      <c r="Y50" s="45"/>
      <c r="Z50" s="41"/>
      <c r="AA50" s="32" t="str">
        <f aca="false">IF(OR(L50="",Y50=""),"",Y50-L50)</f>
        <v/>
      </c>
      <c r="AB50" s="43"/>
      <c r="AC50" s="43"/>
    </row>
    <row r="51" customFormat="false" ht="21.75" hidden="false" customHeight="true" outlineLevel="0" collapsed="false">
      <c r="A51" s="29" t="str">
        <f aca="false">IF(OR(B51="",C51=""),"",B51&amp;"-"&amp;C51)</f>
        <v/>
      </c>
      <c r="B51" s="48"/>
      <c r="C51" s="40"/>
      <c r="D51" s="41"/>
      <c r="E51" s="42"/>
      <c r="F51" s="48"/>
      <c r="G51" s="43"/>
      <c r="H51" s="43"/>
      <c r="I51" s="44"/>
      <c r="J51" s="36" t="str">
        <f aca="false">IF(I51="","",IFERROR(INDEX(参数表!$D$13:$D$212,MATCH(I51,参数表!$A$13:$A$212,0)),"SKU未建档"))</f>
        <v/>
      </c>
      <c r="K51" s="36" t="str">
        <f aca="false">IF(I51="","",IFERROR(INDEX(参数表!$F$13:$F$212,MATCH(I51,参数表!$A$13:$A$212,0)),"SKU未建档"))</f>
        <v/>
      </c>
      <c r="L51" s="45"/>
      <c r="M51" s="35" t="str">
        <f aca="false">IF(I51="","",IFERROR(INDEX(参数表!$G$13:$G$212,MATCH(I51,参数表!$A$13:$A$212,0)),"SKU未建档"))</f>
        <v/>
      </c>
      <c r="N51" s="40"/>
      <c r="O51" s="46"/>
      <c r="P51" s="47"/>
      <c r="Q51" s="34" t="str">
        <f aca="false">IF(OR(O51="",P51=""),"",ROUND(O51*P51,2))</f>
        <v/>
      </c>
      <c r="R51" s="48"/>
      <c r="S51" s="46"/>
      <c r="T51" s="33" t="str">
        <f aca="false">IF(I51="","",IFERROR(INDEX(参数表!$H$13:$H$212,MATCH(I51,参数表!$A$13:$A$212,0)),"SKU未建档"))</f>
        <v/>
      </c>
      <c r="U51" s="34" t="str">
        <f aca="false">IF(A51="","",IF(参数表!$B$6="外贸企业",IF(S51="","",S51),IF(Q51="","",Q51)))</f>
        <v/>
      </c>
      <c r="V51" s="34" t="str">
        <f aca="false">IF(OR(U51="",NOT(ISNUMBER(T51))),"",ROUND(U51*T51,2))</f>
        <v/>
      </c>
      <c r="W51" s="43"/>
      <c r="X51" s="48"/>
      <c r="Y51" s="45"/>
      <c r="Z51" s="41"/>
      <c r="AA51" s="32" t="str">
        <f aca="false">IF(OR(L51="",Y51=""),"",Y51-L51)</f>
        <v/>
      </c>
      <c r="AB51" s="43"/>
      <c r="AC51" s="43"/>
    </row>
    <row r="52" customFormat="false" ht="21.75" hidden="false" customHeight="true" outlineLevel="0" collapsed="false">
      <c r="A52" s="29" t="str">
        <f aca="false">IF(OR(B52="",C52=""),"",B52&amp;"-"&amp;C52)</f>
        <v/>
      </c>
      <c r="B52" s="48"/>
      <c r="C52" s="40"/>
      <c r="D52" s="41"/>
      <c r="E52" s="42"/>
      <c r="F52" s="48"/>
      <c r="G52" s="43"/>
      <c r="H52" s="43"/>
      <c r="I52" s="44"/>
      <c r="J52" s="36" t="str">
        <f aca="false">IF(I52="","",IFERROR(INDEX(参数表!$D$13:$D$212,MATCH(I52,参数表!$A$13:$A$212,0)),"SKU未建档"))</f>
        <v/>
      </c>
      <c r="K52" s="36" t="str">
        <f aca="false">IF(I52="","",IFERROR(INDEX(参数表!$F$13:$F$212,MATCH(I52,参数表!$A$13:$A$212,0)),"SKU未建档"))</f>
        <v/>
      </c>
      <c r="L52" s="45"/>
      <c r="M52" s="35" t="str">
        <f aca="false">IF(I52="","",IFERROR(INDEX(参数表!$G$13:$G$212,MATCH(I52,参数表!$A$13:$A$212,0)),"SKU未建档"))</f>
        <v/>
      </c>
      <c r="N52" s="40"/>
      <c r="O52" s="46"/>
      <c r="P52" s="47"/>
      <c r="Q52" s="34" t="str">
        <f aca="false">IF(OR(O52="",P52=""),"",ROUND(O52*P52,2))</f>
        <v/>
      </c>
      <c r="R52" s="48"/>
      <c r="S52" s="46"/>
      <c r="T52" s="33" t="str">
        <f aca="false">IF(I52="","",IFERROR(INDEX(参数表!$H$13:$H$212,MATCH(I52,参数表!$A$13:$A$212,0)),"SKU未建档"))</f>
        <v/>
      </c>
      <c r="U52" s="34" t="str">
        <f aca="false">IF(A52="","",IF(参数表!$B$6="外贸企业",IF(S52="","",S52),IF(Q52="","",Q52)))</f>
        <v/>
      </c>
      <c r="V52" s="34" t="str">
        <f aca="false">IF(OR(U52="",NOT(ISNUMBER(T52))),"",ROUND(U52*T52,2))</f>
        <v/>
      </c>
      <c r="W52" s="43"/>
      <c r="X52" s="48"/>
      <c r="Y52" s="45"/>
      <c r="Z52" s="41"/>
      <c r="AA52" s="32" t="str">
        <f aca="false">IF(OR(L52="",Y52=""),"",Y52-L52)</f>
        <v/>
      </c>
      <c r="AB52" s="43"/>
      <c r="AC52" s="43"/>
    </row>
    <row r="53" customFormat="false" ht="21.75" hidden="false" customHeight="true" outlineLevel="0" collapsed="false">
      <c r="A53" s="29" t="str">
        <f aca="false">IF(OR(B53="",C53=""),"",B53&amp;"-"&amp;C53)</f>
        <v/>
      </c>
      <c r="B53" s="48"/>
      <c r="C53" s="40"/>
      <c r="D53" s="41"/>
      <c r="E53" s="42"/>
      <c r="F53" s="48"/>
      <c r="G53" s="43"/>
      <c r="H53" s="43"/>
      <c r="I53" s="44"/>
      <c r="J53" s="36" t="str">
        <f aca="false">IF(I53="","",IFERROR(INDEX(参数表!$D$13:$D$212,MATCH(I53,参数表!$A$13:$A$212,0)),"SKU未建档"))</f>
        <v/>
      </c>
      <c r="K53" s="36" t="str">
        <f aca="false">IF(I53="","",IFERROR(INDEX(参数表!$F$13:$F$212,MATCH(I53,参数表!$A$13:$A$212,0)),"SKU未建档"))</f>
        <v/>
      </c>
      <c r="L53" s="45"/>
      <c r="M53" s="35" t="str">
        <f aca="false">IF(I53="","",IFERROR(INDEX(参数表!$G$13:$G$212,MATCH(I53,参数表!$A$13:$A$212,0)),"SKU未建档"))</f>
        <v/>
      </c>
      <c r="N53" s="40"/>
      <c r="O53" s="46"/>
      <c r="P53" s="47"/>
      <c r="Q53" s="34" t="str">
        <f aca="false">IF(OR(O53="",P53=""),"",ROUND(O53*P53,2))</f>
        <v/>
      </c>
      <c r="R53" s="48"/>
      <c r="S53" s="46"/>
      <c r="T53" s="33" t="str">
        <f aca="false">IF(I53="","",IFERROR(INDEX(参数表!$H$13:$H$212,MATCH(I53,参数表!$A$13:$A$212,0)),"SKU未建档"))</f>
        <v/>
      </c>
      <c r="U53" s="34" t="str">
        <f aca="false">IF(A53="","",IF(参数表!$B$6="外贸企业",IF(S53="","",S53),IF(Q53="","",Q53)))</f>
        <v/>
      </c>
      <c r="V53" s="34" t="str">
        <f aca="false">IF(OR(U53="",NOT(ISNUMBER(T53))),"",ROUND(U53*T53,2))</f>
        <v/>
      </c>
      <c r="W53" s="43"/>
      <c r="X53" s="48"/>
      <c r="Y53" s="45"/>
      <c r="Z53" s="41"/>
      <c r="AA53" s="32" t="str">
        <f aca="false">IF(OR(L53="",Y53=""),"",Y53-L53)</f>
        <v/>
      </c>
      <c r="AB53" s="43"/>
      <c r="AC53" s="43"/>
    </row>
    <row r="54" customFormat="false" ht="21.75" hidden="false" customHeight="true" outlineLevel="0" collapsed="false">
      <c r="A54" s="29" t="str">
        <f aca="false">IF(OR(B54="",C54=""),"",B54&amp;"-"&amp;C54)</f>
        <v/>
      </c>
      <c r="B54" s="48"/>
      <c r="C54" s="40"/>
      <c r="D54" s="41"/>
      <c r="E54" s="42"/>
      <c r="F54" s="48"/>
      <c r="G54" s="43"/>
      <c r="H54" s="43"/>
      <c r="I54" s="44"/>
      <c r="J54" s="36" t="str">
        <f aca="false">IF(I54="","",IFERROR(INDEX(参数表!$D$13:$D$212,MATCH(I54,参数表!$A$13:$A$212,0)),"SKU未建档"))</f>
        <v/>
      </c>
      <c r="K54" s="36" t="str">
        <f aca="false">IF(I54="","",IFERROR(INDEX(参数表!$F$13:$F$212,MATCH(I54,参数表!$A$13:$A$212,0)),"SKU未建档"))</f>
        <v/>
      </c>
      <c r="L54" s="45"/>
      <c r="M54" s="35" t="str">
        <f aca="false">IF(I54="","",IFERROR(INDEX(参数表!$G$13:$G$212,MATCH(I54,参数表!$A$13:$A$212,0)),"SKU未建档"))</f>
        <v/>
      </c>
      <c r="N54" s="40"/>
      <c r="O54" s="46"/>
      <c r="P54" s="47"/>
      <c r="Q54" s="34" t="str">
        <f aca="false">IF(OR(O54="",P54=""),"",ROUND(O54*P54,2))</f>
        <v/>
      </c>
      <c r="R54" s="48"/>
      <c r="S54" s="46"/>
      <c r="T54" s="33" t="str">
        <f aca="false">IF(I54="","",IFERROR(INDEX(参数表!$H$13:$H$212,MATCH(I54,参数表!$A$13:$A$212,0)),"SKU未建档"))</f>
        <v/>
      </c>
      <c r="U54" s="34" t="str">
        <f aca="false">IF(A54="","",IF(参数表!$B$6="外贸企业",IF(S54="","",S54),IF(Q54="","",Q54)))</f>
        <v/>
      </c>
      <c r="V54" s="34" t="str">
        <f aca="false">IF(OR(U54="",NOT(ISNUMBER(T54))),"",ROUND(U54*T54,2))</f>
        <v/>
      </c>
      <c r="W54" s="43"/>
      <c r="X54" s="48"/>
      <c r="Y54" s="45"/>
      <c r="Z54" s="41"/>
      <c r="AA54" s="32" t="str">
        <f aca="false">IF(OR(L54="",Y54=""),"",Y54-L54)</f>
        <v/>
      </c>
      <c r="AB54" s="43"/>
      <c r="AC54" s="43"/>
    </row>
    <row r="55" customFormat="false" ht="21.75" hidden="false" customHeight="true" outlineLevel="0" collapsed="false">
      <c r="A55" s="29" t="str">
        <f aca="false">IF(OR(B55="",C55=""),"",B55&amp;"-"&amp;C55)</f>
        <v/>
      </c>
      <c r="B55" s="48"/>
      <c r="C55" s="40"/>
      <c r="D55" s="41"/>
      <c r="E55" s="42"/>
      <c r="F55" s="48"/>
      <c r="G55" s="43"/>
      <c r="H55" s="43"/>
      <c r="I55" s="44"/>
      <c r="J55" s="36" t="str">
        <f aca="false">IF(I55="","",IFERROR(INDEX(参数表!$D$13:$D$212,MATCH(I55,参数表!$A$13:$A$212,0)),"SKU未建档"))</f>
        <v/>
      </c>
      <c r="K55" s="36" t="str">
        <f aca="false">IF(I55="","",IFERROR(INDEX(参数表!$F$13:$F$212,MATCH(I55,参数表!$A$13:$A$212,0)),"SKU未建档"))</f>
        <v/>
      </c>
      <c r="L55" s="45"/>
      <c r="M55" s="35" t="str">
        <f aca="false">IF(I55="","",IFERROR(INDEX(参数表!$G$13:$G$212,MATCH(I55,参数表!$A$13:$A$212,0)),"SKU未建档"))</f>
        <v/>
      </c>
      <c r="N55" s="40"/>
      <c r="O55" s="46"/>
      <c r="P55" s="47"/>
      <c r="Q55" s="34" t="str">
        <f aca="false">IF(OR(O55="",P55=""),"",ROUND(O55*P55,2))</f>
        <v/>
      </c>
      <c r="R55" s="48"/>
      <c r="S55" s="46"/>
      <c r="T55" s="33" t="str">
        <f aca="false">IF(I55="","",IFERROR(INDEX(参数表!$H$13:$H$212,MATCH(I55,参数表!$A$13:$A$212,0)),"SKU未建档"))</f>
        <v/>
      </c>
      <c r="U55" s="34" t="str">
        <f aca="false">IF(A55="","",IF(参数表!$B$6="外贸企业",IF(S55="","",S55),IF(Q55="","",Q55)))</f>
        <v/>
      </c>
      <c r="V55" s="34" t="str">
        <f aca="false">IF(OR(U55="",NOT(ISNUMBER(T55))),"",ROUND(U55*T55,2))</f>
        <v/>
      </c>
      <c r="W55" s="43"/>
      <c r="X55" s="48"/>
      <c r="Y55" s="45"/>
      <c r="Z55" s="41"/>
      <c r="AA55" s="32" t="str">
        <f aca="false">IF(OR(L55="",Y55=""),"",Y55-L55)</f>
        <v/>
      </c>
      <c r="AB55" s="43"/>
      <c r="AC55" s="43"/>
    </row>
    <row r="56" customFormat="false" ht="21.75" hidden="false" customHeight="true" outlineLevel="0" collapsed="false">
      <c r="A56" s="29" t="str">
        <f aca="false">IF(OR(B56="",C56=""),"",B56&amp;"-"&amp;C56)</f>
        <v/>
      </c>
      <c r="B56" s="48"/>
      <c r="C56" s="40"/>
      <c r="D56" s="41"/>
      <c r="E56" s="42"/>
      <c r="F56" s="48"/>
      <c r="G56" s="43"/>
      <c r="H56" s="43"/>
      <c r="I56" s="44"/>
      <c r="J56" s="36" t="str">
        <f aca="false">IF(I56="","",IFERROR(INDEX(参数表!$D$13:$D$212,MATCH(I56,参数表!$A$13:$A$212,0)),"SKU未建档"))</f>
        <v/>
      </c>
      <c r="K56" s="36" t="str">
        <f aca="false">IF(I56="","",IFERROR(INDEX(参数表!$F$13:$F$212,MATCH(I56,参数表!$A$13:$A$212,0)),"SKU未建档"))</f>
        <v/>
      </c>
      <c r="L56" s="45"/>
      <c r="M56" s="35" t="str">
        <f aca="false">IF(I56="","",IFERROR(INDEX(参数表!$G$13:$G$212,MATCH(I56,参数表!$A$13:$A$212,0)),"SKU未建档"))</f>
        <v/>
      </c>
      <c r="N56" s="40"/>
      <c r="O56" s="46"/>
      <c r="P56" s="47"/>
      <c r="Q56" s="34" t="str">
        <f aca="false">IF(OR(O56="",P56=""),"",ROUND(O56*P56,2))</f>
        <v/>
      </c>
      <c r="R56" s="48"/>
      <c r="S56" s="46"/>
      <c r="T56" s="33" t="str">
        <f aca="false">IF(I56="","",IFERROR(INDEX(参数表!$H$13:$H$212,MATCH(I56,参数表!$A$13:$A$212,0)),"SKU未建档"))</f>
        <v/>
      </c>
      <c r="U56" s="34" t="str">
        <f aca="false">IF(A56="","",IF(参数表!$B$6="外贸企业",IF(S56="","",S56),IF(Q56="","",Q56)))</f>
        <v/>
      </c>
      <c r="V56" s="34" t="str">
        <f aca="false">IF(OR(U56="",NOT(ISNUMBER(T56))),"",ROUND(U56*T56,2))</f>
        <v/>
      </c>
      <c r="W56" s="43"/>
      <c r="X56" s="48"/>
      <c r="Y56" s="45"/>
      <c r="Z56" s="41"/>
      <c r="AA56" s="32" t="str">
        <f aca="false">IF(OR(L56="",Y56=""),"",Y56-L56)</f>
        <v/>
      </c>
      <c r="AB56" s="43"/>
      <c r="AC56" s="43"/>
    </row>
    <row r="57" customFormat="false" ht="21.75" hidden="false" customHeight="true" outlineLevel="0" collapsed="false">
      <c r="A57" s="29" t="str">
        <f aca="false">IF(OR(B57="",C57=""),"",B57&amp;"-"&amp;C57)</f>
        <v/>
      </c>
      <c r="B57" s="48"/>
      <c r="C57" s="40"/>
      <c r="D57" s="41"/>
      <c r="E57" s="42"/>
      <c r="F57" s="48"/>
      <c r="G57" s="43"/>
      <c r="H57" s="43"/>
      <c r="I57" s="44"/>
      <c r="J57" s="36" t="str">
        <f aca="false">IF(I57="","",IFERROR(INDEX(参数表!$D$13:$D$212,MATCH(I57,参数表!$A$13:$A$212,0)),"SKU未建档"))</f>
        <v/>
      </c>
      <c r="K57" s="36" t="str">
        <f aca="false">IF(I57="","",IFERROR(INDEX(参数表!$F$13:$F$212,MATCH(I57,参数表!$A$13:$A$212,0)),"SKU未建档"))</f>
        <v/>
      </c>
      <c r="L57" s="45"/>
      <c r="M57" s="35" t="str">
        <f aca="false">IF(I57="","",IFERROR(INDEX(参数表!$G$13:$G$212,MATCH(I57,参数表!$A$13:$A$212,0)),"SKU未建档"))</f>
        <v/>
      </c>
      <c r="N57" s="40"/>
      <c r="O57" s="46"/>
      <c r="P57" s="47"/>
      <c r="Q57" s="34" t="str">
        <f aca="false">IF(OR(O57="",P57=""),"",ROUND(O57*P57,2))</f>
        <v/>
      </c>
      <c r="R57" s="48"/>
      <c r="S57" s="46"/>
      <c r="T57" s="33" t="str">
        <f aca="false">IF(I57="","",IFERROR(INDEX(参数表!$H$13:$H$212,MATCH(I57,参数表!$A$13:$A$212,0)),"SKU未建档"))</f>
        <v/>
      </c>
      <c r="U57" s="34" t="str">
        <f aca="false">IF(A57="","",IF(参数表!$B$6="外贸企业",IF(S57="","",S57),IF(Q57="","",Q57)))</f>
        <v/>
      </c>
      <c r="V57" s="34" t="str">
        <f aca="false">IF(OR(U57="",NOT(ISNUMBER(T57))),"",ROUND(U57*T57,2))</f>
        <v/>
      </c>
      <c r="W57" s="43"/>
      <c r="X57" s="48"/>
      <c r="Y57" s="45"/>
      <c r="Z57" s="41"/>
      <c r="AA57" s="32" t="str">
        <f aca="false">IF(OR(L57="",Y57=""),"",Y57-L57)</f>
        <v/>
      </c>
      <c r="AB57" s="43"/>
      <c r="AC57" s="43"/>
    </row>
    <row r="58" customFormat="false" ht="21.75" hidden="false" customHeight="true" outlineLevel="0" collapsed="false">
      <c r="A58" s="29" t="str">
        <f aca="false">IF(OR(B58="",C58=""),"",B58&amp;"-"&amp;C58)</f>
        <v/>
      </c>
      <c r="B58" s="48"/>
      <c r="C58" s="40"/>
      <c r="D58" s="41"/>
      <c r="E58" s="42"/>
      <c r="F58" s="48"/>
      <c r="G58" s="43"/>
      <c r="H58" s="43"/>
      <c r="I58" s="44"/>
      <c r="J58" s="36" t="str">
        <f aca="false">IF(I58="","",IFERROR(INDEX(参数表!$D$13:$D$212,MATCH(I58,参数表!$A$13:$A$212,0)),"SKU未建档"))</f>
        <v/>
      </c>
      <c r="K58" s="36" t="str">
        <f aca="false">IF(I58="","",IFERROR(INDEX(参数表!$F$13:$F$212,MATCH(I58,参数表!$A$13:$A$212,0)),"SKU未建档"))</f>
        <v/>
      </c>
      <c r="L58" s="45"/>
      <c r="M58" s="35" t="str">
        <f aca="false">IF(I58="","",IFERROR(INDEX(参数表!$G$13:$G$212,MATCH(I58,参数表!$A$13:$A$212,0)),"SKU未建档"))</f>
        <v/>
      </c>
      <c r="N58" s="40"/>
      <c r="O58" s="46"/>
      <c r="P58" s="47"/>
      <c r="Q58" s="34" t="str">
        <f aca="false">IF(OR(O58="",P58=""),"",ROUND(O58*P58,2))</f>
        <v/>
      </c>
      <c r="R58" s="48"/>
      <c r="S58" s="46"/>
      <c r="T58" s="33" t="str">
        <f aca="false">IF(I58="","",IFERROR(INDEX(参数表!$H$13:$H$212,MATCH(I58,参数表!$A$13:$A$212,0)),"SKU未建档"))</f>
        <v/>
      </c>
      <c r="U58" s="34" t="str">
        <f aca="false">IF(A58="","",IF(参数表!$B$6="外贸企业",IF(S58="","",S58),IF(Q58="","",Q58)))</f>
        <v/>
      </c>
      <c r="V58" s="34" t="str">
        <f aca="false">IF(OR(U58="",NOT(ISNUMBER(T58))),"",ROUND(U58*T58,2))</f>
        <v/>
      </c>
      <c r="W58" s="43"/>
      <c r="X58" s="48"/>
      <c r="Y58" s="45"/>
      <c r="Z58" s="41"/>
      <c r="AA58" s="32" t="str">
        <f aca="false">IF(OR(L58="",Y58=""),"",Y58-L58)</f>
        <v/>
      </c>
      <c r="AB58" s="43"/>
      <c r="AC58" s="43"/>
    </row>
    <row r="59" customFormat="false" ht="21.75" hidden="false" customHeight="true" outlineLevel="0" collapsed="false">
      <c r="A59" s="29" t="str">
        <f aca="false">IF(OR(B59="",C59=""),"",B59&amp;"-"&amp;C59)</f>
        <v/>
      </c>
      <c r="B59" s="48"/>
      <c r="C59" s="40"/>
      <c r="D59" s="41"/>
      <c r="E59" s="42"/>
      <c r="F59" s="48"/>
      <c r="G59" s="43"/>
      <c r="H59" s="43"/>
      <c r="I59" s="44"/>
      <c r="J59" s="36" t="str">
        <f aca="false">IF(I59="","",IFERROR(INDEX(参数表!$D$13:$D$212,MATCH(I59,参数表!$A$13:$A$212,0)),"SKU未建档"))</f>
        <v/>
      </c>
      <c r="K59" s="36" t="str">
        <f aca="false">IF(I59="","",IFERROR(INDEX(参数表!$F$13:$F$212,MATCH(I59,参数表!$A$13:$A$212,0)),"SKU未建档"))</f>
        <v/>
      </c>
      <c r="L59" s="45"/>
      <c r="M59" s="35" t="str">
        <f aca="false">IF(I59="","",IFERROR(INDEX(参数表!$G$13:$G$212,MATCH(I59,参数表!$A$13:$A$212,0)),"SKU未建档"))</f>
        <v/>
      </c>
      <c r="N59" s="40"/>
      <c r="O59" s="46"/>
      <c r="P59" s="47"/>
      <c r="Q59" s="34" t="str">
        <f aca="false">IF(OR(O59="",P59=""),"",ROUND(O59*P59,2))</f>
        <v/>
      </c>
      <c r="R59" s="48"/>
      <c r="S59" s="46"/>
      <c r="T59" s="33" t="str">
        <f aca="false">IF(I59="","",IFERROR(INDEX(参数表!$H$13:$H$212,MATCH(I59,参数表!$A$13:$A$212,0)),"SKU未建档"))</f>
        <v/>
      </c>
      <c r="U59" s="34" t="str">
        <f aca="false">IF(A59="","",IF(参数表!$B$6="外贸企业",IF(S59="","",S59),IF(Q59="","",Q59)))</f>
        <v/>
      </c>
      <c r="V59" s="34" t="str">
        <f aca="false">IF(OR(U59="",NOT(ISNUMBER(T59))),"",ROUND(U59*T59,2))</f>
        <v/>
      </c>
      <c r="W59" s="43"/>
      <c r="X59" s="48"/>
      <c r="Y59" s="45"/>
      <c r="Z59" s="41"/>
      <c r="AA59" s="32" t="str">
        <f aca="false">IF(OR(L59="",Y59=""),"",Y59-L59)</f>
        <v/>
      </c>
      <c r="AB59" s="43"/>
      <c r="AC59" s="43"/>
    </row>
    <row r="60" customFormat="false" ht="21.75" hidden="false" customHeight="true" outlineLevel="0" collapsed="false">
      <c r="A60" s="29" t="str">
        <f aca="false">IF(OR(B60="",C60=""),"",B60&amp;"-"&amp;C60)</f>
        <v/>
      </c>
      <c r="B60" s="48"/>
      <c r="C60" s="40"/>
      <c r="D60" s="41"/>
      <c r="E60" s="42"/>
      <c r="F60" s="48"/>
      <c r="G60" s="43"/>
      <c r="H60" s="43"/>
      <c r="I60" s="44"/>
      <c r="J60" s="36" t="str">
        <f aca="false">IF(I60="","",IFERROR(INDEX(参数表!$D$13:$D$212,MATCH(I60,参数表!$A$13:$A$212,0)),"SKU未建档"))</f>
        <v/>
      </c>
      <c r="K60" s="36" t="str">
        <f aca="false">IF(I60="","",IFERROR(INDEX(参数表!$F$13:$F$212,MATCH(I60,参数表!$A$13:$A$212,0)),"SKU未建档"))</f>
        <v/>
      </c>
      <c r="L60" s="45"/>
      <c r="M60" s="35" t="str">
        <f aca="false">IF(I60="","",IFERROR(INDEX(参数表!$G$13:$G$212,MATCH(I60,参数表!$A$13:$A$212,0)),"SKU未建档"))</f>
        <v/>
      </c>
      <c r="N60" s="40"/>
      <c r="O60" s="46"/>
      <c r="P60" s="47"/>
      <c r="Q60" s="34" t="str">
        <f aca="false">IF(OR(O60="",P60=""),"",ROUND(O60*P60,2))</f>
        <v/>
      </c>
      <c r="R60" s="48"/>
      <c r="S60" s="46"/>
      <c r="T60" s="33" t="str">
        <f aca="false">IF(I60="","",IFERROR(INDEX(参数表!$H$13:$H$212,MATCH(I60,参数表!$A$13:$A$212,0)),"SKU未建档"))</f>
        <v/>
      </c>
      <c r="U60" s="34" t="str">
        <f aca="false">IF(A60="","",IF(参数表!$B$6="外贸企业",IF(S60="","",S60),IF(Q60="","",Q60)))</f>
        <v/>
      </c>
      <c r="V60" s="34" t="str">
        <f aca="false">IF(OR(U60="",NOT(ISNUMBER(T60))),"",ROUND(U60*T60,2))</f>
        <v/>
      </c>
      <c r="W60" s="43"/>
      <c r="X60" s="48"/>
      <c r="Y60" s="45"/>
      <c r="Z60" s="41"/>
      <c r="AA60" s="32" t="str">
        <f aca="false">IF(OR(L60="",Y60=""),"",Y60-L60)</f>
        <v/>
      </c>
      <c r="AB60" s="43"/>
      <c r="AC60" s="43"/>
    </row>
    <row r="61" customFormat="false" ht="21.75" hidden="false" customHeight="true" outlineLevel="0" collapsed="false">
      <c r="A61" s="29" t="str">
        <f aca="false">IF(OR(B61="",C61=""),"",B61&amp;"-"&amp;C61)</f>
        <v/>
      </c>
      <c r="B61" s="48"/>
      <c r="C61" s="40"/>
      <c r="D61" s="41"/>
      <c r="E61" s="42"/>
      <c r="F61" s="48"/>
      <c r="G61" s="43"/>
      <c r="H61" s="43"/>
      <c r="I61" s="44"/>
      <c r="J61" s="36" t="str">
        <f aca="false">IF(I61="","",IFERROR(INDEX(参数表!$D$13:$D$212,MATCH(I61,参数表!$A$13:$A$212,0)),"SKU未建档"))</f>
        <v/>
      </c>
      <c r="K61" s="36" t="str">
        <f aca="false">IF(I61="","",IFERROR(INDEX(参数表!$F$13:$F$212,MATCH(I61,参数表!$A$13:$A$212,0)),"SKU未建档"))</f>
        <v/>
      </c>
      <c r="L61" s="45"/>
      <c r="M61" s="35" t="str">
        <f aca="false">IF(I61="","",IFERROR(INDEX(参数表!$G$13:$G$212,MATCH(I61,参数表!$A$13:$A$212,0)),"SKU未建档"))</f>
        <v/>
      </c>
      <c r="N61" s="40"/>
      <c r="O61" s="46"/>
      <c r="P61" s="47"/>
      <c r="Q61" s="34" t="str">
        <f aca="false">IF(OR(O61="",P61=""),"",ROUND(O61*P61,2))</f>
        <v/>
      </c>
      <c r="R61" s="48"/>
      <c r="S61" s="46"/>
      <c r="T61" s="33" t="str">
        <f aca="false">IF(I61="","",IFERROR(INDEX(参数表!$H$13:$H$212,MATCH(I61,参数表!$A$13:$A$212,0)),"SKU未建档"))</f>
        <v/>
      </c>
      <c r="U61" s="34" t="str">
        <f aca="false">IF(A61="","",IF(参数表!$B$6="外贸企业",IF(S61="","",S61),IF(Q61="","",Q61)))</f>
        <v/>
      </c>
      <c r="V61" s="34" t="str">
        <f aca="false">IF(OR(U61="",NOT(ISNUMBER(T61))),"",ROUND(U61*T61,2))</f>
        <v/>
      </c>
      <c r="W61" s="43"/>
      <c r="X61" s="48"/>
      <c r="Y61" s="45"/>
      <c r="Z61" s="41"/>
      <c r="AA61" s="32" t="str">
        <f aca="false">IF(OR(L61="",Y61=""),"",Y61-L61)</f>
        <v/>
      </c>
      <c r="AB61" s="43"/>
      <c r="AC61" s="43"/>
    </row>
    <row r="62" customFormat="false" ht="21.75" hidden="false" customHeight="true" outlineLevel="0" collapsed="false">
      <c r="A62" s="29" t="str">
        <f aca="false">IF(OR(B62="",C62=""),"",B62&amp;"-"&amp;C62)</f>
        <v/>
      </c>
      <c r="B62" s="48"/>
      <c r="C62" s="40"/>
      <c r="D62" s="41"/>
      <c r="E62" s="42"/>
      <c r="F62" s="48"/>
      <c r="G62" s="43"/>
      <c r="H62" s="43"/>
      <c r="I62" s="44"/>
      <c r="J62" s="36" t="str">
        <f aca="false">IF(I62="","",IFERROR(INDEX(参数表!$D$13:$D$212,MATCH(I62,参数表!$A$13:$A$212,0)),"SKU未建档"))</f>
        <v/>
      </c>
      <c r="K62" s="36" t="str">
        <f aca="false">IF(I62="","",IFERROR(INDEX(参数表!$F$13:$F$212,MATCH(I62,参数表!$A$13:$A$212,0)),"SKU未建档"))</f>
        <v/>
      </c>
      <c r="L62" s="45"/>
      <c r="M62" s="35" t="str">
        <f aca="false">IF(I62="","",IFERROR(INDEX(参数表!$G$13:$G$212,MATCH(I62,参数表!$A$13:$A$212,0)),"SKU未建档"))</f>
        <v/>
      </c>
      <c r="N62" s="40"/>
      <c r="O62" s="46"/>
      <c r="P62" s="47"/>
      <c r="Q62" s="34" t="str">
        <f aca="false">IF(OR(O62="",P62=""),"",ROUND(O62*P62,2))</f>
        <v/>
      </c>
      <c r="R62" s="48"/>
      <c r="S62" s="46"/>
      <c r="T62" s="33" t="str">
        <f aca="false">IF(I62="","",IFERROR(INDEX(参数表!$H$13:$H$212,MATCH(I62,参数表!$A$13:$A$212,0)),"SKU未建档"))</f>
        <v/>
      </c>
      <c r="U62" s="34" t="str">
        <f aca="false">IF(A62="","",IF(参数表!$B$6="外贸企业",IF(S62="","",S62),IF(Q62="","",Q62)))</f>
        <v/>
      </c>
      <c r="V62" s="34" t="str">
        <f aca="false">IF(OR(U62="",NOT(ISNUMBER(T62))),"",ROUND(U62*T62,2))</f>
        <v/>
      </c>
      <c r="W62" s="43"/>
      <c r="X62" s="48"/>
      <c r="Y62" s="45"/>
      <c r="Z62" s="41"/>
      <c r="AA62" s="32" t="str">
        <f aca="false">IF(OR(L62="",Y62=""),"",Y62-L62)</f>
        <v/>
      </c>
      <c r="AB62" s="43"/>
      <c r="AC62" s="43"/>
    </row>
    <row r="63" customFormat="false" ht="21.75" hidden="false" customHeight="true" outlineLevel="0" collapsed="false">
      <c r="A63" s="29" t="str">
        <f aca="false">IF(OR(B63="",C63=""),"",B63&amp;"-"&amp;C63)</f>
        <v/>
      </c>
      <c r="B63" s="48"/>
      <c r="C63" s="40"/>
      <c r="D63" s="41"/>
      <c r="E63" s="42"/>
      <c r="F63" s="48"/>
      <c r="G63" s="43"/>
      <c r="H63" s="43"/>
      <c r="I63" s="44"/>
      <c r="J63" s="36" t="str">
        <f aca="false">IF(I63="","",IFERROR(INDEX(参数表!$D$13:$D$212,MATCH(I63,参数表!$A$13:$A$212,0)),"SKU未建档"))</f>
        <v/>
      </c>
      <c r="K63" s="36" t="str">
        <f aca="false">IF(I63="","",IFERROR(INDEX(参数表!$F$13:$F$212,MATCH(I63,参数表!$A$13:$A$212,0)),"SKU未建档"))</f>
        <v/>
      </c>
      <c r="L63" s="45"/>
      <c r="M63" s="35" t="str">
        <f aca="false">IF(I63="","",IFERROR(INDEX(参数表!$G$13:$G$212,MATCH(I63,参数表!$A$13:$A$212,0)),"SKU未建档"))</f>
        <v/>
      </c>
      <c r="N63" s="40"/>
      <c r="O63" s="46"/>
      <c r="P63" s="47"/>
      <c r="Q63" s="34" t="str">
        <f aca="false">IF(OR(O63="",P63=""),"",ROUND(O63*P63,2))</f>
        <v/>
      </c>
      <c r="R63" s="48"/>
      <c r="S63" s="46"/>
      <c r="T63" s="33" t="str">
        <f aca="false">IF(I63="","",IFERROR(INDEX(参数表!$H$13:$H$212,MATCH(I63,参数表!$A$13:$A$212,0)),"SKU未建档"))</f>
        <v/>
      </c>
      <c r="U63" s="34" t="str">
        <f aca="false">IF(A63="","",IF(参数表!$B$6="外贸企业",IF(S63="","",S63),IF(Q63="","",Q63)))</f>
        <v/>
      </c>
      <c r="V63" s="34" t="str">
        <f aca="false">IF(OR(U63="",NOT(ISNUMBER(T63))),"",ROUND(U63*T63,2))</f>
        <v/>
      </c>
      <c r="W63" s="43"/>
      <c r="X63" s="48"/>
      <c r="Y63" s="45"/>
      <c r="Z63" s="41"/>
      <c r="AA63" s="32" t="str">
        <f aca="false">IF(OR(L63="",Y63=""),"",Y63-L63)</f>
        <v/>
      </c>
      <c r="AB63" s="43"/>
      <c r="AC63" s="43"/>
    </row>
    <row r="64" customFormat="false" ht="21.75" hidden="false" customHeight="true" outlineLevel="0" collapsed="false">
      <c r="A64" s="29" t="str">
        <f aca="false">IF(OR(B64="",C64=""),"",B64&amp;"-"&amp;C64)</f>
        <v/>
      </c>
      <c r="B64" s="48"/>
      <c r="C64" s="40"/>
      <c r="D64" s="41"/>
      <c r="E64" s="42"/>
      <c r="F64" s="48"/>
      <c r="G64" s="43"/>
      <c r="H64" s="43"/>
      <c r="I64" s="44"/>
      <c r="J64" s="36" t="str">
        <f aca="false">IF(I64="","",IFERROR(INDEX(参数表!$D$13:$D$212,MATCH(I64,参数表!$A$13:$A$212,0)),"SKU未建档"))</f>
        <v/>
      </c>
      <c r="K64" s="36" t="str">
        <f aca="false">IF(I64="","",IFERROR(INDEX(参数表!$F$13:$F$212,MATCH(I64,参数表!$A$13:$A$212,0)),"SKU未建档"))</f>
        <v/>
      </c>
      <c r="L64" s="45"/>
      <c r="M64" s="35" t="str">
        <f aca="false">IF(I64="","",IFERROR(INDEX(参数表!$G$13:$G$212,MATCH(I64,参数表!$A$13:$A$212,0)),"SKU未建档"))</f>
        <v/>
      </c>
      <c r="N64" s="40"/>
      <c r="O64" s="46"/>
      <c r="P64" s="47"/>
      <c r="Q64" s="34" t="str">
        <f aca="false">IF(OR(O64="",P64=""),"",ROUND(O64*P64,2))</f>
        <v/>
      </c>
      <c r="R64" s="48"/>
      <c r="S64" s="46"/>
      <c r="T64" s="33" t="str">
        <f aca="false">IF(I64="","",IFERROR(INDEX(参数表!$H$13:$H$212,MATCH(I64,参数表!$A$13:$A$212,0)),"SKU未建档"))</f>
        <v/>
      </c>
      <c r="U64" s="34" t="str">
        <f aca="false">IF(A64="","",IF(参数表!$B$6="外贸企业",IF(S64="","",S64),IF(Q64="","",Q64)))</f>
        <v/>
      </c>
      <c r="V64" s="34" t="str">
        <f aca="false">IF(OR(U64="",NOT(ISNUMBER(T64))),"",ROUND(U64*T64,2))</f>
        <v/>
      </c>
      <c r="W64" s="43"/>
      <c r="X64" s="48"/>
      <c r="Y64" s="45"/>
      <c r="Z64" s="41"/>
      <c r="AA64" s="32" t="str">
        <f aca="false">IF(OR(L64="",Y64=""),"",Y64-L64)</f>
        <v/>
      </c>
      <c r="AB64" s="43"/>
      <c r="AC64" s="43"/>
    </row>
    <row r="65" customFormat="false" ht="21.75" hidden="false" customHeight="true" outlineLevel="0" collapsed="false">
      <c r="A65" s="29" t="str">
        <f aca="false">IF(OR(B65="",C65=""),"",B65&amp;"-"&amp;C65)</f>
        <v/>
      </c>
      <c r="B65" s="48"/>
      <c r="C65" s="40"/>
      <c r="D65" s="41"/>
      <c r="E65" s="42"/>
      <c r="F65" s="48"/>
      <c r="G65" s="43"/>
      <c r="H65" s="43"/>
      <c r="I65" s="44"/>
      <c r="J65" s="36" t="str">
        <f aca="false">IF(I65="","",IFERROR(INDEX(参数表!$D$13:$D$212,MATCH(I65,参数表!$A$13:$A$212,0)),"SKU未建档"))</f>
        <v/>
      </c>
      <c r="K65" s="36" t="str">
        <f aca="false">IF(I65="","",IFERROR(INDEX(参数表!$F$13:$F$212,MATCH(I65,参数表!$A$13:$A$212,0)),"SKU未建档"))</f>
        <v/>
      </c>
      <c r="L65" s="45"/>
      <c r="M65" s="35" t="str">
        <f aca="false">IF(I65="","",IFERROR(INDEX(参数表!$G$13:$G$212,MATCH(I65,参数表!$A$13:$A$212,0)),"SKU未建档"))</f>
        <v/>
      </c>
      <c r="N65" s="40"/>
      <c r="O65" s="46"/>
      <c r="P65" s="47"/>
      <c r="Q65" s="34" t="str">
        <f aca="false">IF(OR(O65="",P65=""),"",ROUND(O65*P65,2))</f>
        <v/>
      </c>
      <c r="R65" s="48"/>
      <c r="S65" s="46"/>
      <c r="T65" s="33" t="str">
        <f aca="false">IF(I65="","",IFERROR(INDEX(参数表!$H$13:$H$212,MATCH(I65,参数表!$A$13:$A$212,0)),"SKU未建档"))</f>
        <v/>
      </c>
      <c r="U65" s="34" t="str">
        <f aca="false">IF(A65="","",IF(参数表!$B$6="外贸企业",IF(S65="","",S65),IF(Q65="","",Q65)))</f>
        <v/>
      </c>
      <c r="V65" s="34" t="str">
        <f aca="false">IF(OR(U65="",NOT(ISNUMBER(T65))),"",ROUND(U65*T65,2))</f>
        <v/>
      </c>
      <c r="W65" s="43"/>
      <c r="X65" s="48"/>
      <c r="Y65" s="45"/>
      <c r="Z65" s="41"/>
      <c r="AA65" s="32" t="str">
        <f aca="false">IF(OR(L65="",Y65=""),"",Y65-L65)</f>
        <v/>
      </c>
      <c r="AB65" s="43"/>
      <c r="AC65" s="43"/>
    </row>
    <row r="66" customFormat="false" ht="21.75" hidden="false" customHeight="true" outlineLevel="0" collapsed="false">
      <c r="A66" s="29" t="str">
        <f aca="false">IF(OR(B66="",C66=""),"",B66&amp;"-"&amp;C66)</f>
        <v/>
      </c>
      <c r="B66" s="48"/>
      <c r="C66" s="40"/>
      <c r="D66" s="41"/>
      <c r="E66" s="42"/>
      <c r="F66" s="48"/>
      <c r="G66" s="43"/>
      <c r="H66" s="43"/>
      <c r="I66" s="44"/>
      <c r="J66" s="36" t="str">
        <f aca="false">IF(I66="","",IFERROR(INDEX(参数表!$D$13:$D$212,MATCH(I66,参数表!$A$13:$A$212,0)),"SKU未建档"))</f>
        <v/>
      </c>
      <c r="K66" s="36" t="str">
        <f aca="false">IF(I66="","",IFERROR(INDEX(参数表!$F$13:$F$212,MATCH(I66,参数表!$A$13:$A$212,0)),"SKU未建档"))</f>
        <v/>
      </c>
      <c r="L66" s="45"/>
      <c r="M66" s="35" t="str">
        <f aca="false">IF(I66="","",IFERROR(INDEX(参数表!$G$13:$G$212,MATCH(I66,参数表!$A$13:$A$212,0)),"SKU未建档"))</f>
        <v/>
      </c>
      <c r="N66" s="40"/>
      <c r="O66" s="46"/>
      <c r="P66" s="47"/>
      <c r="Q66" s="34" t="str">
        <f aca="false">IF(OR(O66="",P66=""),"",ROUND(O66*P66,2))</f>
        <v/>
      </c>
      <c r="R66" s="48"/>
      <c r="S66" s="46"/>
      <c r="T66" s="33" t="str">
        <f aca="false">IF(I66="","",IFERROR(INDEX(参数表!$H$13:$H$212,MATCH(I66,参数表!$A$13:$A$212,0)),"SKU未建档"))</f>
        <v/>
      </c>
      <c r="U66" s="34" t="str">
        <f aca="false">IF(A66="","",IF(参数表!$B$6="外贸企业",IF(S66="","",S66),IF(Q66="","",Q66)))</f>
        <v/>
      </c>
      <c r="V66" s="34" t="str">
        <f aca="false">IF(OR(U66="",NOT(ISNUMBER(T66))),"",ROUND(U66*T66,2))</f>
        <v/>
      </c>
      <c r="W66" s="43"/>
      <c r="X66" s="48"/>
      <c r="Y66" s="45"/>
      <c r="Z66" s="41"/>
      <c r="AA66" s="32" t="str">
        <f aca="false">IF(OR(L66="",Y66=""),"",Y66-L66)</f>
        <v/>
      </c>
      <c r="AB66" s="43"/>
      <c r="AC66" s="43"/>
    </row>
    <row r="67" customFormat="false" ht="21.75" hidden="false" customHeight="true" outlineLevel="0" collapsed="false">
      <c r="A67" s="29" t="str">
        <f aca="false">IF(OR(B67="",C67=""),"",B67&amp;"-"&amp;C67)</f>
        <v/>
      </c>
      <c r="B67" s="48"/>
      <c r="C67" s="40"/>
      <c r="D67" s="41"/>
      <c r="E67" s="42"/>
      <c r="F67" s="48"/>
      <c r="G67" s="43"/>
      <c r="H67" s="43"/>
      <c r="I67" s="44"/>
      <c r="J67" s="36" t="str">
        <f aca="false">IF(I67="","",IFERROR(INDEX(参数表!$D$13:$D$212,MATCH(I67,参数表!$A$13:$A$212,0)),"SKU未建档"))</f>
        <v/>
      </c>
      <c r="K67" s="36" t="str">
        <f aca="false">IF(I67="","",IFERROR(INDEX(参数表!$F$13:$F$212,MATCH(I67,参数表!$A$13:$A$212,0)),"SKU未建档"))</f>
        <v/>
      </c>
      <c r="L67" s="45"/>
      <c r="M67" s="35" t="str">
        <f aca="false">IF(I67="","",IFERROR(INDEX(参数表!$G$13:$G$212,MATCH(I67,参数表!$A$13:$A$212,0)),"SKU未建档"))</f>
        <v/>
      </c>
      <c r="N67" s="40"/>
      <c r="O67" s="46"/>
      <c r="P67" s="47"/>
      <c r="Q67" s="34" t="str">
        <f aca="false">IF(OR(O67="",P67=""),"",ROUND(O67*P67,2))</f>
        <v/>
      </c>
      <c r="R67" s="48"/>
      <c r="S67" s="46"/>
      <c r="T67" s="33" t="str">
        <f aca="false">IF(I67="","",IFERROR(INDEX(参数表!$H$13:$H$212,MATCH(I67,参数表!$A$13:$A$212,0)),"SKU未建档"))</f>
        <v/>
      </c>
      <c r="U67" s="34" t="str">
        <f aca="false">IF(A67="","",IF(参数表!$B$6="外贸企业",IF(S67="","",S67),IF(Q67="","",Q67)))</f>
        <v/>
      </c>
      <c r="V67" s="34" t="str">
        <f aca="false">IF(OR(U67="",NOT(ISNUMBER(T67))),"",ROUND(U67*T67,2))</f>
        <v/>
      </c>
      <c r="W67" s="43"/>
      <c r="X67" s="48"/>
      <c r="Y67" s="45"/>
      <c r="Z67" s="41"/>
      <c r="AA67" s="32" t="str">
        <f aca="false">IF(OR(L67="",Y67=""),"",Y67-L67)</f>
        <v/>
      </c>
      <c r="AB67" s="43"/>
      <c r="AC67" s="43"/>
    </row>
    <row r="68" customFormat="false" ht="21.75" hidden="false" customHeight="true" outlineLevel="0" collapsed="false">
      <c r="A68" s="29" t="str">
        <f aca="false">IF(OR(B68="",C68=""),"",B68&amp;"-"&amp;C68)</f>
        <v/>
      </c>
      <c r="B68" s="48"/>
      <c r="C68" s="40"/>
      <c r="D68" s="41"/>
      <c r="E68" s="42"/>
      <c r="F68" s="48"/>
      <c r="G68" s="43"/>
      <c r="H68" s="43"/>
      <c r="I68" s="44"/>
      <c r="J68" s="36" t="str">
        <f aca="false">IF(I68="","",IFERROR(INDEX(参数表!$D$13:$D$212,MATCH(I68,参数表!$A$13:$A$212,0)),"SKU未建档"))</f>
        <v/>
      </c>
      <c r="K68" s="36" t="str">
        <f aca="false">IF(I68="","",IFERROR(INDEX(参数表!$F$13:$F$212,MATCH(I68,参数表!$A$13:$A$212,0)),"SKU未建档"))</f>
        <v/>
      </c>
      <c r="L68" s="45"/>
      <c r="M68" s="35" t="str">
        <f aca="false">IF(I68="","",IFERROR(INDEX(参数表!$G$13:$G$212,MATCH(I68,参数表!$A$13:$A$212,0)),"SKU未建档"))</f>
        <v/>
      </c>
      <c r="N68" s="40"/>
      <c r="O68" s="46"/>
      <c r="P68" s="47"/>
      <c r="Q68" s="34" t="str">
        <f aca="false">IF(OR(O68="",P68=""),"",ROUND(O68*P68,2))</f>
        <v/>
      </c>
      <c r="R68" s="48"/>
      <c r="S68" s="46"/>
      <c r="T68" s="33" t="str">
        <f aca="false">IF(I68="","",IFERROR(INDEX(参数表!$H$13:$H$212,MATCH(I68,参数表!$A$13:$A$212,0)),"SKU未建档"))</f>
        <v/>
      </c>
      <c r="U68" s="34" t="str">
        <f aca="false">IF(A68="","",IF(参数表!$B$6="外贸企业",IF(S68="","",S68),IF(Q68="","",Q68)))</f>
        <v/>
      </c>
      <c r="V68" s="34" t="str">
        <f aca="false">IF(OR(U68="",NOT(ISNUMBER(T68))),"",ROUND(U68*T68,2))</f>
        <v/>
      </c>
      <c r="W68" s="43"/>
      <c r="X68" s="48"/>
      <c r="Y68" s="45"/>
      <c r="Z68" s="41"/>
      <c r="AA68" s="32" t="str">
        <f aca="false">IF(OR(L68="",Y68=""),"",Y68-L68)</f>
        <v/>
      </c>
      <c r="AB68" s="43"/>
      <c r="AC68" s="43"/>
    </row>
    <row r="69" customFormat="false" ht="21.75" hidden="false" customHeight="true" outlineLevel="0" collapsed="false">
      <c r="A69" s="29" t="str">
        <f aca="false">IF(OR(B69="",C69=""),"",B69&amp;"-"&amp;C69)</f>
        <v/>
      </c>
      <c r="B69" s="48"/>
      <c r="C69" s="40"/>
      <c r="D69" s="41"/>
      <c r="E69" s="42"/>
      <c r="F69" s="48"/>
      <c r="G69" s="43"/>
      <c r="H69" s="43"/>
      <c r="I69" s="44"/>
      <c r="J69" s="36" t="str">
        <f aca="false">IF(I69="","",IFERROR(INDEX(参数表!$D$13:$D$212,MATCH(I69,参数表!$A$13:$A$212,0)),"SKU未建档"))</f>
        <v/>
      </c>
      <c r="K69" s="36" t="str">
        <f aca="false">IF(I69="","",IFERROR(INDEX(参数表!$F$13:$F$212,MATCH(I69,参数表!$A$13:$A$212,0)),"SKU未建档"))</f>
        <v/>
      </c>
      <c r="L69" s="45"/>
      <c r="M69" s="35" t="str">
        <f aca="false">IF(I69="","",IFERROR(INDEX(参数表!$G$13:$G$212,MATCH(I69,参数表!$A$13:$A$212,0)),"SKU未建档"))</f>
        <v/>
      </c>
      <c r="N69" s="40"/>
      <c r="O69" s="46"/>
      <c r="P69" s="47"/>
      <c r="Q69" s="34" t="str">
        <f aca="false">IF(OR(O69="",P69=""),"",ROUND(O69*P69,2))</f>
        <v/>
      </c>
      <c r="R69" s="48"/>
      <c r="S69" s="46"/>
      <c r="T69" s="33" t="str">
        <f aca="false">IF(I69="","",IFERROR(INDEX(参数表!$H$13:$H$212,MATCH(I69,参数表!$A$13:$A$212,0)),"SKU未建档"))</f>
        <v/>
      </c>
      <c r="U69" s="34" t="str">
        <f aca="false">IF(A69="","",IF(参数表!$B$6="外贸企业",IF(S69="","",S69),IF(Q69="","",Q69)))</f>
        <v/>
      </c>
      <c r="V69" s="34" t="str">
        <f aca="false">IF(OR(U69="",NOT(ISNUMBER(T69))),"",ROUND(U69*T69,2))</f>
        <v/>
      </c>
      <c r="W69" s="43"/>
      <c r="X69" s="48"/>
      <c r="Y69" s="45"/>
      <c r="Z69" s="41"/>
      <c r="AA69" s="32" t="str">
        <f aca="false">IF(OR(L69="",Y69=""),"",Y69-L69)</f>
        <v/>
      </c>
      <c r="AB69" s="43"/>
      <c r="AC69" s="43"/>
    </row>
    <row r="70" customFormat="false" ht="21.75" hidden="false" customHeight="true" outlineLevel="0" collapsed="false">
      <c r="A70" s="29" t="str">
        <f aca="false">IF(OR(B70="",C70=""),"",B70&amp;"-"&amp;C70)</f>
        <v/>
      </c>
      <c r="B70" s="48"/>
      <c r="C70" s="40"/>
      <c r="D70" s="41"/>
      <c r="E70" s="42"/>
      <c r="F70" s="48"/>
      <c r="G70" s="43"/>
      <c r="H70" s="43"/>
      <c r="I70" s="44"/>
      <c r="J70" s="36" t="str">
        <f aca="false">IF(I70="","",IFERROR(INDEX(参数表!$D$13:$D$212,MATCH(I70,参数表!$A$13:$A$212,0)),"SKU未建档"))</f>
        <v/>
      </c>
      <c r="K70" s="36" t="str">
        <f aca="false">IF(I70="","",IFERROR(INDEX(参数表!$F$13:$F$212,MATCH(I70,参数表!$A$13:$A$212,0)),"SKU未建档"))</f>
        <v/>
      </c>
      <c r="L70" s="45"/>
      <c r="M70" s="35" t="str">
        <f aca="false">IF(I70="","",IFERROR(INDEX(参数表!$G$13:$G$212,MATCH(I70,参数表!$A$13:$A$212,0)),"SKU未建档"))</f>
        <v/>
      </c>
      <c r="N70" s="40"/>
      <c r="O70" s="46"/>
      <c r="P70" s="47"/>
      <c r="Q70" s="34" t="str">
        <f aca="false">IF(OR(O70="",P70=""),"",ROUND(O70*P70,2))</f>
        <v/>
      </c>
      <c r="R70" s="48"/>
      <c r="S70" s="46"/>
      <c r="T70" s="33" t="str">
        <f aca="false">IF(I70="","",IFERROR(INDEX(参数表!$H$13:$H$212,MATCH(I70,参数表!$A$13:$A$212,0)),"SKU未建档"))</f>
        <v/>
      </c>
      <c r="U70" s="34" t="str">
        <f aca="false">IF(A70="","",IF(参数表!$B$6="外贸企业",IF(S70="","",S70),IF(Q70="","",Q70)))</f>
        <v/>
      </c>
      <c r="V70" s="34" t="str">
        <f aca="false">IF(OR(U70="",NOT(ISNUMBER(T70))),"",ROUND(U70*T70,2))</f>
        <v/>
      </c>
      <c r="W70" s="43"/>
      <c r="X70" s="48"/>
      <c r="Y70" s="45"/>
      <c r="Z70" s="41"/>
      <c r="AA70" s="32" t="str">
        <f aca="false">IF(OR(L70="",Y70=""),"",Y70-L70)</f>
        <v/>
      </c>
      <c r="AB70" s="43"/>
      <c r="AC70" s="43"/>
    </row>
    <row r="71" customFormat="false" ht="21.75" hidden="false" customHeight="true" outlineLevel="0" collapsed="false">
      <c r="A71" s="29" t="str">
        <f aca="false">IF(OR(B71="",C71=""),"",B71&amp;"-"&amp;C71)</f>
        <v/>
      </c>
      <c r="B71" s="48"/>
      <c r="C71" s="40"/>
      <c r="D71" s="41"/>
      <c r="E71" s="42"/>
      <c r="F71" s="48"/>
      <c r="G71" s="43"/>
      <c r="H71" s="43"/>
      <c r="I71" s="44"/>
      <c r="J71" s="36" t="str">
        <f aca="false">IF(I71="","",IFERROR(INDEX(参数表!$D$13:$D$212,MATCH(I71,参数表!$A$13:$A$212,0)),"SKU未建档"))</f>
        <v/>
      </c>
      <c r="K71" s="36" t="str">
        <f aca="false">IF(I71="","",IFERROR(INDEX(参数表!$F$13:$F$212,MATCH(I71,参数表!$A$13:$A$212,0)),"SKU未建档"))</f>
        <v/>
      </c>
      <c r="L71" s="45"/>
      <c r="M71" s="35" t="str">
        <f aca="false">IF(I71="","",IFERROR(INDEX(参数表!$G$13:$G$212,MATCH(I71,参数表!$A$13:$A$212,0)),"SKU未建档"))</f>
        <v/>
      </c>
      <c r="N71" s="40"/>
      <c r="O71" s="46"/>
      <c r="P71" s="47"/>
      <c r="Q71" s="34" t="str">
        <f aca="false">IF(OR(O71="",P71=""),"",ROUND(O71*P71,2))</f>
        <v/>
      </c>
      <c r="R71" s="48"/>
      <c r="S71" s="46"/>
      <c r="T71" s="33" t="str">
        <f aca="false">IF(I71="","",IFERROR(INDEX(参数表!$H$13:$H$212,MATCH(I71,参数表!$A$13:$A$212,0)),"SKU未建档"))</f>
        <v/>
      </c>
      <c r="U71" s="34" t="str">
        <f aca="false">IF(A71="","",IF(参数表!$B$6="外贸企业",IF(S71="","",S71),IF(Q71="","",Q71)))</f>
        <v/>
      </c>
      <c r="V71" s="34" t="str">
        <f aca="false">IF(OR(U71="",NOT(ISNUMBER(T71))),"",ROUND(U71*T71,2))</f>
        <v/>
      </c>
      <c r="W71" s="43"/>
      <c r="X71" s="48"/>
      <c r="Y71" s="45"/>
      <c r="Z71" s="41"/>
      <c r="AA71" s="32" t="str">
        <f aca="false">IF(OR(L71="",Y71=""),"",Y71-L71)</f>
        <v/>
      </c>
      <c r="AB71" s="43"/>
      <c r="AC71" s="43"/>
    </row>
    <row r="72" customFormat="false" ht="21.75" hidden="false" customHeight="true" outlineLevel="0" collapsed="false">
      <c r="A72" s="29" t="str">
        <f aca="false">IF(OR(B72="",C72=""),"",B72&amp;"-"&amp;C72)</f>
        <v/>
      </c>
      <c r="B72" s="48"/>
      <c r="C72" s="40"/>
      <c r="D72" s="41"/>
      <c r="E72" s="42"/>
      <c r="F72" s="48"/>
      <c r="G72" s="43"/>
      <c r="H72" s="43"/>
      <c r="I72" s="44"/>
      <c r="J72" s="36" t="str">
        <f aca="false">IF(I72="","",IFERROR(INDEX(参数表!$D$13:$D$212,MATCH(I72,参数表!$A$13:$A$212,0)),"SKU未建档"))</f>
        <v/>
      </c>
      <c r="K72" s="36" t="str">
        <f aca="false">IF(I72="","",IFERROR(INDEX(参数表!$F$13:$F$212,MATCH(I72,参数表!$A$13:$A$212,0)),"SKU未建档"))</f>
        <v/>
      </c>
      <c r="L72" s="45"/>
      <c r="M72" s="35" t="str">
        <f aca="false">IF(I72="","",IFERROR(INDEX(参数表!$G$13:$G$212,MATCH(I72,参数表!$A$13:$A$212,0)),"SKU未建档"))</f>
        <v/>
      </c>
      <c r="N72" s="40"/>
      <c r="O72" s="46"/>
      <c r="P72" s="47"/>
      <c r="Q72" s="34" t="str">
        <f aca="false">IF(OR(O72="",P72=""),"",ROUND(O72*P72,2))</f>
        <v/>
      </c>
      <c r="R72" s="48"/>
      <c r="S72" s="46"/>
      <c r="T72" s="33" t="str">
        <f aca="false">IF(I72="","",IFERROR(INDEX(参数表!$H$13:$H$212,MATCH(I72,参数表!$A$13:$A$212,0)),"SKU未建档"))</f>
        <v/>
      </c>
      <c r="U72" s="34" t="str">
        <f aca="false">IF(A72="","",IF(参数表!$B$6="外贸企业",IF(S72="","",S72),IF(Q72="","",Q72)))</f>
        <v/>
      </c>
      <c r="V72" s="34" t="str">
        <f aca="false">IF(OR(U72="",NOT(ISNUMBER(T72))),"",ROUND(U72*T72,2))</f>
        <v/>
      </c>
      <c r="W72" s="43"/>
      <c r="X72" s="48"/>
      <c r="Y72" s="45"/>
      <c r="Z72" s="41"/>
      <c r="AA72" s="32" t="str">
        <f aca="false">IF(OR(L72="",Y72=""),"",Y72-L72)</f>
        <v/>
      </c>
      <c r="AB72" s="43"/>
      <c r="AC72" s="43"/>
    </row>
    <row r="73" customFormat="false" ht="21.75" hidden="false" customHeight="true" outlineLevel="0" collapsed="false">
      <c r="A73" s="29" t="str">
        <f aca="false">IF(OR(B73="",C73=""),"",B73&amp;"-"&amp;C73)</f>
        <v/>
      </c>
      <c r="B73" s="48"/>
      <c r="C73" s="40"/>
      <c r="D73" s="41"/>
      <c r="E73" s="42"/>
      <c r="F73" s="48"/>
      <c r="G73" s="43"/>
      <c r="H73" s="43"/>
      <c r="I73" s="44"/>
      <c r="J73" s="36" t="str">
        <f aca="false">IF(I73="","",IFERROR(INDEX(参数表!$D$13:$D$212,MATCH(I73,参数表!$A$13:$A$212,0)),"SKU未建档"))</f>
        <v/>
      </c>
      <c r="K73" s="36" t="str">
        <f aca="false">IF(I73="","",IFERROR(INDEX(参数表!$F$13:$F$212,MATCH(I73,参数表!$A$13:$A$212,0)),"SKU未建档"))</f>
        <v/>
      </c>
      <c r="L73" s="45"/>
      <c r="M73" s="35" t="str">
        <f aca="false">IF(I73="","",IFERROR(INDEX(参数表!$G$13:$G$212,MATCH(I73,参数表!$A$13:$A$212,0)),"SKU未建档"))</f>
        <v/>
      </c>
      <c r="N73" s="40"/>
      <c r="O73" s="46"/>
      <c r="P73" s="47"/>
      <c r="Q73" s="34" t="str">
        <f aca="false">IF(OR(O73="",P73=""),"",ROUND(O73*P73,2))</f>
        <v/>
      </c>
      <c r="R73" s="48"/>
      <c r="S73" s="46"/>
      <c r="T73" s="33" t="str">
        <f aca="false">IF(I73="","",IFERROR(INDEX(参数表!$H$13:$H$212,MATCH(I73,参数表!$A$13:$A$212,0)),"SKU未建档"))</f>
        <v/>
      </c>
      <c r="U73" s="34" t="str">
        <f aca="false">IF(A73="","",IF(参数表!$B$6="外贸企业",IF(S73="","",S73),IF(Q73="","",Q73)))</f>
        <v/>
      </c>
      <c r="V73" s="34" t="str">
        <f aca="false">IF(OR(U73="",NOT(ISNUMBER(T73))),"",ROUND(U73*T73,2))</f>
        <v/>
      </c>
      <c r="W73" s="43"/>
      <c r="X73" s="48"/>
      <c r="Y73" s="45"/>
      <c r="Z73" s="41"/>
      <c r="AA73" s="32" t="str">
        <f aca="false">IF(OR(L73="",Y73=""),"",Y73-L73)</f>
        <v/>
      </c>
      <c r="AB73" s="43"/>
      <c r="AC73" s="43"/>
    </row>
    <row r="74" customFormat="false" ht="21.75" hidden="false" customHeight="true" outlineLevel="0" collapsed="false">
      <c r="A74" s="29" t="str">
        <f aca="false">IF(OR(B74="",C74=""),"",B74&amp;"-"&amp;C74)</f>
        <v/>
      </c>
      <c r="B74" s="48"/>
      <c r="C74" s="40"/>
      <c r="D74" s="41"/>
      <c r="E74" s="42"/>
      <c r="F74" s="48"/>
      <c r="G74" s="43"/>
      <c r="H74" s="43"/>
      <c r="I74" s="44"/>
      <c r="J74" s="36" t="str">
        <f aca="false">IF(I74="","",IFERROR(INDEX(参数表!$D$13:$D$212,MATCH(I74,参数表!$A$13:$A$212,0)),"SKU未建档"))</f>
        <v/>
      </c>
      <c r="K74" s="36" t="str">
        <f aca="false">IF(I74="","",IFERROR(INDEX(参数表!$F$13:$F$212,MATCH(I74,参数表!$A$13:$A$212,0)),"SKU未建档"))</f>
        <v/>
      </c>
      <c r="L74" s="45"/>
      <c r="M74" s="35" t="str">
        <f aca="false">IF(I74="","",IFERROR(INDEX(参数表!$G$13:$G$212,MATCH(I74,参数表!$A$13:$A$212,0)),"SKU未建档"))</f>
        <v/>
      </c>
      <c r="N74" s="40"/>
      <c r="O74" s="46"/>
      <c r="P74" s="47"/>
      <c r="Q74" s="34" t="str">
        <f aca="false">IF(OR(O74="",P74=""),"",ROUND(O74*P74,2))</f>
        <v/>
      </c>
      <c r="R74" s="48"/>
      <c r="S74" s="46"/>
      <c r="T74" s="33" t="str">
        <f aca="false">IF(I74="","",IFERROR(INDEX(参数表!$H$13:$H$212,MATCH(I74,参数表!$A$13:$A$212,0)),"SKU未建档"))</f>
        <v/>
      </c>
      <c r="U74" s="34" t="str">
        <f aca="false">IF(A74="","",IF(参数表!$B$6="外贸企业",IF(S74="","",S74),IF(Q74="","",Q74)))</f>
        <v/>
      </c>
      <c r="V74" s="34" t="str">
        <f aca="false">IF(OR(U74="",NOT(ISNUMBER(T74))),"",ROUND(U74*T74,2))</f>
        <v/>
      </c>
      <c r="W74" s="43"/>
      <c r="X74" s="48"/>
      <c r="Y74" s="45"/>
      <c r="Z74" s="41"/>
      <c r="AA74" s="32" t="str">
        <f aca="false">IF(OR(L74="",Y74=""),"",Y74-L74)</f>
        <v/>
      </c>
      <c r="AB74" s="43"/>
      <c r="AC74" s="43"/>
    </row>
    <row r="75" customFormat="false" ht="21.75" hidden="false" customHeight="true" outlineLevel="0" collapsed="false">
      <c r="A75" s="29" t="str">
        <f aca="false">IF(OR(B75="",C75=""),"",B75&amp;"-"&amp;C75)</f>
        <v/>
      </c>
      <c r="B75" s="48"/>
      <c r="C75" s="40"/>
      <c r="D75" s="41"/>
      <c r="E75" s="42"/>
      <c r="F75" s="48"/>
      <c r="G75" s="43"/>
      <c r="H75" s="43"/>
      <c r="I75" s="44"/>
      <c r="J75" s="36" t="str">
        <f aca="false">IF(I75="","",IFERROR(INDEX(参数表!$D$13:$D$212,MATCH(I75,参数表!$A$13:$A$212,0)),"SKU未建档"))</f>
        <v/>
      </c>
      <c r="K75" s="36" t="str">
        <f aca="false">IF(I75="","",IFERROR(INDEX(参数表!$F$13:$F$212,MATCH(I75,参数表!$A$13:$A$212,0)),"SKU未建档"))</f>
        <v/>
      </c>
      <c r="L75" s="45"/>
      <c r="M75" s="35" t="str">
        <f aca="false">IF(I75="","",IFERROR(INDEX(参数表!$G$13:$G$212,MATCH(I75,参数表!$A$13:$A$212,0)),"SKU未建档"))</f>
        <v/>
      </c>
      <c r="N75" s="40"/>
      <c r="O75" s="46"/>
      <c r="P75" s="47"/>
      <c r="Q75" s="34" t="str">
        <f aca="false">IF(OR(O75="",P75=""),"",ROUND(O75*P75,2))</f>
        <v/>
      </c>
      <c r="R75" s="48"/>
      <c r="S75" s="46"/>
      <c r="T75" s="33" t="str">
        <f aca="false">IF(I75="","",IFERROR(INDEX(参数表!$H$13:$H$212,MATCH(I75,参数表!$A$13:$A$212,0)),"SKU未建档"))</f>
        <v/>
      </c>
      <c r="U75" s="34" t="str">
        <f aca="false">IF(A75="","",IF(参数表!$B$6="外贸企业",IF(S75="","",S75),IF(Q75="","",Q75)))</f>
        <v/>
      </c>
      <c r="V75" s="34" t="str">
        <f aca="false">IF(OR(U75="",NOT(ISNUMBER(T75))),"",ROUND(U75*T75,2))</f>
        <v/>
      </c>
      <c r="W75" s="43"/>
      <c r="X75" s="48"/>
      <c r="Y75" s="45"/>
      <c r="Z75" s="41"/>
      <c r="AA75" s="32" t="str">
        <f aca="false">IF(OR(L75="",Y75=""),"",Y75-L75)</f>
        <v/>
      </c>
      <c r="AB75" s="43"/>
      <c r="AC75" s="43"/>
    </row>
    <row r="76" customFormat="false" ht="21.75" hidden="false" customHeight="true" outlineLevel="0" collapsed="false">
      <c r="A76" s="29" t="str">
        <f aca="false">IF(OR(B76="",C76=""),"",B76&amp;"-"&amp;C76)</f>
        <v/>
      </c>
      <c r="B76" s="48"/>
      <c r="C76" s="40"/>
      <c r="D76" s="41"/>
      <c r="E76" s="42"/>
      <c r="F76" s="48"/>
      <c r="G76" s="43"/>
      <c r="H76" s="43"/>
      <c r="I76" s="44"/>
      <c r="J76" s="36" t="str">
        <f aca="false">IF(I76="","",IFERROR(INDEX(参数表!$D$13:$D$212,MATCH(I76,参数表!$A$13:$A$212,0)),"SKU未建档"))</f>
        <v/>
      </c>
      <c r="K76" s="36" t="str">
        <f aca="false">IF(I76="","",IFERROR(INDEX(参数表!$F$13:$F$212,MATCH(I76,参数表!$A$13:$A$212,0)),"SKU未建档"))</f>
        <v/>
      </c>
      <c r="L76" s="45"/>
      <c r="M76" s="35" t="str">
        <f aca="false">IF(I76="","",IFERROR(INDEX(参数表!$G$13:$G$212,MATCH(I76,参数表!$A$13:$A$212,0)),"SKU未建档"))</f>
        <v/>
      </c>
      <c r="N76" s="40"/>
      <c r="O76" s="46"/>
      <c r="P76" s="47"/>
      <c r="Q76" s="34" t="str">
        <f aca="false">IF(OR(O76="",P76=""),"",ROUND(O76*P76,2))</f>
        <v/>
      </c>
      <c r="R76" s="48"/>
      <c r="S76" s="46"/>
      <c r="T76" s="33" t="str">
        <f aca="false">IF(I76="","",IFERROR(INDEX(参数表!$H$13:$H$212,MATCH(I76,参数表!$A$13:$A$212,0)),"SKU未建档"))</f>
        <v/>
      </c>
      <c r="U76" s="34" t="str">
        <f aca="false">IF(A76="","",IF(参数表!$B$6="外贸企业",IF(S76="","",S76),IF(Q76="","",Q76)))</f>
        <v/>
      </c>
      <c r="V76" s="34" t="str">
        <f aca="false">IF(OR(U76="",NOT(ISNUMBER(T76))),"",ROUND(U76*T76,2))</f>
        <v/>
      </c>
      <c r="W76" s="43"/>
      <c r="X76" s="48"/>
      <c r="Y76" s="45"/>
      <c r="Z76" s="41"/>
      <c r="AA76" s="32" t="str">
        <f aca="false">IF(OR(L76="",Y76=""),"",Y76-L76)</f>
        <v/>
      </c>
      <c r="AB76" s="43"/>
      <c r="AC76" s="43"/>
    </row>
    <row r="77" customFormat="false" ht="21.75" hidden="false" customHeight="true" outlineLevel="0" collapsed="false">
      <c r="A77" s="29" t="str">
        <f aca="false">IF(OR(B77="",C77=""),"",B77&amp;"-"&amp;C77)</f>
        <v/>
      </c>
      <c r="B77" s="48"/>
      <c r="C77" s="40"/>
      <c r="D77" s="41"/>
      <c r="E77" s="42"/>
      <c r="F77" s="48"/>
      <c r="G77" s="43"/>
      <c r="H77" s="43"/>
      <c r="I77" s="44"/>
      <c r="J77" s="36" t="str">
        <f aca="false">IF(I77="","",IFERROR(INDEX(参数表!$D$13:$D$212,MATCH(I77,参数表!$A$13:$A$212,0)),"SKU未建档"))</f>
        <v/>
      </c>
      <c r="K77" s="36" t="str">
        <f aca="false">IF(I77="","",IFERROR(INDEX(参数表!$F$13:$F$212,MATCH(I77,参数表!$A$13:$A$212,0)),"SKU未建档"))</f>
        <v/>
      </c>
      <c r="L77" s="45"/>
      <c r="M77" s="35" t="str">
        <f aca="false">IF(I77="","",IFERROR(INDEX(参数表!$G$13:$G$212,MATCH(I77,参数表!$A$13:$A$212,0)),"SKU未建档"))</f>
        <v/>
      </c>
      <c r="N77" s="40"/>
      <c r="O77" s="46"/>
      <c r="P77" s="47"/>
      <c r="Q77" s="34" t="str">
        <f aca="false">IF(OR(O77="",P77=""),"",ROUND(O77*P77,2))</f>
        <v/>
      </c>
      <c r="R77" s="48"/>
      <c r="S77" s="46"/>
      <c r="T77" s="33" t="str">
        <f aca="false">IF(I77="","",IFERROR(INDEX(参数表!$H$13:$H$212,MATCH(I77,参数表!$A$13:$A$212,0)),"SKU未建档"))</f>
        <v/>
      </c>
      <c r="U77" s="34" t="str">
        <f aca="false">IF(A77="","",IF(参数表!$B$6="外贸企业",IF(S77="","",S77),IF(Q77="","",Q77)))</f>
        <v/>
      </c>
      <c r="V77" s="34" t="str">
        <f aca="false">IF(OR(U77="",NOT(ISNUMBER(T77))),"",ROUND(U77*T77,2))</f>
        <v/>
      </c>
      <c r="W77" s="43"/>
      <c r="X77" s="48"/>
      <c r="Y77" s="45"/>
      <c r="Z77" s="41"/>
      <c r="AA77" s="32" t="str">
        <f aca="false">IF(OR(L77="",Y77=""),"",Y77-L77)</f>
        <v/>
      </c>
      <c r="AB77" s="43"/>
      <c r="AC77" s="43"/>
    </row>
    <row r="78" customFormat="false" ht="21.75" hidden="false" customHeight="true" outlineLevel="0" collapsed="false">
      <c r="A78" s="29" t="str">
        <f aca="false">IF(OR(B78="",C78=""),"",B78&amp;"-"&amp;C78)</f>
        <v/>
      </c>
      <c r="B78" s="48"/>
      <c r="C78" s="40"/>
      <c r="D78" s="41"/>
      <c r="E78" s="42"/>
      <c r="F78" s="48"/>
      <c r="G78" s="43"/>
      <c r="H78" s="43"/>
      <c r="I78" s="44"/>
      <c r="J78" s="36" t="str">
        <f aca="false">IF(I78="","",IFERROR(INDEX(参数表!$D$13:$D$212,MATCH(I78,参数表!$A$13:$A$212,0)),"SKU未建档"))</f>
        <v/>
      </c>
      <c r="K78" s="36" t="str">
        <f aca="false">IF(I78="","",IFERROR(INDEX(参数表!$F$13:$F$212,MATCH(I78,参数表!$A$13:$A$212,0)),"SKU未建档"))</f>
        <v/>
      </c>
      <c r="L78" s="45"/>
      <c r="M78" s="35" t="str">
        <f aca="false">IF(I78="","",IFERROR(INDEX(参数表!$G$13:$G$212,MATCH(I78,参数表!$A$13:$A$212,0)),"SKU未建档"))</f>
        <v/>
      </c>
      <c r="N78" s="40"/>
      <c r="O78" s="46"/>
      <c r="P78" s="47"/>
      <c r="Q78" s="34" t="str">
        <f aca="false">IF(OR(O78="",P78=""),"",ROUND(O78*P78,2))</f>
        <v/>
      </c>
      <c r="R78" s="48"/>
      <c r="S78" s="46"/>
      <c r="T78" s="33" t="str">
        <f aca="false">IF(I78="","",IFERROR(INDEX(参数表!$H$13:$H$212,MATCH(I78,参数表!$A$13:$A$212,0)),"SKU未建档"))</f>
        <v/>
      </c>
      <c r="U78" s="34" t="str">
        <f aca="false">IF(A78="","",IF(参数表!$B$6="外贸企业",IF(S78="","",S78),IF(Q78="","",Q78)))</f>
        <v/>
      </c>
      <c r="V78" s="34" t="str">
        <f aca="false">IF(OR(U78="",NOT(ISNUMBER(T78))),"",ROUND(U78*T78,2))</f>
        <v/>
      </c>
      <c r="W78" s="43"/>
      <c r="X78" s="48"/>
      <c r="Y78" s="45"/>
      <c r="Z78" s="41"/>
      <c r="AA78" s="32" t="str">
        <f aca="false">IF(OR(L78="",Y78=""),"",Y78-L78)</f>
        <v/>
      </c>
      <c r="AB78" s="43"/>
      <c r="AC78" s="43"/>
    </row>
    <row r="79" customFormat="false" ht="21.75" hidden="false" customHeight="true" outlineLevel="0" collapsed="false">
      <c r="A79" s="29" t="str">
        <f aca="false">IF(OR(B79="",C79=""),"",B79&amp;"-"&amp;C79)</f>
        <v/>
      </c>
      <c r="B79" s="48"/>
      <c r="C79" s="40"/>
      <c r="D79" s="41"/>
      <c r="E79" s="42"/>
      <c r="F79" s="48"/>
      <c r="G79" s="43"/>
      <c r="H79" s="43"/>
      <c r="I79" s="44"/>
      <c r="J79" s="36" t="str">
        <f aca="false">IF(I79="","",IFERROR(INDEX(参数表!$D$13:$D$212,MATCH(I79,参数表!$A$13:$A$212,0)),"SKU未建档"))</f>
        <v/>
      </c>
      <c r="K79" s="36" t="str">
        <f aca="false">IF(I79="","",IFERROR(INDEX(参数表!$F$13:$F$212,MATCH(I79,参数表!$A$13:$A$212,0)),"SKU未建档"))</f>
        <v/>
      </c>
      <c r="L79" s="45"/>
      <c r="M79" s="35" t="str">
        <f aca="false">IF(I79="","",IFERROR(INDEX(参数表!$G$13:$G$212,MATCH(I79,参数表!$A$13:$A$212,0)),"SKU未建档"))</f>
        <v/>
      </c>
      <c r="N79" s="40"/>
      <c r="O79" s="46"/>
      <c r="P79" s="47"/>
      <c r="Q79" s="34" t="str">
        <f aca="false">IF(OR(O79="",P79=""),"",ROUND(O79*P79,2))</f>
        <v/>
      </c>
      <c r="R79" s="48"/>
      <c r="S79" s="46"/>
      <c r="T79" s="33" t="str">
        <f aca="false">IF(I79="","",IFERROR(INDEX(参数表!$H$13:$H$212,MATCH(I79,参数表!$A$13:$A$212,0)),"SKU未建档"))</f>
        <v/>
      </c>
      <c r="U79" s="34" t="str">
        <f aca="false">IF(A79="","",IF(参数表!$B$6="外贸企业",IF(S79="","",S79),IF(Q79="","",Q79)))</f>
        <v/>
      </c>
      <c r="V79" s="34" t="str">
        <f aca="false">IF(OR(U79="",NOT(ISNUMBER(T79))),"",ROUND(U79*T79,2))</f>
        <v/>
      </c>
      <c r="W79" s="43"/>
      <c r="X79" s="48"/>
      <c r="Y79" s="45"/>
      <c r="Z79" s="41"/>
      <c r="AA79" s="32" t="str">
        <f aca="false">IF(OR(L79="",Y79=""),"",Y79-L79)</f>
        <v/>
      </c>
      <c r="AB79" s="43"/>
      <c r="AC79" s="43"/>
    </row>
    <row r="80" customFormat="false" ht="21.75" hidden="false" customHeight="true" outlineLevel="0" collapsed="false">
      <c r="A80" s="29" t="str">
        <f aca="false">IF(OR(B80="",C80=""),"",B80&amp;"-"&amp;C80)</f>
        <v/>
      </c>
      <c r="B80" s="48"/>
      <c r="C80" s="40"/>
      <c r="D80" s="41"/>
      <c r="E80" s="42"/>
      <c r="F80" s="48"/>
      <c r="G80" s="43"/>
      <c r="H80" s="43"/>
      <c r="I80" s="44"/>
      <c r="J80" s="36" t="str">
        <f aca="false">IF(I80="","",IFERROR(INDEX(参数表!$D$13:$D$212,MATCH(I80,参数表!$A$13:$A$212,0)),"SKU未建档"))</f>
        <v/>
      </c>
      <c r="K80" s="36" t="str">
        <f aca="false">IF(I80="","",IFERROR(INDEX(参数表!$F$13:$F$212,MATCH(I80,参数表!$A$13:$A$212,0)),"SKU未建档"))</f>
        <v/>
      </c>
      <c r="L80" s="45"/>
      <c r="M80" s="35" t="str">
        <f aca="false">IF(I80="","",IFERROR(INDEX(参数表!$G$13:$G$212,MATCH(I80,参数表!$A$13:$A$212,0)),"SKU未建档"))</f>
        <v/>
      </c>
      <c r="N80" s="40"/>
      <c r="O80" s="46"/>
      <c r="P80" s="47"/>
      <c r="Q80" s="34" t="str">
        <f aca="false">IF(OR(O80="",P80=""),"",ROUND(O80*P80,2))</f>
        <v/>
      </c>
      <c r="R80" s="48"/>
      <c r="S80" s="46"/>
      <c r="T80" s="33" t="str">
        <f aca="false">IF(I80="","",IFERROR(INDEX(参数表!$H$13:$H$212,MATCH(I80,参数表!$A$13:$A$212,0)),"SKU未建档"))</f>
        <v/>
      </c>
      <c r="U80" s="34" t="str">
        <f aca="false">IF(A80="","",IF(参数表!$B$6="外贸企业",IF(S80="","",S80),IF(Q80="","",Q80)))</f>
        <v/>
      </c>
      <c r="V80" s="34" t="str">
        <f aca="false">IF(OR(U80="",NOT(ISNUMBER(T80))),"",ROUND(U80*T80,2))</f>
        <v/>
      </c>
      <c r="W80" s="43"/>
      <c r="X80" s="48"/>
      <c r="Y80" s="45"/>
      <c r="Z80" s="41"/>
      <c r="AA80" s="32" t="str">
        <f aca="false">IF(OR(L80="",Y80=""),"",Y80-L80)</f>
        <v/>
      </c>
      <c r="AB80" s="43"/>
      <c r="AC80" s="43"/>
    </row>
    <row r="81" customFormat="false" ht="21.75" hidden="false" customHeight="true" outlineLevel="0" collapsed="false">
      <c r="A81" s="29" t="str">
        <f aca="false">IF(OR(B81="",C81=""),"",B81&amp;"-"&amp;C81)</f>
        <v/>
      </c>
      <c r="B81" s="48"/>
      <c r="C81" s="40"/>
      <c r="D81" s="41"/>
      <c r="E81" s="42"/>
      <c r="F81" s="48"/>
      <c r="G81" s="43"/>
      <c r="H81" s="43"/>
      <c r="I81" s="44"/>
      <c r="J81" s="36" t="str">
        <f aca="false">IF(I81="","",IFERROR(INDEX(参数表!$D$13:$D$212,MATCH(I81,参数表!$A$13:$A$212,0)),"SKU未建档"))</f>
        <v/>
      </c>
      <c r="K81" s="36" t="str">
        <f aca="false">IF(I81="","",IFERROR(INDEX(参数表!$F$13:$F$212,MATCH(I81,参数表!$A$13:$A$212,0)),"SKU未建档"))</f>
        <v/>
      </c>
      <c r="L81" s="45"/>
      <c r="M81" s="35" t="str">
        <f aca="false">IF(I81="","",IFERROR(INDEX(参数表!$G$13:$G$212,MATCH(I81,参数表!$A$13:$A$212,0)),"SKU未建档"))</f>
        <v/>
      </c>
      <c r="N81" s="40"/>
      <c r="O81" s="46"/>
      <c r="P81" s="47"/>
      <c r="Q81" s="34" t="str">
        <f aca="false">IF(OR(O81="",P81=""),"",ROUND(O81*P81,2))</f>
        <v/>
      </c>
      <c r="R81" s="48"/>
      <c r="S81" s="46"/>
      <c r="T81" s="33" t="str">
        <f aca="false">IF(I81="","",IFERROR(INDEX(参数表!$H$13:$H$212,MATCH(I81,参数表!$A$13:$A$212,0)),"SKU未建档"))</f>
        <v/>
      </c>
      <c r="U81" s="34" t="str">
        <f aca="false">IF(A81="","",IF(参数表!$B$6="外贸企业",IF(S81="","",S81),IF(Q81="","",Q81)))</f>
        <v/>
      </c>
      <c r="V81" s="34" t="str">
        <f aca="false">IF(OR(U81="",NOT(ISNUMBER(T81))),"",ROUND(U81*T81,2))</f>
        <v/>
      </c>
      <c r="W81" s="43"/>
      <c r="X81" s="48"/>
      <c r="Y81" s="45"/>
      <c r="Z81" s="41"/>
      <c r="AA81" s="32" t="str">
        <f aca="false">IF(OR(L81="",Y81=""),"",Y81-L81)</f>
        <v/>
      </c>
      <c r="AB81" s="43"/>
      <c r="AC81" s="43"/>
    </row>
    <row r="82" customFormat="false" ht="21.75" hidden="false" customHeight="true" outlineLevel="0" collapsed="false">
      <c r="A82" s="29" t="str">
        <f aca="false">IF(OR(B82="",C82=""),"",B82&amp;"-"&amp;C82)</f>
        <v/>
      </c>
      <c r="B82" s="48"/>
      <c r="C82" s="40"/>
      <c r="D82" s="41"/>
      <c r="E82" s="42"/>
      <c r="F82" s="48"/>
      <c r="G82" s="43"/>
      <c r="H82" s="43"/>
      <c r="I82" s="44"/>
      <c r="J82" s="36" t="str">
        <f aca="false">IF(I82="","",IFERROR(INDEX(参数表!$D$13:$D$212,MATCH(I82,参数表!$A$13:$A$212,0)),"SKU未建档"))</f>
        <v/>
      </c>
      <c r="K82" s="36" t="str">
        <f aca="false">IF(I82="","",IFERROR(INDEX(参数表!$F$13:$F$212,MATCH(I82,参数表!$A$13:$A$212,0)),"SKU未建档"))</f>
        <v/>
      </c>
      <c r="L82" s="45"/>
      <c r="M82" s="35" t="str">
        <f aca="false">IF(I82="","",IFERROR(INDEX(参数表!$G$13:$G$212,MATCH(I82,参数表!$A$13:$A$212,0)),"SKU未建档"))</f>
        <v/>
      </c>
      <c r="N82" s="40"/>
      <c r="O82" s="46"/>
      <c r="P82" s="47"/>
      <c r="Q82" s="34" t="str">
        <f aca="false">IF(OR(O82="",P82=""),"",ROUND(O82*P82,2))</f>
        <v/>
      </c>
      <c r="R82" s="48"/>
      <c r="S82" s="46"/>
      <c r="T82" s="33" t="str">
        <f aca="false">IF(I82="","",IFERROR(INDEX(参数表!$H$13:$H$212,MATCH(I82,参数表!$A$13:$A$212,0)),"SKU未建档"))</f>
        <v/>
      </c>
      <c r="U82" s="34" t="str">
        <f aca="false">IF(A82="","",IF(参数表!$B$6="外贸企业",IF(S82="","",S82),IF(Q82="","",Q82)))</f>
        <v/>
      </c>
      <c r="V82" s="34" t="str">
        <f aca="false">IF(OR(U82="",NOT(ISNUMBER(T82))),"",ROUND(U82*T82,2))</f>
        <v/>
      </c>
      <c r="W82" s="43"/>
      <c r="X82" s="48"/>
      <c r="Y82" s="45"/>
      <c r="Z82" s="41"/>
      <c r="AA82" s="32" t="str">
        <f aca="false">IF(OR(L82="",Y82=""),"",Y82-L82)</f>
        <v/>
      </c>
      <c r="AB82" s="43"/>
      <c r="AC82" s="43"/>
    </row>
    <row r="83" customFormat="false" ht="21.75" hidden="false" customHeight="true" outlineLevel="0" collapsed="false">
      <c r="A83" s="29" t="str">
        <f aca="false">IF(OR(B83="",C83=""),"",B83&amp;"-"&amp;C83)</f>
        <v/>
      </c>
      <c r="B83" s="48"/>
      <c r="C83" s="40"/>
      <c r="D83" s="41"/>
      <c r="E83" s="42"/>
      <c r="F83" s="48"/>
      <c r="G83" s="43"/>
      <c r="H83" s="43"/>
      <c r="I83" s="44"/>
      <c r="J83" s="36" t="str">
        <f aca="false">IF(I83="","",IFERROR(INDEX(参数表!$D$13:$D$212,MATCH(I83,参数表!$A$13:$A$212,0)),"SKU未建档"))</f>
        <v/>
      </c>
      <c r="K83" s="36" t="str">
        <f aca="false">IF(I83="","",IFERROR(INDEX(参数表!$F$13:$F$212,MATCH(I83,参数表!$A$13:$A$212,0)),"SKU未建档"))</f>
        <v/>
      </c>
      <c r="L83" s="45"/>
      <c r="M83" s="35" t="str">
        <f aca="false">IF(I83="","",IFERROR(INDEX(参数表!$G$13:$G$212,MATCH(I83,参数表!$A$13:$A$212,0)),"SKU未建档"))</f>
        <v/>
      </c>
      <c r="N83" s="40"/>
      <c r="O83" s="46"/>
      <c r="P83" s="47"/>
      <c r="Q83" s="34" t="str">
        <f aca="false">IF(OR(O83="",P83=""),"",ROUND(O83*P83,2))</f>
        <v/>
      </c>
      <c r="R83" s="48"/>
      <c r="S83" s="46"/>
      <c r="T83" s="33" t="str">
        <f aca="false">IF(I83="","",IFERROR(INDEX(参数表!$H$13:$H$212,MATCH(I83,参数表!$A$13:$A$212,0)),"SKU未建档"))</f>
        <v/>
      </c>
      <c r="U83" s="34" t="str">
        <f aca="false">IF(A83="","",IF(参数表!$B$6="外贸企业",IF(S83="","",S83),IF(Q83="","",Q83)))</f>
        <v/>
      </c>
      <c r="V83" s="34" t="str">
        <f aca="false">IF(OR(U83="",NOT(ISNUMBER(T83))),"",ROUND(U83*T83,2))</f>
        <v/>
      </c>
      <c r="W83" s="43"/>
      <c r="X83" s="48"/>
      <c r="Y83" s="45"/>
      <c r="Z83" s="41"/>
      <c r="AA83" s="32" t="str">
        <f aca="false">IF(OR(L83="",Y83=""),"",Y83-L83)</f>
        <v/>
      </c>
      <c r="AB83" s="43"/>
      <c r="AC83" s="43"/>
    </row>
    <row r="84" customFormat="false" ht="21.75" hidden="false" customHeight="true" outlineLevel="0" collapsed="false">
      <c r="A84" s="29" t="str">
        <f aca="false">IF(OR(B84="",C84=""),"",B84&amp;"-"&amp;C84)</f>
        <v/>
      </c>
      <c r="B84" s="48"/>
      <c r="C84" s="40"/>
      <c r="D84" s="41"/>
      <c r="E84" s="42"/>
      <c r="F84" s="48"/>
      <c r="G84" s="43"/>
      <c r="H84" s="43"/>
      <c r="I84" s="44"/>
      <c r="J84" s="36" t="str">
        <f aca="false">IF(I84="","",IFERROR(INDEX(参数表!$D$13:$D$212,MATCH(I84,参数表!$A$13:$A$212,0)),"SKU未建档"))</f>
        <v/>
      </c>
      <c r="K84" s="36" t="str">
        <f aca="false">IF(I84="","",IFERROR(INDEX(参数表!$F$13:$F$212,MATCH(I84,参数表!$A$13:$A$212,0)),"SKU未建档"))</f>
        <v/>
      </c>
      <c r="L84" s="45"/>
      <c r="M84" s="35" t="str">
        <f aca="false">IF(I84="","",IFERROR(INDEX(参数表!$G$13:$G$212,MATCH(I84,参数表!$A$13:$A$212,0)),"SKU未建档"))</f>
        <v/>
      </c>
      <c r="N84" s="40"/>
      <c r="O84" s="46"/>
      <c r="P84" s="47"/>
      <c r="Q84" s="34" t="str">
        <f aca="false">IF(OR(O84="",P84=""),"",ROUND(O84*P84,2))</f>
        <v/>
      </c>
      <c r="R84" s="48"/>
      <c r="S84" s="46"/>
      <c r="T84" s="33" t="str">
        <f aca="false">IF(I84="","",IFERROR(INDEX(参数表!$H$13:$H$212,MATCH(I84,参数表!$A$13:$A$212,0)),"SKU未建档"))</f>
        <v/>
      </c>
      <c r="U84" s="34" t="str">
        <f aca="false">IF(A84="","",IF(参数表!$B$6="外贸企业",IF(S84="","",S84),IF(Q84="","",Q84)))</f>
        <v/>
      </c>
      <c r="V84" s="34" t="str">
        <f aca="false">IF(OR(U84="",NOT(ISNUMBER(T84))),"",ROUND(U84*T84,2))</f>
        <v/>
      </c>
      <c r="W84" s="43"/>
      <c r="X84" s="48"/>
      <c r="Y84" s="45"/>
      <c r="Z84" s="41"/>
      <c r="AA84" s="32" t="str">
        <f aca="false">IF(OR(L84="",Y84=""),"",Y84-L84)</f>
        <v/>
      </c>
      <c r="AB84" s="43"/>
      <c r="AC84" s="43"/>
    </row>
    <row r="85" customFormat="false" ht="21.75" hidden="false" customHeight="true" outlineLevel="0" collapsed="false">
      <c r="A85" s="29" t="str">
        <f aca="false">IF(OR(B85="",C85=""),"",B85&amp;"-"&amp;C85)</f>
        <v/>
      </c>
      <c r="B85" s="48"/>
      <c r="C85" s="40"/>
      <c r="D85" s="41"/>
      <c r="E85" s="42"/>
      <c r="F85" s="48"/>
      <c r="G85" s="43"/>
      <c r="H85" s="43"/>
      <c r="I85" s="44"/>
      <c r="J85" s="36" t="str">
        <f aca="false">IF(I85="","",IFERROR(INDEX(参数表!$D$13:$D$212,MATCH(I85,参数表!$A$13:$A$212,0)),"SKU未建档"))</f>
        <v/>
      </c>
      <c r="K85" s="36" t="str">
        <f aca="false">IF(I85="","",IFERROR(INDEX(参数表!$F$13:$F$212,MATCH(I85,参数表!$A$13:$A$212,0)),"SKU未建档"))</f>
        <v/>
      </c>
      <c r="L85" s="45"/>
      <c r="M85" s="35" t="str">
        <f aca="false">IF(I85="","",IFERROR(INDEX(参数表!$G$13:$G$212,MATCH(I85,参数表!$A$13:$A$212,0)),"SKU未建档"))</f>
        <v/>
      </c>
      <c r="N85" s="40"/>
      <c r="O85" s="46"/>
      <c r="P85" s="47"/>
      <c r="Q85" s="34" t="str">
        <f aca="false">IF(OR(O85="",P85=""),"",ROUND(O85*P85,2))</f>
        <v/>
      </c>
      <c r="R85" s="48"/>
      <c r="S85" s="46"/>
      <c r="T85" s="33" t="str">
        <f aca="false">IF(I85="","",IFERROR(INDEX(参数表!$H$13:$H$212,MATCH(I85,参数表!$A$13:$A$212,0)),"SKU未建档"))</f>
        <v/>
      </c>
      <c r="U85" s="34" t="str">
        <f aca="false">IF(A85="","",IF(参数表!$B$6="外贸企业",IF(S85="","",S85),IF(Q85="","",Q85)))</f>
        <v/>
      </c>
      <c r="V85" s="34" t="str">
        <f aca="false">IF(OR(U85="",NOT(ISNUMBER(T85))),"",ROUND(U85*T85,2))</f>
        <v/>
      </c>
      <c r="W85" s="43"/>
      <c r="X85" s="48"/>
      <c r="Y85" s="45"/>
      <c r="Z85" s="41"/>
      <c r="AA85" s="32" t="str">
        <f aca="false">IF(OR(L85="",Y85=""),"",Y85-L85)</f>
        <v/>
      </c>
      <c r="AB85" s="43"/>
      <c r="AC85" s="43"/>
    </row>
    <row r="86" customFormat="false" ht="21.75" hidden="false" customHeight="true" outlineLevel="0" collapsed="false">
      <c r="A86" s="29" t="str">
        <f aca="false">IF(OR(B86="",C86=""),"",B86&amp;"-"&amp;C86)</f>
        <v/>
      </c>
      <c r="B86" s="48"/>
      <c r="C86" s="40"/>
      <c r="D86" s="41"/>
      <c r="E86" s="42"/>
      <c r="F86" s="48"/>
      <c r="G86" s="43"/>
      <c r="H86" s="43"/>
      <c r="I86" s="44"/>
      <c r="J86" s="36" t="str">
        <f aca="false">IF(I86="","",IFERROR(INDEX(参数表!$D$13:$D$212,MATCH(I86,参数表!$A$13:$A$212,0)),"SKU未建档"))</f>
        <v/>
      </c>
      <c r="K86" s="36" t="str">
        <f aca="false">IF(I86="","",IFERROR(INDEX(参数表!$F$13:$F$212,MATCH(I86,参数表!$A$13:$A$212,0)),"SKU未建档"))</f>
        <v/>
      </c>
      <c r="L86" s="45"/>
      <c r="M86" s="35" t="str">
        <f aca="false">IF(I86="","",IFERROR(INDEX(参数表!$G$13:$G$212,MATCH(I86,参数表!$A$13:$A$212,0)),"SKU未建档"))</f>
        <v/>
      </c>
      <c r="N86" s="40"/>
      <c r="O86" s="46"/>
      <c r="P86" s="47"/>
      <c r="Q86" s="34" t="str">
        <f aca="false">IF(OR(O86="",P86=""),"",ROUND(O86*P86,2))</f>
        <v/>
      </c>
      <c r="R86" s="48"/>
      <c r="S86" s="46"/>
      <c r="T86" s="33" t="str">
        <f aca="false">IF(I86="","",IFERROR(INDEX(参数表!$H$13:$H$212,MATCH(I86,参数表!$A$13:$A$212,0)),"SKU未建档"))</f>
        <v/>
      </c>
      <c r="U86" s="34" t="str">
        <f aca="false">IF(A86="","",IF(参数表!$B$6="外贸企业",IF(S86="","",S86),IF(Q86="","",Q86)))</f>
        <v/>
      </c>
      <c r="V86" s="34" t="str">
        <f aca="false">IF(OR(U86="",NOT(ISNUMBER(T86))),"",ROUND(U86*T86,2))</f>
        <v/>
      </c>
      <c r="W86" s="43"/>
      <c r="X86" s="48"/>
      <c r="Y86" s="45"/>
      <c r="Z86" s="41"/>
      <c r="AA86" s="32" t="str">
        <f aca="false">IF(OR(L86="",Y86=""),"",Y86-L86)</f>
        <v/>
      </c>
      <c r="AB86" s="43"/>
      <c r="AC86" s="43"/>
    </row>
    <row r="87" customFormat="false" ht="21.75" hidden="false" customHeight="true" outlineLevel="0" collapsed="false">
      <c r="A87" s="29" t="str">
        <f aca="false">IF(OR(B87="",C87=""),"",B87&amp;"-"&amp;C87)</f>
        <v/>
      </c>
      <c r="B87" s="48"/>
      <c r="C87" s="40"/>
      <c r="D87" s="41"/>
      <c r="E87" s="42"/>
      <c r="F87" s="48"/>
      <c r="G87" s="43"/>
      <c r="H87" s="43"/>
      <c r="I87" s="44"/>
      <c r="J87" s="36" t="str">
        <f aca="false">IF(I87="","",IFERROR(INDEX(参数表!$D$13:$D$212,MATCH(I87,参数表!$A$13:$A$212,0)),"SKU未建档"))</f>
        <v/>
      </c>
      <c r="K87" s="36" t="str">
        <f aca="false">IF(I87="","",IFERROR(INDEX(参数表!$F$13:$F$212,MATCH(I87,参数表!$A$13:$A$212,0)),"SKU未建档"))</f>
        <v/>
      </c>
      <c r="L87" s="45"/>
      <c r="M87" s="35" t="str">
        <f aca="false">IF(I87="","",IFERROR(INDEX(参数表!$G$13:$G$212,MATCH(I87,参数表!$A$13:$A$212,0)),"SKU未建档"))</f>
        <v/>
      </c>
      <c r="N87" s="40"/>
      <c r="O87" s="46"/>
      <c r="P87" s="47"/>
      <c r="Q87" s="34" t="str">
        <f aca="false">IF(OR(O87="",P87=""),"",ROUND(O87*P87,2))</f>
        <v/>
      </c>
      <c r="R87" s="48"/>
      <c r="S87" s="46"/>
      <c r="T87" s="33" t="str">
        <f aca="false">IF(I87="","",IFERROR(INDEX(参数表!$H$13:$H$212,MATCH(I87,参数表!$A$13:$A$212,0)),"SKU未建档"))</f>
        <v/>
      </c>
      <c r="U87" s="34" t="str">
        <f aca="false">IF(A87="","",IF(参数表!$B$6="外贸企业",IF(S87="","",S87),IF(Q87="","",Q87)))</f>
        <v/>
      </c>
      <c r="V87" s="34" t="str">
        <f aca="false">IF(OR(U87="",NOT(ISNUMBER(T87))),"",ROUND(U87*T87,2))</f>
        <v/>
      </c>
      <c r="W87" s="43"/>
      <c r="X87" s="48"/>
      <c r="Y87" s="45"/>
      <c r="Z87" s="41"/>
      <c r="AA87" s="32" t="str">
        <f aca="false">IF(OR(L87="",Y87=""),"",Y87-L87)</f>
        <v/>
      </c>
      <c r="AB87" s="43"/>
      <c r="AC87" s="43"/>
    </row>
    <row r="88" customFormat="false" ht="21.75" hidden="false" customHeight="true" outlineLevel="0" collapsed="false">
      <c r="A88" s="29" t="str">
        <f aca="false">IF(OR(B88="",C88=""),"",B88&amp;"-"&amp;C88)</f>
        <v/>
      </c>
      <c r="B88" s="48"/>
      <c r="C88" s="40"/>
      <c r="D88" s="41"/>
      <c r="E88" s="42"/>
      <c r="F88" s="48"/>
      <c r="G88" s="43"/>
      <c r="H88" s="43"/>
      <c r="I88" s="44"/>
      <c r="J88" s="36" t="str">
        <f aca="false">IF(I88="","",IFERROR(INDEX(参数表!$D$13:$D$212,MATCH(I88,参数表!$A$13:$A$212,0)),"SKU未建档"))</f>
        <v/>
      </c>
      <c r="K88" s="36" t="str">
        <f aca="false">IF(I88="","",IFERROR(INDEX(参数表!$F$13:$F$212,MATCH(I88,参数表!$A$13:$A$212,0)),"SKU未建档"))</f>
        <v/>
      </c>
      <c r="L88" s="45"/>
      <c r="M88" s="35" t="str">
        <f aca="false">IF(I88="","",IFERROR(INDEX(参数表!$G$13:$G$212,MATCH(I88,参数表!$A$13:$A$212,0)),"SKU未建档"))</f>
        <v/>
      </c>
      <c r="N88" s="40"/>
      <c r="O88" s="46"/>
      <c r="P88" s="47"/>
      <c r="Q88" s="34" t="str">
        <f aca="false">IF(OR(O88="",P88=""),"",ROUND(O88*P88,2))</f>
        <v/>
      </c>
      <c r="R88" s="48"/>
      <c r="S88" s="46"/>
      <c r="T88" s="33" t="str">
        <f aca="false">IF(I88="","",IFERROR(INDEX(参数表!$H$13:$H$212,MATCH(I88,参数表!$A$13:$A$212,0)),"SKU未建档"))</f>
        <v/>
      </c>
      <c r="U88" s="34" t="str">
        <f aca="false">IF(A88="","",IF(参数表!$B$6="外贸企业",IF(S88="","",S88),IF(Q88="","",Q88)))</f>
        <v/>
      </c>
      <c r="V88" s="34" t="str">
        <f aca="false">IF(OR(U88="",NOT(ISNUMBER(T88))),"",ROUND(U88*T88,2))</f>
        <v/>
      </c>
      <c r="W88" s="43"/>
      <c r="X88" s="48"/>
      <c r="Y88" s="45"/>
      <c r="Z88" s="41"/>
      <c r="AA88" s="32" t="str">
        <f aca="false">IF(OR(L88="",Y88=""),"",Y88-L88)</f>
        <v/>
      </c>
      <c r="AB88" s="43"/>
      <c r="AC88" s="43"/>
    </row>
    <row r="89" customFormat="false" ht="21.75" hidden="false" customHeight="true" outlineLevel="0" collapsed="false">
      <c r="A89" s="29" t="str">
        <f aca="false">IF(OR(B89="",C89=""),"",B89&amp;"-"&amp;C89)</f>
        <v/>
      </c>
      <c r="B89" s="48"/>
      <c r="C89" s="40"/>
      <c r="D89" s="41"/>
      <c r="E89" s="42"/>
      <c r="F89" s="48"/>
      <c r="G89" s="43"/>
      <c r="H89" s="43"/>
      <c r="I89" s="44"/>
      <c r="J89" s="36" t="str">
        <f aca="false">IF(I89="","",IFERROR(INDEX(参数表!$D$13:$D$212,MATCH(I89,参数表!$A$13:$A$212,0)),"SKU未建档"))</f>
        <v/>
      </c>
      <c r="K89" s="36" t="str">
        <f aca="false">IF(I89="","",IFERROR(INDEX(参数表!$F$13:$F$212,MATCH(I89,参数表!$A$13:$A$212,0)),"SKU未建档"))</f>
        <v/>
      </c>
      <c r="L89" s="45"/>
      <c r="M89" s="35" t="str">
        <f aca="false">IF(I89="","",IFERROR(INDEX(参数表!$G$13:$G$212,MATCH(I89,参数表!$A$13:$A$212,0)),"SKU未建档"))</f>
        <v/>
      </c>
      <c r="N89" s="40"/>
      <c r="O89" s="46"/>
      <c r="P89" s="47"/>
      <c r="Q89" s="34" t="str">
        <f aca="false">IF(OR(O89="",P89=""),"",ROUND(O89*P89,2))</f>
        <v/>
      </c>
      <c r="R89" s="48"/>
      <c r="S89" s="46"/>
      <c r="T89" s="33" t="str">
        <f aca="false">IF(I89="","",IFERROR(INDEX(参数表!$H$13:$H$212,MATCH(I89,参数表!$A$13:$A$212,0)),"SKU未建档"))</f>
        <v/>
      </c>
      <c r="U89" s="34" t="str">
        <f aca="false">IF(A89="","",IF(参数表!$B$6="外贸企业",IF(S89="","",S89),IF(Q89="","",Q89)))</f>
        <v/>
      </c>
      <c r="V89" s="34" t="str">
        <f aca="false">IF(OR(U89="",NOT(ISNUMBER(T89))),"",ROUND(U89*T89,2))</f>
        <v/>
      </c>
      <c r="W89" s="43"/>
      <c r="X89" s="48"/>
      <c r="Y89" s="45"/>
      <c r="Z89" s="41"/>
      <c r="AA89" s="32" t="str">
        <f aca="false">IF(OR(L89="",Y89=""),"",Y89-L89)</f>
        <v/>
      </c>
      <c r="AB89" s="43"/>
      <c r="AC89" s="43"/>
    </row>
    <row r="90" customFormat="false" ht="21.75" hidden="false" customHeight="true" outlineLevel="0" collapsed="false">
      <c r="A90" s="29" t="str">
        <f aca="false">IF(OR(B90="",C90=""),"",B90&amp;"-"&amp;C90)</f>
        <v/>
      </c>
      <c r="B90" s="48"/>
      <c r="C90" s="40"/>
      <c r="D90" s="41"/>
      <c r="E90" s="42"/>
      <c r="F90" s="48"/>
      <c r="G90" s="43"/>
      <c r="H90" s="43"/>
      <c r="I90" s="44"/>
      <c r="J90" s="36" t="str">
        <f aca="false">IF(I90="","",IFERROR(INDEX(参数表!$D$13:$D$212,MATCH(I90,参数表!$A$13:$A$212,0)),"SKU未建档"))</f>
        <v/>
      </c>
      <c r="K90" s="36" t="str">
        <f aca="false">IF(I90="","",IFERROR(INDEX(参数表!$F$13:$F$212,MATCH(I90,参数表!$A$13:$A$212,0)),"SKU未建档"))</f>
        <v/>
      </c>
      <c r="L90" s="45"/>
      <c r="M90" s="35" t="str">
        <f aca="false">IF(I90="","",IFERROR(INDEX(参数表!$G$13:$G$212,MATCH(I90,参数表!$A$13:$A$212,0)),"SKU未建档"))</f>
        <v/>
      </c>
      <c r="N90" s="40"/>
      <c r="O90" s="46"/>
      <c r="P90" s="47"/>
      <c r="Q90" s="34" t="str">
        <f aca="false">IF(OR(O90="",P90=""),"",ROUND(O90*P90,2))</f>
        <v/>
      </c>
      <c r="R90" s="48"/>
      <c r="S90" s="46"/>
      <c r="T90" s="33" t="str">
        <f aca="false">IF(I90="","",IFERROR(INDEX(参数表!$H$13:$H$212,MATCH(I90,参数表!$A$13:$A$212,0)),"SKU未建档"))</f>
        <v/>
      </c>
      <c r="U90" s="34" t="str">
        <f aca="false">IF(A90="","",IF(参数表!$B$6="外贸企业",IF(S90="","",S90),IF(Q90="","",Q90)))</f>
        <v/>
      </c>
      <c r="V90" s="34" t="str">
        <f aca="false">IF(OR(U90="",NOT(ISNUMBER(T90))),"",ROUND(U90*T90,2))</f>
        <v/>
      </c>
      <c r="W90" s="43"/>
      <c r="X90" s="48"/>
      <c r="Y90" s="45"/>
      <c r="Z90" s="41"/>
      <c r="AA90" s="32" t="str">
        <f aca="false">IF(OR(L90="",Y90=""),"",Y90-L90)</f>
        <v/>
      </c>
      <c r="AB90" s="43"/>
      <c r="AC90" s="43"/>
    </row>
    <row r="91" customFormat="false" ht="21.75" hidden="false" customHeight="true" outlineLevel="0" collapsed="false">
      <c r="A91" s="29" t="str">
        <f aca="false">IF(OR(B91="",C91=""),"",B91&amp;"-"&amp;C91)</f>
        <v/>
      </c>
      <c r="B91" s="48"/>
      <c r="C91" s="40"/>
      <c r="D91" s="41"/>
      <c r="E91" s="42"/>
      <c r="F91" s="48"/>
      <c r="G91" s="43"/>
      <c r="H91" s="43"/>
      <c r="I91" s="44"/>
      <c r="J91" s="36" t="str">
        <f aca="false">IF(I91="","",IFERROR(INDEX(参数表!$D$13:$D$212,MATCH(I91,参数表!$A$13:$A$212,0)),"SKU未建档"))</f>
        <v/>
      </c>
      <c r="K91" s="36" t="str">
        <f aca="false">IF(I91="","",IFERROR(INDEX(参数表!$F$13:$F$212,MATCH(I91,参数表!$A$13:$A$212,0)),"SKU未建档"))</f>
        <v/>
      </c>
      <c r="L91" s="45"/>
      <c r="M91" s="35" t="str">
        <f aca="false">IF(I91="","",IFERROR(INDEX(参数表!$G$13:$G$212,MATCH(I91,参数表!$A$13:$A$212,0)),"SKU未建档"))</f>
        <v/>
      </c>
      <c r="N91" s="40"/>
      <c r="O91" s="46"/>
      <c r="P91" s="47"/>
      <c r="Q91" s="34" t="str">
        <f aca="false">IF(OR(O91="",P91=""),"",ROUND(O91*P91,2))</f>
        <v/>
      </c>
      <c r="R91" s="48"/>
      <c r="S91" s="46"/>
      <c r="T91" s="33" t="str">
        <f aca="false">IF(I91="","",IFERROR(INDEX(参数表!$H$13:$H$212,MATCH(I91,参数表!$A$13:$A$212,0)),"SKU未建档"))</f>
        <v/>
      </c>
      <c r="U91" s="34" t="str">
        <f aca="false">IF(A91="","",IF(参数表!$B$6="外贸企业",IF(S91="","",S91),IF(Q91="","",Q91)))</f>
        <v/>
      </c>
      <c r="V91" s="34" t="str">
        <f aca="false">IF(OR(U91="",NOT(ISNUMBER(T91))),"",ROUND(U91*T91,2))</f>
        <v/>
      </c>
      <c r="W91" s="43"/>
      <c r="X91" s="48"/>
      <c r="Y91" s="45"/>
      <c r="Z91" s="41"/>
      <c r="AA91" s="32" t="str">
        <f aca="false">IF(OR(L91="",Y91=""),"",Y91-L91)</f>
        <v/>
      </c>
      <c r="AB91" s="43"/>
      <c r="AC91" s="43"/>
    </row>
    <row r="92" customFormat="false" ht="21.75" hidden="false" customHeight="true" outlineLevel="0" collapsed="false">
      <c r="A92" s="29" t="str">
        <f aca="false">IF(OR(B92="",C92=""),"",B92&amp;"-"&amp;C92)</f>
        <v/>
      </c>
      <c r="B92" s="48"/>
      <c r="C92" s="40"/>
      <c r="D92" s="41"/>
      <c r="E92" s="42"/>
      <c r="F92" s="48"/>
      <c r="G92" s="43"/>
      <c r="H92" s="43"/>
      <c r="I92" s="44"/>
      <c r="J92" s="36" t="str">
        <f aca="false">IF(I92="","",IFERROR(INDEX(参数表!$D$13:$D$212,MATCH(I92,参数表!$A$13:$A$212,0)),"SKU未建档"))</f>
        <v/>
      </c>
      <c r="K92" s="36" t="str">
        <f aca="false">IF(I92="","",IFERROR(INDEX(参数表!$F$13:$F$212,MATCH(I92,参数表!$A$13:$A$212,0)),"SKU未建档"))</f>
        <v/>
      </c>
      <c r="L92" s="45"/>
      <c r="M92" s="35" t="str">
        <f aca="false">IF(I92="","",IFERROR(INDEX(参数表!$G$13:$G$212,MATCH(I92,参数表!$A$13:$A$212,0)),"SKU未建档"))</f>
        <v/>
      </c>
      <c r="N92" s="40"/>
      <c r="O92" s="46"/>
      <c r="P92" s="47"/>
      <c r="Q92" s="34" t="str">
        <f aca="false">IF(OR(O92="",P92=""),"",ROUND(O92*P92,2))</f>
        <v/>
      </c>
      <c r="R92" s="48"/>
      <c r="S92" s="46"/>
      <c r="T92" s="33" t="str">
        <f aca="false">IF(I92="","",IFERROR(INDEX(参数表!$H$13:$H$212,MATCH(I92,参数表!$A$13:$A$212,0)),"SKU未建档"))</f>
        <v/>
      </c>
      <c r="U92" s="34" t="str">
        <f aca="false">IF(A92="","",IF(参数表!$B$6="外贸企业",IF(S92="","",S92),IF(Q92="","",Q92)))</f>
        <v/>
      </c>
      <c r="V92" s="34" t="str">
        <f aca="false">IF(OR(U92="",NOT(ISNUMBER(T92))),"",ROUND(U92*T92,2))</f>
        <v/>
      </c>
      <c r="W92" s="43"/>
      <c r="X92" s="48"/>
      <c r="Y92" s="45"/>
      <c r="Z92" s="41"/>
      <c r="AA92" s="32" t="str">
        <f aca="false">IF(OR(L92="",Y92=""),"",Y92-L92)</f>
        <v/>
      </c>
      <c r="AB92" s="43"/>
      <c r="AC92" s="43"/>
    </row>
    <row r="93" customFormat="false" ht="21.75" hidden="false" customHeight="true" outlineLevel="0" collapsed="false">
      <c r="A93" s="29" t="str">
        <f aca="false">IF(OR(B93="",C93=""),"",B93&amp;"-"&amp;C93)</f>
        <v/>
      </c>
      <c r="B93" s="48"/>
      <c r="C93" s="40"/>
      <c r="D93" s="41"/>
      <c r="E93" s="42"/>
      <c r="F93" s="48"/>
      <c r="G93" s="43"/>
      <c r="H93" s="43"/>
      <c r="I93" s="44"/>
      <c r="J93" s="36" t="str">
        <f aca="false">IF(I93="","",IFERROR(INDEX(参数表!$D$13:$D$212,MATCH(I93,参数表!$A$13:$A$212,0)),"SKU未建档"))</f>
        <v/>
      </c>
      <c r="K93" s="36" t="str">
        <f aca="false">IF(I93="","",IFERROR(INDEX(参数表!$F$13:$F$212,MATCH(I93,参数表!$A$13:$A$212,0)),"SKU未建档"))</f>
        <v/>
      </c>
      <c r="L93" s="45"/>
      <c r="M93" s="35" t="str">
        <f aca="false">IF(I93="","",IFERROR(INDEX(参数表!$G$13:$G$212,MATCH(I93,参数表!$A$13:$A$212,0)),"SKU未建档"))</f>
        <v/>
      </c>
      <c r="N93" s="40"/>
      <c r="O93" s="46"/>
      <c r="P93" s="47"/>
      <c r="Q93" s="34" t="str">
        <f aca="false">IF(OR(O93="",P93=""),"",ROUND(O93*P93,2))</f>
        <v/>
      </c>
      <c r="R93" s="48"/>
      <c r="S93" s="46"/>
      <c r="T93" s="33" t="str">
        <f aca="false">IF(I93="","",IFERROR(INDEX(参数表!$H$13:$H$212,MATCH(I93,参数表!$A$13:$A$212,0)),"SKU未建档"))</f>
        <v/>
      </c>
      <c r="U93" s="34" t="str">
        <f aca="false">IF(A93="","",IF(参数表!$B$6="外贸企业",IF(S93="","",S93),IF(Q93="","",Q93)))</f>
        <v/>
      </c>
      <c r="V93" s="34" t="str">
        <f aca="false">IF(OR(U93="",NOT(ISNUMBER(T93))),"",ROUND(U93*T93,2))</f>
        <v/>
      </c>
      <c r="W93" s="43"/>
      <c r="X93" s="48"/>
      <c r="Y93" s="45"/>
      <c r="Z93" s="41"/>
      <c r="AA93" s="32" t="str">
        <f aca="false">IF(OR(L93="",Y93=""),"",Y93-L93)</f>
        <v/>
      </c>
      <c r="AB93" s="43"/>
      <c r="AC93" s="43"/>
    </row>
    <row r="94" customFormat="false" ht="21.75" hidden="false" customHeight="true" outlineLevel="0" collapsed="false">
      <c r="A94" s="29" t="str">
        <f aca="false">IF(OR(B94="",C94=""),"",B94&amp;"-"&amp;C94)</f>
        <v/>
      </c>
      <c r="B94" s="48"/>
      <c r="C94" s="40"/>
      <c r="D94" s="41"/>
      <c r="E94" s="42"/>
      <c r="F94" s="48"/>
      <c r="G94" s="43"/>
      <c r="H94" s="43"/>
      <c r="I94" s="44"/>
      <c r="J94" s="36" t="str">
        <f aca="false">IF(I94="","",IFERROR(INDEX(参数表!$D$13:$D$212,MATCH(I94,参数表!$A$13:$A$212,0)),"SKU未建档"))</f>
        <v/>
      </c>
      <c r="K94" s="36" t="str">
        <f aca="false">IF(I94="","",IFERROR(INDEX(参数表!$F$13:$F$212,MATCH(I94,参数表!$A$13:$A$212,0)),"SKU未建档"))</f>
        <v/>
      </c>
      <c r="L94" s="45"/>
      <c r="M94" s="35" t="str">
        <f aca="false">IF(I94="","",IFERROR(INDEX(参数表!$G$13:$G$212,MATCH(I94,参数表!$A$13:$A$212,0)),"SKU未建档"))</f>
        <v/>
      </c>
      <c r="N94" s="40"/>
      <c r="O94" s="46"/>
      <c r="P94" s="47"/>
      <c r="Q94" s="34" t="str">
        <f aca="false">IF(OR(O94="",P94=""),"",ROUND(O94*P94,2))</f>
        <v/>
      </c>
      <c r="R94" s="48"/>
      <c r="S94" s="46"/>
      <c r="T94" s="33" t="str">
        <f aca="false">IF(I94="","",IFERROR(INDEX(参数表!$H$13:$H$212,MATCH(I94,参数表!$A$13:$A$212,0)),"SKU未建档"))</f>
        <v/>
      </c>
      <c r="U94" s="34" t="str">
        <f aca="false">IF(A94="","",IF(参数表!$B$6="外贸企业",IF(S94="","",S94),IF(Q94="","",Q94)))</f>
        <v/>
      </c>
      <c r="V94" s="34" t="str">
        <f aca="false">IF(OR(U94="",NOT(ISNUMBER(T94))),"",ROUND(U94*T94,2))</f>
        <v/>
      </c>
      <c r="W94" s="43"/>
      <c r="X94" s="48"/>
      <c r="Y94" s="45"/>
      <c r="Z94" s="41"/>
      <c r="AA94" s="32" t="str">
        <f aca="false">IF(OR(L94="",Y94=""),"",Y94-L94)</f>
        <v/>
      </c>
      <c r="AB94" s="43"/>
      <c r="AC94" s="43"/>
    </row>
    <row r="95" customFormat="false" ht="21.75" hidden="false" customHeight="true" outlineLevel="0" collapsed="false">
      <c r="A95" s="29" t="str">
        <f aca="false">IF(OR(B95="",C95=""),"",B95&amp;"-"&amp;C95)</f>
        <v/>
      </c>
      <c r="B95" s="48"/>
      <c r="C95" s="40"/>
      <c r="D95" s="41"/>
      <c r="E95" s="42"/>
      <c r="F95" s="48"/>
      <c r="G95" s="43"/>
      <c r="H95" s="43"/>
      <c r="I95" s="44"/>
      <c r="J95" s="36" t="str">
        <f aca="false">IF(I95="","",IFERROR(INDEX(参数表!$D$13:$D$212,MATCH(I95,参数表!$A$13:$A$212,0)),"SKU未建档"))</f>
        <v/>
      </c>
      <c r="K95" s="36" t="str">
        <f aca="false">IF(I95="","",IFERROR(INDEX(参数表!$F$13:$F$212,MATCH(I95,参数表!$A$13:$A$212,0)),"SKU未建档"))</f>
        <v/>
      </c>
      <c r="L95" s="45"/>
      <c r="M95" s="35" t="str">
        <f aca="false">IF(I95="","",IFERROR(INDEX(参数表!$G$13:$G$212,MATCH(I95,参数表!$A$13:$A$212,0)),"SKU未建档"))</f>
        <v/>
      </c>
      <c r="N95" s="40"/>
      <c r="O95" s="46"/>
      <c r="P95" s="47"/>
      <c r="Q95" s="34" t="str">
        <f aca="false">IF(OR(O95="",P95=""),"",ROUND(O95*P95,2))</f>
        <v/>
      </c>
      <c r="R95" s="48"/>
      <c r="S95" s="46"/>
      <c r="T95" s="33" t="str">
        <f aca="false">IF(I95="","",IFERROR(INDEX(参数表!$H$13:$H$212,MATCH(I95,参数表!$A$13:$A$212,0)),"SKU未建档"))</f>
        <v/>
      </c>
      <c r="U95" s="34" t="str">
        <f aca="false">IF(A95="","",IF(参数表!$B$6="外贸企业",IF(S95="","",S95),IF(Q95="","",Q95)))</f>
        <v/>
      </c>
      <c r="V95" s="34" t="str">
        <f aca="false">IF(OR(U95="",NOT(ISNUMBER(T95))),"",ROUND(U95*T95,2))</f>
        <v/>
      </c>
      <c r="W95" s="43"/>
      <c r="X95" s="48"/>
      <c r="Y95" s="45"/>
      <c r="Z95" s="41"/>
      <c r="AA95" s="32" t="str">
        <f aca="false">IF(OR(L95="",Y95=""),"",Y95-L95)</f>
        <v/>
      </c>
      <c r="AB95" s="43"/>
      <c r="AC95" s="43"/>
    </row>
    <row r="96" customFormat="false" ht="21.75" hidden="false" customHeight="true" outlineLevel="0" collapsed="false">
      <c r="A96" s="29" t="str">
        <f aca="false">IF(OR(B96="",C96=""),"",B96&amp;"-"&amp;C96)</f>
        <v/>
      </c>
      <c r="B96" s="48"/>
      <c r="C96" s="40"/>
      <c r="D96" s="41"/>
      <c r="E96" s="42"/>
      <c r="F96" s="48"/>
      <c r="G96" s="43"/>
      <c r="H96" s="43"/>
      <c r="I96" s="44"/>
      <c r="J96" s="36" t="str">
        <f aca="false">IF(I96="","",IFERROR(INDEX(参数表!$D$13:$D$212,MATCH(I96,参数表!$A$13:$A$212,0)),"SKU未建档"))</f>
        <v/>
      </c>
      <c r="K96" s="36" t="str">
        <f aca="false">IF(I96="","",IFERROR(INDEX(参数表!$F$13:$F$212,MATCH(I96,参数表!$A$13:$A$212,0)),"SKU未建档"))</f>
        <v/>
      </c>
      <c r="L96" s="45"/>
      <c r="M96" s="35" t="str">
        <f aca="false">IF(I96="","",IFERROR(INDEX(参数表!$G$13:$G$212,MATCH(I96,参数表!$A$13:$A$212,0)),"SKU未建档"))</f>
        <v/>
      </c>
      <c r="N96" s="40"/>
      <c r="O96" s="46"/>
      <c r="P96" s="47"/>
      <c r="Q96" s="34" t="str">
        <f aca="false">IF(OR(O96="",P96=""),"",ROUND(O96*P96,2))</f>
        <v/>
      </c>
      <c r="R96" s="48"/>
      <c r="S96" s="46"/>
      <c r="T96" s="33" t="str">
        <f aca="false">IF(I96="","",IFERROR(INDEX(参数表!$H$13:$H$212,MATCH(I96,参数表!$A$13:$A$212,0)),"SKU未建档"))</f>
        <v/>
      </c>
      <c r="U96" s="34" t="str">
        <f aca="false">IF(A96="","",IF(参数表!$B$6="外贸企业",IF(S96="","",S96),IF(Q96="","",Q96)))</f>
        <v/>
      </c>
      <c r="V96" s="34" t="str">
        <f aca="false">IF(OR(U96="",NOT(ISNUMBER(T96))),"",ROUND(U96*T96,2))</f>
        <v/>
      </c>
      <c r="W96" s="43"/>
      <c r="X96" s="48"/>
      <c r="Y96" s="45"/>
      <c r="Z96" s="41"/>
      <c r="AA96" s="32" t="str">
        <f aca="false">IF(OR(L96="",Y96=""),"",Y96-L96)</f>
        <v/>
      </c>
      <c r="AB96" s="43"/>
      <c r="AC96" s="43"/>
    </row>
    <row r="97" customFormat="false" ht="21.75" hidden="false" customHeight="true" outlineLevel="0" collapsed="false">
      <c r="A97" s="29" t="str">
        <f aca="false">IF(OR(B97="",C97=""),"",B97&amp;"-"&amp;C97)</f>
        <v/>
      </c>
      <c r="B97" s="48"/>
      <c r="C97" s="40"/>
      <c r="D97" s="41"/>
      <c r="E97" s="42"/>
      <c r="F97" s="48"/>
      <c r="G97" s="43"/>
      <c r="H97" s="43"/>
      <c r="I97" s="44"/>
      <c r="J97" s="36" t="str">
        <f aca="false">IF(I97="","",IFERROR(INDEX(参数表!$D$13:$D$212,MATCH(I97,参数表!$A$13:$A$212,0)),"SKU未建档"))</f>
        <v/>
      </c>
      <c r="K97" s="36" t="str">
        <f aca="false">IF(I97="","",IFERROR(INDEX(参数表!$F$13:$F$212,MATCH(I97,参数表!$A$13:$A$212,0)),"SKU未建档"))</f>
        <v/>
      </c>
      <c r="L97" s="45"/>
      <c r="M97" s="35" t="str">
        <f aca="false">IF(I97="","",IFERROR(INDEX(参数表!$G$13:$G$212,MATCH(I97,参数表!$A$13:$A$212,0)),"SKU未建档"))</f>
        <v/>
      </c>
      <c r="N97" s="40"/>
      <c r="O97" s="46"/>
      <c r="P97" s="47"/>
      <c r="Q97" s="34" t="str">
        <f aca="false">IF(OR(O97="",P97=""),"",ROUND(O97*P97,2))</f>
        <v/>
      </c>
      <c r="R97" s="48"/>
      <c r="S97" s="46"/>
      <c r="T97" s="33" t="str">
        <f aca="false">IF(I97="","",IFERROR(INDEX(参数表!$H$13:$H$212,MATCH(I97,参数表!$A$13:$A$212,0)),"SKU未建档"))</f>
        <v/>
      </c>
      <c r="U97" s="34" t="str">
        <f aca="false">IF(A97="","",IF(参数表!$B$6="外贸企业",IF(S97="","",S97),IF(Q97="","",Q97)))</f>
        <v/>
      </c>
      <c r="V97" s="34" t="str">
        <f aca="false">IF(OR(U97="",NOT(ISNUMBER(T97))),"",ROUND(U97*T97,2))</f>
        <v/>
      </c>
      <c r="W97" s="43"/>
      <c r="X97" s="48"/>
      <c r="Y97" s="45"/>
      <c r="Z97" s="41"/>
      <c r="AA97" s="32" t="str">
        <f aca="false">IF(OR(L97="",Y97=""),"",Y97-L97)</f>
        <v/>
      </c>
      <c r="AB97" s="43"/>
      <c r="AC97" s="43"/>
    </row>
    <row r="98" customFormat="false" ht="21.75" hidden="false" customHeight="true" outlineLevel="0" collapsed="false">
      <c r="A98" s="29" t="str">
        <f aca="false">IF(OR(B98="",C98=""),"",B98&amp;"-"&amp;C98)</f>
        <v/>
      </c>
      <c r="B98" s="48"/>
      <c r="C98" s="40"/>
      <c r="D98" s="41"/>
      <c r="E98" s="42"/>
      <c r="F98" s="48"/>
      <c r="G98" s="43"/>
      <c r="H98" s="43"/>
      <c r="I98" s="44"/>
      <c r="J98" s="36" t="str">
        <f aca="false">IF(I98="","",IFERROR(INDEX(参数表!$D$13:$D$212,MATCH(I98,参数表!$A$13:$A$212,0)),"SKU未建档"))</f>
        <v/>
      </c>
      <c r="K98" s="36" t="str">
        <f aca="false">IF(I98="","",IFERROR(INDEX(参数表!$F$13:$F$212,MATCH(I98,参数表!$A$13:$A$212,0)),"SKU未建档"))</f>
        <v/>
      </c>
      <c r="L98" s="45"/>
      <c r="M98" s="35" t="str">
        <f aca="false">IF(I98="","",IFERROR(INDEX(参数表!$G$13:$G$212,MATCH(I98,参数表!$A$13:$A$212,0)),"SKU未建档"))</f>
        <v/>
      </c>
      <c r="N98" s="40"/>
      <c r="O98" s="46"/>
      <c r="P98" s="47"/>
      <c r="Q98" s="34" t="str">
        <f aca="false">IF(OR(O98="",P98=""),"",ROUND(O98*P98,2))</f>
        <v/>
      </c>
      <c r="R98" s="48"/>
      <c r="S98" s="46"/>
      <c r="T98" s="33" t="str">
        <f aca="false">IF(I98="","",IFERROR(INDEX(参数表!$H$13:$H$212,MATCH(I98,参数表!$A$13:$A$212,0)),"SKU未建档"))</f>
        <v/>
      </c>
      <c r="U98" s="34" t="str">
        <f aca="false">IF(A98="","",IF(参数表!$B$6="外贸企业",IF(S98="","",S98),IF(Q98="","",Q98)))</f>
        <v/>
      </c>
      <c r="V98" s="34" t="str">
        <f aca="false">IF(OR(U98="",NOT(ISNUMBER(T98))),"",ROUND(U98*T98,2))</f>
        <v/>
      </c>
      <c r="W98" s="43"/>
      <c r="X98" s="48"/>
      <c r="Y98" s="45"/>
      <c r="Z98" s="41"/>
      <c r="AA98" s="32" t="str">
        <f aca="false">IF(OR(L98="",Y98=""),"",Y98-L98)</f>
        <v/>
      </c>
      <c r="AB98" s="43"/>
      <c r="AC98" s="43"/>
    </row>
    <row r="99" customFormat="false" ht="21.75" hidden="false" customHeight="true" outlineLevel="0" collapsed="false">
      <c r="A99" s="29" t="str">
        <f aca="false">IF(OR(B99="",C99=""),"",B99&amp;"-"&amp;C99)</f>
        <v/>
      </c>
      <c r="B99" s="48"/>
      <c r="C99" s="40"/>
      <c r="D99" s="41"/>
      <c r="E99" s="42"/>
      <c r="F99" s="48"/>
      <c r="G99" s="43"/>
      <c r="H99" s="43"/>
      <c r="I99" s="44"/>
      <c r="J99" s="36" t="str">
        <f aca="false">IF(I99="","",IFERROR(INDEX(参数表!$D$13:$D$212,MATCH(I99,参数表!$A$13:$A$212,0)),"SKU未建档"))</f>
        <v/>
      </c>
      <c r="K99" s="36" t="str">
        <f aca="false">IF(I99="","",IFERROR(INDEX(参数表!$F$13:$F$212,MATCH(I99,参数表!$A$13:$A$212,0)),"SKU未建档"))</f>
        <v/>
      </c>
      <c r="L99" s="45"/>
      <c r="M99" s="35" t="str">
        <f aca="false">IF(I99="","",IFERROR(INDEX(参数表!$G$13:$G$212,MATCH(I99,参数表!$A$13:$A$212,0)),"SKU未建档"))</f>
        <v/>
      </c>
      <c r="N99" s="40"/>
      <c r="O99" s="46"/>
      <c r="P99" s="47"/>
      <c r="Q99" s="34" t="str">
        <f aca="false">IF(OR(O99="",P99=""),"",ROUND(O99*P99,2))</f>
        <v/>
      </c>
      <c r="R99" s="48"/>
      <c r="S99" s="46"/>
      <c r="T99" s="33" t="str">
        <f aca="false">IF(I99="","",IFERROR(INDEX(参数表!$H$13:$H$212,MATCH(I99,参数表!$A$13:$A$212,0)),"SKU未建档"))</f>
        <v/>
      </c>
      <c r="U99" s="34" t="str">
        <f aca="false">IF(A99="","",IF(参数表!$B$6="外贸企业",IF(S99="","",S99),IF(Q99="","",Q99)))</f>
        <v/>
      </c>
      <c r="V99" s="34" t="str">
        <f aca="false">IF(OR(U99="",NOT(ISNUMBER(T99))),"",ROUND(U99*T99,2))</f>
        <v/>
      </c>
      <c r="W99" s="43"/>
      <c r="X99" s="48"/>
      <c r="Y99" s="45"/>
      <c r="Z99" s="41"/>
      <c r="AA99" s="32" t="str">
        <f aca="false">IF(OR(L99="",Y99=""),"",Y99-L99)</f>
        <v/>
      </c>
      <c r="AB99" s="43"/>
      <c r="AC99" s="43"/>
    </row>
    <row r="100" customFormat="false" ht="21.75" hidden="false" customHeight="true" outlineLevel="0" collapsed="false">
      <c r="A100" s="29" t="str">
        <f aca="false">IF(OR(B100="",C100=""),"",B100&amp;"-"&amp;C100)</f>
        <v/>
      </c>
      <c r="B100" s="48"/>
      <c r="C100" s="40"/>
      <c r="D100" s="41"/>
      <c r="E100" s="42"/>
      <c r="F100" s="48"/>
      <c r="G100" s="43"/>
      <c r="H100" s="43"/>
      <c r="I100" s="44"/>
      <c r="J100" s="36" t="str">
        <f aca="false">IF(I100="","",IFERROR(INDEX(参数表!$D$13:$D$212,MATCH(I100,参数表!$A$13:$A$212,0)),"SKU未建档"))</f>
        <v/>
      </c>
      <c r="K100" s="36" t="str">
        <f aca="false">IF(I100="","",IFERROR(INDEX(参数表!$F$13:$F$212,MATCH(I100,参数表!$A$13:$A$212,0)),"SKU未建档"))</f>
        <v/>
      </c>
      <c r="L100" s="45"/>
      <c r="M100" s="35" t="str">
        <f aca="false">IF(I100="","",IFERROR(INDEX(参数表!$G$13:$G$212,MATCH(I100,参数表!$A$13:$A$212,0)),"SKU未建档"))</f>
        <v/>
      </c>
      <c r="N100" s="40"/>
      <c r="O100" s="46"/>
      <c r="P100" s="47"/>
      <c r="Q100" s="34" t="str">
        <f aca="false">IF(OR(O100="",P100=""),"",ROUND(O100*P100,2))</f>
        <v/>
      </c>
      <c r="R100" s="48"/>
      <c r="S100" s="46"/>
      <c r="T100" s="33" t="str">
        <f aca="false">IF(I100="","",IFERROR(INDEX(参数表!$H$13:$H$212,MATCH(I100,参数表!$A$13:$A$212,0)),"SKU未建档"))</f>
        <v/>
      </c>
      <c r="U100" s="34" t="str">
        <f aca="false">IF(A100="","",IF(参数表!$B$6="外贸企业",IF(S100="","",S100),IF(Q100="","",Q100)))</f>
        <v/>
      </c>
      <c r="V100" s="34" t="str">
        <f aca="false">IF(OR(U100="",NOT(ISNUMBER(T100))),"",ROUND(U100*T100,2))</f>
        <v/>
      </c>
      <c r="W100" s="43"/>
      <c r="X100" s="48"/>
      <c r="Y100" s="45"/>
      <c r="Z100" s="41"/>
      <c r="AA100" s="32" t="str">
        <f aca="false">IF(OR(L100="",Y100=""),"",Y100-L100)</f>
        <v/>
      </c>
      <c r="AB100" s="43"/>
      <c r="AC100" s="43"/>
    </row>
    <row r="101" customFormat="false" ht="21.75" hidden="false" customHeight="true" outlineLevel="0" collapsed="false">
      <c r="A101" s="29" t="str">
        <f aca="false">IF(OR(B101="",C101=""),"",B101&amp;"-"&amp;C101)</f>
        <v/>
      </c>
      <c r="B101" s="48"/>
      <c r="C101" s="40"/>
      <c r="D101" s="41"/>
      <c r="E101" s="42"/>
      <c r="F101" s="48"/>
      <c r="G101" s="43"/>
      <c r="H101" s="43"/>
      <c r="I101" s="44"/>
      <c r="J101" s="36" t="str">
        <f aca="false">IF(I101="","",IFERROR(INDEX(参数表!$D$13:$D$212,MATCH(I101,参数表!$A$13:$A$212,0)),"SKU未建档"))</f>
        <v/>
      </c>
      <c r="K101" s="36" t="str">
        <f aca="false">IF(I101="","",IFERROR(INDEX(参数表!$F$13:$F$212,MATCH(I101,参数表!$A$13:$A$212,0)),"SKU未建档"))</f>
        <v/>
      </c>
      <c r="L101" s="45"/>
      <c r="M101" s="35" t="str">
        <f aca="false">IF(I101="","",IFERROR(INDEX(参数表!$G$13:$G$212,MATCH(I101,参数表!$A$13:$A$212,0)),"SKU未建档"))</f>
        <v/>
      </c>
      <c r="N101" s="40"/>
      <c r="O101" s="46"/>
      <c r="P101" s="47"/>
      <c r="Q101" s="34" t="str">
        <f aca="false">IF(OR(O101="",P101=""),"",ROUND(O101*P101,2))</f>
        <v/>
      </c>
      <c r="R101" s="48"/>
      <c r="S101" s="46"/>
      <c r="T101" s="33" t="str">
        <f aca="false">IF(I101="","",IFERROR(INDEX(参数表!$H$13:$H$212,MATCH(I101,参数表!$A$13:$A$212,0)),"SKU未建档"))</f>
        <v/>
      </c>
      <c r="U101" s="34" t="str">
        <f aca="false">IF(A101="","",IF(参数表!$B$6="外贸企业",IF(S101="","",S101),IF(Q101="","",Q101)))</f>
        <v/>
      </c>
      <c r="V101" s="34" t="str">
        <f aca="false">IF(OR(U101="",NOT(ISNUMBER(T101))),"",ROUND(U101*T101,2))</f>
        <v/>
      </c>
      <c r="W101" s="43"/>
      <c r="X101" s="48"/>
      <c r="Y101" s="45"/>
      <c r="Z101" s="41"/>
      <c r="AA101" s="32" t="str">
        <f aca="false">IF(OR(L101="",Y101=""),"",Y101-L101)</f>
        <v/>
      </c>
      <c r="AB101" s="43"/>
      <c r="AC101" s="43"/>
    </row>
    <row r="102" customFormat="false" ht="21.75" hidden="false" customHeight="true" outlineLevel="0" collapsed="false">
      <c r="A102" s="29" t="str">
        <f aca="false">IF(OR(B102="",C102=""),"",B102&amp;"-"&amp;C102)</f>
        <v/>
      </c>
      <c r="B102" s="48"/>
      <c r="C102" s="40"/>
      <c r="D102" s="41"/>
      <c r="E102" s="42"/>
      <c r="F102" s="48"/>
      <c r="G102" s="43"/>
      <c r="H102" s="43"/>
      <c r="I102" s="44"/>
      <c r="J102" s="36" t="str">
        <f aca="false">IF(I102="","",IFERROR(INDEX(参数表!$D$13:$D$212,MATCH(I102,参数表!$A$13:$A$212,0)),"SKU未建档"))</f>
        <v/>
      </c>
      <c r="K102" s="36" t="str">
        <f aca="false">IF(I102="","",IFERROR(INDEX(参数表!$F$13:$F$212,MATCH(I102,参数表!$A$13:$A$212,0)),"SKU未建档"))</f>
        <v/>
      </c>
      <c r="L102" s="45"/>
      <c r="M102" s="35" t="str">
        <f aca="false">IF(I102="","",IFERROR(INDEX(参数表!$G$13:$G$212,MATCH(I102,参数表!$A$13:$A$212,0)),"SKU未建档"))</f>
        <v/>
      </c>
      <c r="N102" s="40"/>
      <c r="O102" s="46"/>
      <c r="P102" s="47"/>
      <c r="Q102" s="34" t="str">
        <f aca="false">IF(OR(O102="",P102=""),"",ROUND(O102*P102,2))</f>
        <v/>
      </c>
      <c r="R102" s="48"/>
      <c r="S102" s="46"/>
      <c r="T102" s="33" t="str">
        <f aca="false">IF(I102="","",IFERROR(INDEX(参数表!$H$13:$H$212,MATCH(I102,参数表!$A$13:$A$212,0)),"SKU未建档"))</f>
        <v/>
      </c>
      <c r="U102" s="34" t="str">
        <f aca="false">IF(A102="","",IF(参数表!$B$6="外贸企业",IF(S102="","",S102),IF(Q102="","",Q102)))</f>
        <v/>
      </c>
      <c r="V102" s="34" t="str">
        <f aca="false">IF(OR(U102="",NOT(ISNUMBER(T102))),"",ROUND(U102*T102,2))</f>
        <v/>
      </c>
      <c r="W102" s="43"/>
      <c r="X102" s="48"/>
      <c r="Y102" s="45"/>
      <c r="Z102" s="41"/>
      <c r="AA102" s="32" t="str">
        <f aca="false">IF(OR(L102="",Y102=""),"",Y102-L102)</f>
        <v/>
      </c>
      <c r="AB102" s="43"/>
      <c r="AC102" s="43"/>
    </row>
    <row r="103" customFormat="false" ht="21.75" hidden="false" customHeight="true" outlineLevel="0" collapsed="false">
      <c r="A103" s="29" t="str">
        <f aca="false">IF(OR(B103="",C103=""),"",B103&amp;"-"&amp;C103)</f>
        <v/>
      </c>
      <c r="B103" s="48"/>
      <c r="C103" s="40"/>
      <c r="D103" s="41"/>
      <c r="E103" s="42"/>
      <c r="F103" s="48"/>
      <c r="G103" s="43"/>
      <c r="H103" s="43"/>
      <c r="I103" s="44"/>
      <c r="J103" s="36" t="str">
        <f aca="false">IF(I103="","",IFERROR(INDEX(参数表!$D$13:$D$212,MATCH(I103,参数表!$A$13:$A$212,0)),"SKU未建档"))</f>
        <v/>
      </c>
      <c r="K103" s="36" t="str">
        <f aca="false">IF(I103="","",IFERROR(INDEX(参数表!$F$13:$F$212,MATCH(I103,参数表!$A$13:$A$212,0)),"SKU未建档"))</f>
        <v/>
      </c>
      <c r="L103" s="45"/>
      <c r="M103" s="35" t="str">
        <f aca="false">IF(I103="","",IFERROR(INDEX(参数表!$G$13:$G$212,MATCH(I103,参数表!$A$13:$A$212,0)),"SKU未建档"))</f>
        <v/>
      </c>
      <c r="N103" s="40"/>
      <c r="O103" s="46"/>
      <c r="P103" s="47"/>
      <c r="Q103" s="34" t="str">
        <f aca="false">IF(OR(O103="",P103=""),"",ROUND(O103*P103,2))</f>
        <v/>
      </c>
      <c r="R103" s="48"/>
      <c r="S103" s="46"/>
      <c r="T103" s="33" t="str">
        <f aca="false">IF(I103="","",IFERROR(INDEX(参数表!$H$13:$H$212,MATCH(I103,参数表!$A$13:$A$212,0)),"SKU未建档"))</f>
        <v/>
      </c>
      <c r="U103" s="34" t="str">
        <f aca="false">IF(A103="","",IF(参数表!$B$6="外贸企业",IF(S103="","",S103),IF(Q103="","",Q103)))</f>
        <v/>
      </c>
      <c r="V103" s="34" t="str">
        <f aca="false">IF(OR(U103="",NOT(ISNUMBER(T103))),"",ROUND(U103*T103,2))</f>
        <v/>
      </c>
      <c r="W103" s="43"/>
      <c r="X103" s="48"/>
      <c r="Y103" s="45"/>
      <c r="Z103" s="41"/>
      <c r="AA103" s="32" t="str">
        <f aca="false">IF(OR(L103="",Y103=""),"",Y103-L103)</f>
        <v/>
      </c>
      <c r="AB103" s="43"/>
      <c r="AC103" s="43"/>
    </row>
    <row r="104" customFormat="false" ht="21.75" hidden="false" customHeight="true" outlineLevel="0" collapsed="false">
      <c r="A104" s="29" t="str">
        <f aca="false">IF(OR(B104="",C104=""),"",B104&amp;"-"&amp;C104)</f>
        <v/>
      </c>
      <c r="B104" s="48"/>
      <c r="C104" s="40"/>
      <c r="D104" s="41"/>
      <c r="E104" s="42"/>
      <c r="F104" s="48"/>
      <c r="G104" s="43"/>
      <c r="H104" s="43"/>
      <c r="I104" s="44"/>
      <c r="J104" s="36" t="str">
        <f aca="false">IF(I104="","",IFERROR(INDEX(参数表!$D$13:$D$212,MATCH(I104,参数表!$A$13:$A$212,0)),"SKU未建档"))</f>
        <v/>
      </c>
      <c r="K104" s="36" t="str">
        <f aca="false">IF(I104="","",IFERROR(INDEX(参数表!$F$13:$F$212,MATCH(I104,参数表!$A$13:$A$212,0)),"SKU未建档"))</f>
        <v/>
      </c>
      <c r="L104" s="45"/>
      <c r="M104" s="35" t="str">
        <f aca="false">IF(I104="","",IFERROR(INDEX(参数表!$G$13:$G$212,MATCH(I104,参数表!$A$13:$A$212,0)),"SKU未建档"))</f>
        <v/>
      </c>
      <c r="N104" s="40"/>
      <c r="O104" s="46"/>
      <c r="P104" s="47"/>
      <c r="Q104" s="34" t="str">
        <f aca="false">IF(OR(O104="",P104=""),"",ROUND(O104*P104,2))</f>
        <v/>
      </c>
      <c r="R104" s="48"/>
      <c r="S104" s="46"/>
      <c r="T104" s="33" t="str">
        <f aca="false">IF(I104="","",IFERROR(INDEX(参数表!$H$13:$H$212,MATCH(I104,参数表!$A$13:$A$212,0)),"SKU未建档"))</f>
        <v/>
      </c>
      <c r="U104" s="34" t="str">
        <f aca="false">IF(A104="","",IF(参数表!$B$6="外贸企业",IF(S104="","",S104),IF(Q104="","",Q104)))</f>
        <v/>
      </c>
      <c r="V104" s="34" t="str">
        <f aca="false">IF(OR(U104="",NOT(ISNUMBER(T104))),"",ROUND(U104*T104,2))</f>
        <v/>
      </c>
      <c r="W104" s="43"/>
      <c r="X104" s="48"/>
      <c r="Y104" s="45"/>
      <c r="Z104" s="41"/>
      <c r="AA104" s="32" t="str">
        <f aca="false">IF(OR(L104="",Y104=""),"",Y104-L104)</f>
        <v/>
      </c>
      <c r="AB104" s="43"/>
      <c r="AC104" s="43"/>
    </row>
    <row r="105" customFormat="false" ht="21.75" hidden="false" customHeight="true" outlineLevel="0" collapsed="false">
      <c r="A105" s="29" t="str">
        <f aca="false">IF(OR(B105="",C105=""),"",B105&amp;"-"&amp;C105)</f>
        <v/>
      </c>
      <c r="B105" s="48"/>
      <c r="C105" s="40"/>
      <c r="D105" s="41"/>
      <c r="E105" s="42"/>
      <c r="F105" s="48"/>
      <c r="G105" s="43"/>
      <c r="H105" s="43"/>
      <c r="I105" s="44"/>
      <c r="J105" s="36" t="str">
        <f aca="false">IF(I105="","",IFERROR(INDEX(参数表!$D$13:$D$212,MATCH(I105,参数表!$A$13:$A$212,0)),"SKU未建档"))</f>
        <v/>
      </c>
      <c r="K105" s="36" t="str">
        <f aca="false">IF(I105="","",IFERROR(INDEX(参数表!$F$13:$F$212,MATCH(I105,参数表!$A$13:$A$212,0)),"SKU未建档"))</f>
        <v/>
      </c>
      <c r="L105" s="45"/>
      <c r="M105" s="35" t="str">
        <f aca="false">IF(I105="","",IFERROR(INDEX(参数表!$G$13:$G$212,MATCH(I105,参数表!$A$13:$A$212,0)),"SKU未建档"))</f>
        <v/>
      </c>
      <c r="N105" s="40"/>
      <c r="O105" s="46"/>
      <c r="P105" s="47"/>
      <c r="Q105" s="34" t="str">
        <f aca="false">IF(OR(O105="",P105=""),"",ROUND(O105*P105,2))</f>
        <v/>
      </c>
      <c r="R105" s="48"/>
      <c r="S105" s="46"/>
      <c r="T105" s="33" t="str">
        <f aca="false">IF(I105="","",IFERROR(INDEX(参数表!$H$13:$H$212,MATCH(I105,参数表!$A$13:$A$212,0)),"SKU未建档"))</f>
        <v/>
      </c>
      <c r="U105" s="34" t="str">
        <f aca="false">IF(A105="","",IF(参数表!$B$6="外贸企业",IF(S105="","",S105),IF(Q105="","",Q105)))</f>
        <v/>
      </c>
      <c r="V105" s="34" t="str">
        <f aca="false">IF(OR(U105="",NOT(ISNUMBER(T105))),"",ROUND(U105*T105,2))</f>
        <v/>
      </c>
      <c r="W105" s="43"/>
      <c r="X105" s="48"/>
      <c r="Y105" s="45"/>
      <c r="Z105" s="41"/>
      <c r="AA105" s="32" t="str">
        <f aca="false">IF(OR(L105="",Y105=""),"",Y105-L105)</f>
        <v/>
      </c>
      <c r="AB105" s="43"/>
      <c r="AC105" s="43"/>
    </row>
    <row r="106" customFormat="false" ht="21.75" hidden="false" customHeight="true" outlineLevel="0" collapsed="false">
      <c r="A106" s="29" t="str">
        <f aca="false">IF(OR(B106="",C106=""),"",B106&amp;"-"&amp;C106)</f>
        <v/>
      </c>
      <c r="B106" s="48"/>
      <c r="C106" s="40"/>
      <c r="D106" s="41"/>
      <c r="E106" s="42"/>
      <c r="F106" s="48"/>
      <c r="G106" s="43"/>
      <c r="H106" s="43"/>
      <c r="I106" s="44"/>
      <c r="J106" s="36" t="str">
        <f aca="false">IF(I106="","",IFERROR(INDEX(参数表!$D$13:$D$212,MATCH(I106,参数表!$A$13:$A$212,0)),"SKU未建档"))</f>
        <v/>
      </c>
      <c r="K106" s="36" t="str">
        <f aca="false">IF(I106="","",IFERROR(INDEX(参数表!$F$13:$F$212,MATCH(I106,参数表!$A$13:$A$212,0)),"SKU未建档"))</f>
        <v/>
      </c>
      <c r="L106" s="45"/>
      <c r="M106" s="35" t="str">
        <f aca="false">IF(I106="","",IFERROR(INDEX(参数表!$G$13:$G$212,MATCH(I106,参数表!$A$13:$A$212,0)),"SKU未建档"))</f>
        <v/>
      </c>
      <c r="N106" s="40"/>
      <c r="O106" s="46"/>
      <c r="P106" s="47"/>
      <c r="Q106" s="34" t="str">
        <f aca="false">IF(OR(O106="",P106=""),"",ROUND(O106*P106,2))</f>
        <v/>
      </c>
      <c r="R106" s="48"/>
      <c r="S106" s="46"/>
      <c r="T106" s="33" t="str">
        <f aca="false">IF(I106="","",IFERROR(INDEX(参数表!$H$13:$H$212,MATCH(I106,参数表!$A$13:$A$212,0)),"SKU未建档"))</f>
        <v/>
      </c>
      <c r="U106" s="34" t="str">
        <f aca="false">IF(A106="","",IF(参数表!$B$6="外贸企业",IF(S106="","",S106),IF(Q106="","",Q106)))</f>
        <v/>
      </c>
      <c r="V106" s="34" t="str">
        <f aca="false">IF(OR(U106="",NOT(ISNUMBER(T106))),"",ROUND(U106*T106,2))</f>
        <v/>
      </c>
      <c r="W106" s="43"/>
      <c r="X106" s="48"/>
      <c r="Y106" s="45"/>
      <c r="Z106" s="41"/>
      <c r="AA106" s="32" t="str">
        <f aca="false">IF(OR(L106="",Y106=""),"",Y106-L106)</f>
        <v/>
      </c>
      <c r="AB106" s="43"/>
      <c r="AC106" s="43"/>
    </row>
    <row r="107" customFormat="false" ht="21.75" hidden="false" customHeight="true" outlineLevel="0" collapsed="false">
      <c r="A107" s="29" t="str">
        <f aca="false">IF(OR(B107="",C107=""),"",B107&amp;"-"&amp;C107)</f>
        <v/>
      </c>
      <c r="B107" s="48"/>
      <c r="C107" s="40"/>
      <c r="D107" s="41"/>
      <c r="E107" s="42"/>
      <c r="F107" s="48"/>
      <c r="G107" s="43"/>
      <c r="H107" s="43"/>
      <c r="I107" s="44"/>
      <c r="J107" s="36" t="str">
        <f aca="false">IF(I107="","",IFERROR(INDEX(参数表!$D$13:$D$212,MATCH(I107,参数表!$A$13:$A$212,0)),"SKU未建档"))</f>
        <v/>
      </c>
      <c r="K107" s="36" t="str">
        <f aca="false">IF(I107="","",IFERROR(INDEX(参数表!$F$13:$F$212,MATCH(I107,参数表!$A$13:$A$212,0)),"SKU未建档"))</f>
        <v/>
      </c>
      <c r="L107" s="45"/>
      <c r="M107" s="35" t="str">
        <f aca="false">IF(I107="","",IFERROR(INDEX(参数表!$G$13:$G$212,MATCH(I107,参数表!$A$13:$A$212,0)),"SKU未建档"))</f>
        <v/>
      </c>
      <c r="N107" s="40"/>
      <c r="O107" s="46"/>
      <c r="P107" s="47"/>
      <c r="Q107" s="34" t="str">
        <f aca="false">IF(OR(O107="",P107=""),"",ROUND(O107*P107,2))</f>
        <v/>
      </c>
      <c r="R107" s="48"/>
      <c r="S107" s="46"/>
      <c r="T107" s="33" t="str">
        <f aca="false">IF(I107="","",IFERROR(INDEX(参数表!$H$13:$H$212,MATCH(I107,参数表!$A$13:$A$212,0)),"SKU未建档"))</f>
        <v/>
      </c>
      <c r="U107" s="34" t="str">
        <f aca="false">IF(A107="","",IF(参数表!$B$6="外贸企业",IF(S107="","",S107),IF(Q107="","",Q107)))</f>
        <v/>
      </c>
      <c r="V107" s="34" t="str">
        <f aca="false">IF(OR(U107="",NOT(ISNUMBER(T107))),"",ROUND(U107*T107,2))</f>
        <v/>
      </c>
      <c r="W107" s="43"/>
      <c r="X107" s="48"/>
      <c r="Y107" s="45"/>
      <c r="Z107" s="41"/>
      <c r="AA107" s="32" t="str">
        <f aca="false">IF(OR(L107="",Y107=""),"",Y107-L107)</f>
        <v/>
      </c>
      <c r="AB107" s="43"/>
      <c r="AC107" s="43"/>
    </row>
    <row r="108" customFormat="false" ht="21.75" hidden="false" customHeight="true" outlineLevel="0" collapsed="false">
      <c r="A108" s="29" t="str">
        <f aca="false">IF(OR(B108="",C108=""),"",B108&amp;"-"&amp;C108)</f>
        <v/>
      </c>
      <c r="B108" s="48"/>
      <c r="C108" s="40"/>
      <c r="D108" s="41"/>
      <c r="E108" s="42"/>
      <c r="F108" s="48"/>
      <c r="G108" s="43"/>
      <c r="H108" s="43"/>
      <c r="I108" s="44"/>
      <c r="J108" s="36" t="str">
        <f aca="false">IF(I108="","",IFERROR(INDEX(参数表!$D$13:$D$212,MATCH(I108,参数表!$A$13:$A$212,0)),"SKU未建档"))</f>
        <v/>
      </c>
      <c r="K108" s="36" t="str">
        <f aca="false">IF(I108="","",IFERROR(INDEX(参数表!$F$13:$F$212,MATCH(I108,参数表!$A$13:$A$212,0)),"SKU未建档"))</f>
        <v/>
      </c>
      <c r="L108" s="45"/>
      <c r="M108" s="35" t="str">
        <f aca="false">IF(I108="","",IFERROR(INDEX(参数表!$G$13:$G$212,MATCH(I108,参数表!$A$13:$A$212,0)),"SKU未建档"))</f>
        <v/>
      </c>
      <c r="N108" s="40"/>
      <c r="O108" s="46"/>
      <c r="P108" s="47"/>
      <c r="Q108" s="34" t="str">
        <f aca="false">IF(OR(O108="",P108=""),"",ROUND(O108*P108,2))</f>
        <v/>
      </c>
      <c r="R108" s="48"/>
      <c r="S108" s="46"/>
      <c r="T108" s="33" t="str">
        <f aca="false">IF(I108="","",IFERROR(INDEX(参数表!$H$13:$H$212,MATCH(I108,参数表!$A$13:$A$212,0)),"SKU未建档"))</f>
        <v/>
      </c>
      <c r="U108" s="34" t="str">
        <f aca="false">IF(A108="","",IF(参数表!$B$6="外贸企业",IF(S108="","",S108),IF(Q108="","",Q108)))</f>
        <v/>
      </c>
      <c r="V108" s="34" t="str">
        <f aca="false">IF(OR(U108="",NOT(ISNUMBER(T108))),"",ROUND(U108*T108,2))</f>
        <v/>
      </c>
      <c r="W108" s="43"/>
      <c r="X108" s="48"/>
      <c r="Y108" s="45"/>
      <c r="Z108" s="41"/>
      <c r="AA108" s="32" t="str">
        <f aca="false">IF(OR(L108="",Y108=""),"",Y108-L108)</f>
        <v/>
      </c>
      <c r="AB108" s="43"/>
      <c r="AC108" s="43"/>
    </row>
    <row r="109" customFormat="false" ht="21.75" hidden="false" customHeight="true" outlineLevel="0" collapsed="false">
      <c r="A109" s="29" t="str">
        <f aca="false">IF(OR(B109="",C109=""),"",B109&amp;"-"&amp;C109)</f>
        <v/>
      </c>
      <c r="B109" s="48"/>
      <c r="C109" s="40"/>
      <c r="D109" s="41"/>
      <c r="E109" s="42"/>
      <c r="F109" s="48"/>
      <c r="G109" s="43"/>
      <c r="H109" s="43"/>
      <c r="I109" s="44"/>
      <c r="J109" s="36" t="str">
        <f aca="false">IF(I109="","",IFERROR(INDEX(参数表!$D$13:$D$212,MATCH(I109,参数表!$A$13:$A$212,0)),"SKU未建档"))</f>
        <v/>
      </c>
      <c r="K109" s="36" t="str">
        <f aca="false">IF(I109="","",IFERROR(INDEX(参数表!$F$13:$F$212,MATCH(I109,参数表!$A$13:$A$212,0)),"SKU未建档"))</f>
        <v/>
      </c>
      <c r="L109" s="45"/>
      <c r="M109" s="35" t="str">
        <f aca="false">IF(I109="","",IFERROR(INDEX(参数表!$G$13:$G$212,MATCH(I109,参数表!$A$13:$A$212,0)),"SKU未建档"))</f>
        <v/>
      </c>
      <c r="N109" s="40"/>
      <c r="O109" s="46"/>
      <c r="P109" s="47"/>
      <c r="Q109" s="34" t="str">
        <f aca="false">IF(OR(O109="",P109=""),"",ROUND(O109*P109,2))</f>
        <v/>
      </c>
      <c r="R109" s="48"/>
      <c r="S109" s="46"/>
      <c r="T109" s="33" t="str">
        <f aca="false">IF(I109="","",IFERROR(INDEX(参数表!$H$13:$H$212,MATCH(I109,参数表!$A$13:$A$212,0)),"SKU未建档"))</f>
        <v/>
      </c>
      <c r="U109" s="34" t="str">
        <f aca="false">IF(A109="","",IF(参数表!$B$6="外贸企业",IF(S109="","",S109),IF(Q109="","",Q109)))</f>
        <v/>
      </c>
      <c r="V109" s="34" t="str">
        <f aca="false">IF(OR(U109="",NOT(ISNUMBER(T109))),"",ROUND(U109*T109,2))</f>
        <v/>
      </c>
      <c r="W109" s="43"/>
      <c r="X109" s="48"/>
      <c r="Y109" s="45"/>
      <c r="Z109" s="41"/>
      <c r="AA109" s="32" t="str">
        <f aca="false">IF(OR(L109="",Y109=""),"",Y109-L109)</f>
        <v/>
      </c>
      <c r="AB109" s="43"/>
      <c r="AC109" s="43"/>
    </row>
    <row r="110" customFormat="false" ht="21.75" hidden="false" customHeight="true" outlineLevel="0" collapsed="false">
      <c r="A110" s="29" t="str">
        <f aca="false">IF(OR(B110="",C110=""),"",B110&amp;"-"&amp;C110)</f>
        <v/>
      </c>
      <c r="B110" s="48"/>
      <c r="C110" s="40"/>
      <c r="D110" s="41"/>
      <c r="E110" s="42"/>
      <c r="F110" s="48"/>
      <c r="G110" s="43"/>
      <c r="H110" s="43"/>
      <c r="I110" s="44"/>
      <c r="J110" s="36" t="str">
        <f aca="false">IF(I110="","",IFERROR(INDEX(参数表!$D$13:$D$212,MATCH(I110,参数表!$A$13:$A$212,0)),"SKU未建档"))</f>
        <v/>
      </c>
      <c r="K110" s="36" t="str">
        <f aca="false">IF(I110="","",IFERROR(INDEX(参数表!$F$13:$F$212,MATCH(I110,参数表!$A$13:$A$212,0)),"SKU未建档"))</f>
        <v/>
      </c>
      <c r="L110" s="45"/>
      <c r="M110" s="35" t="str">
        <f aca="false">IF(I110="","",IFERROR(INDEX(参数表!$G$13:$G$212,MATCH(I110,参数表!$A$13:$A$212,0)),"SKU未建档"))</f>
        <v/>
      </c>
      <c r="N110" s="40"/>
      <c r="O110" s="46"/>
      <c r="P110" s="47"/>
      <c r="Q110" s="34" t="str">
        <f aca="false">IF(OR(O110="",P110=""),"",ROUND(O110*P110,2))</f>
        <v/>
      </c>
      <c r="R110" s="48"/>
      <c r="S110" s="46"/>
      <c r="T110" s="33" t="str">
        <f aca="false">IF(I110="","",IFERROR(INDEX(参数表!$H$13:$H$212,MATCH(I110,参数表!$A$13:$A$212,0)),"SKU未建档"))</f>
        <v/>
      </c>
      <c r="U110" s="34" t="str">
        <f aca="false">IF(A110="","",IF(参数表!$B$6="外贸企业",IF(S110="","",S110),IF(Q110="","",Q110)))</f>
        <v/>
      </c>
      <c r="V110" s="34" t="str">
        <f aca="false">IF(OR(U110="",NOT(ISNUMBER(T110))),"",ROUND(U110*T110,2))</f>
        <v/>
      </c>
      <c r="W110" s="43"/>
      <c r="X110" s="48"/>
      <c r="Y110" s="45"/>
      <c r="Z110" s="41"/>
      <c r="AA110" s="32" t="str">
        <f aca="false">IF(OR(L110="",Y110=""),"",Y110-L110)</f>
        <v/>
      </c>
      <c r="AB110" s="43"/>
      <c r="AC110" s="43"/>
    </row>
    <row r="111" customFormat="false" ht="21.75" hidden="false" customHeight="true" outlineLevel="0" collapsed="false">
      <c r="A111" s="29" t="str">
        <f aca="false">IF(OR(B111="",C111=""),"",B111&amp;"-"&amp;C111)</f>
        <v/>
      </c>
      <c r="B111" s="48"/>
      <c r="C111" s="40"/>
      <c r="D111" s="41"/>
      <c r="E111" s="42"/>
      <c r="F111" s="48"/>
      <c r="G111" s="43"/>
      <c r="H111" s="43"/>
      <c r="I111" s="44"/>
      <c r="J111" s="36" t="str">
        <f aca="false">IF(I111="","",IFERROR(INDEX(参数表!$D$13:$D$212,MATCH(I111,参数表!$A$13:$A$212,0)),"SKU未建档"))</f>
        <v/>
      </c>
      <c r="K111" s="36" t="str">
        <f aca="false">IF(I111="","",IFERROR(INDEX(参数表!$F$13:$F$212,MATCH(I111,参数表!$A$13:$A$212,0)),"SKU未建档"))</f>
        <v/>
      </c>
      <c r="L111" s="45"/>
      <c r="M111" s="35" t="str">
        <f aca="false">IF(I111="","",IFERROR(INDEX(参数表!$G$13:$G$212,MATCH(I111,参数表!$A$13:$A$212,0)),"SKU未建档"))</f>
        <v/>
      </c>
      <c r="N111" s="40"/>
      <c r="O111" s="46"/>
      <c r="P111" s="47"/>
      <c r="Q111" s="34" t="str">
        <f aca="false">IF(OR(O111="",P111=""),"",ROUND(O111*P111,2))</f>
        <v/>
      </c>
      <c r="R111" s="48"/>
      <c r="S111" s="46"/>
      <c r="T111" s="33" t="str">
        <f aca="false">IF(I111="","",IFERROR(INDEX(参数表!$H$13:$H$212,MATCH(I111,参数表!$A$13:$A$212,0)),"SKU未建档"))</f>
        <v/>
      </c>
      <c r="U111" s="34" t="str">
        <f aca="false">IF(A111="","",IF(参数表!$B$6="外贸企业",IF(S111="","",S111),IF(Q111="","",Q111)))</f>
        <v/>
      </c>
      <c r="V111" s="34" t="str">
        <f aca="false">IF(OR(U111="",NOT(ISNUMBER(T111))),"",ROUND(U111*T111,2))</f>
        <v/>
      </c>
      <c r="W111" s="43"/>
      <c r="X111" s="48"/>
      <c r="Y111" s="45"/>
      <c r="Z111" s="41"/>
      <c r="AA111" s="32" t="str">
        <f aca="false">IF(OR(L111="",Y111=""),"",Y111-L111)</f>
        <v/>
      </c>
      <c r="AB111" s="43"/>
      <c r="AC111" s="43"/>
    </row>
    <row r="112" customFormat="false" ht="21.75" hidden="false" customHeight="true" outlineLevel="0" collapsed="false">
      <c r="A112" s="29" t="str">
        <f aca="false">IF(OR(B112="",C112=""),"",B112&amp;"-"&amp;C112)</f>
        <v/>
      </c>
      <c r="B112" s="48"/>
      <c r="C112" s="40"/>
      <c r="D112" s="41"/>
      <c r="E112" s="42"/>
      <c r="F112" s="48"/>
      <c r="G112" s="43"/>
      <c r="H112" s="43"/>
      <c r="I112" s="44"/>
      <c r="J112" s="36" t="str">
        <f aca="false">IF(I112="","",IFERROR(INDEX(参数表!$D$13:$D$212,MATCH(I112,参数表!$A$13:$A$212,0)),"SKU未建档"))</f>
        <v/>
      </c>
      <c r="K112" s="36" t="str">
        <f aca="false">IF(I112="","",IFERROR(INDEX(参数表!$F$13:$F$212,MATCH(I112,参数表!$A$13:$A$212,0)),"SKU未建档"))</f>
        <v/>
      </c>
      <c r="L112" s="45"/>
      <c r="M112" s="35" t="str">
        <f aca="false">IF(I112="","",IFERROR(INDEX(参数表!$G$13:$G$212,MATCH(I112,参数表!$A$13:$A$212,0)),"SKU未建档"))</f>
        <v/>
      </c>
      <c r="N112" s="40"/>
      <c r="O112" s="46"/>
      <c r="P112" s="47"/>
      <c r="Q112" s="34" t="str">
        <f aca="false">IF(OR(O112="",P112=""),"",ROUND(O112*P112,2))</f>
        <v/>
      </c>
      <c r="R112" s="48"/>
      <c r="S112" s="46"/>
      <c r="T112" s="33" t="str">
        <f aca="false">IF(I112="","",IFERROR(INDEX(参数表!$H$13:$H$212,MATCH(I112,参数表!$A$13:$A$212,0)),"SKU未建档"))</f>
        <v/>
      </c>
      <c r="U112" s="34" t="str">
        <f aca="false">IF(A112="","",IF(参数表!$B$6="外贸企业",IF(S112="","",S112),IF(Q112="","",Q112)))</f>
        <v/>
      </c>
      <c r="V112" s="34" t="str">
        <f aca="false">IF(OR(U112="",NOT(ISNUMBER(T112))),"",ROUND(U112*T112,2))</f>
        <v/>
      </c>
      <c r="W112" s="43"/>
      <c r="X112" s="48"/>
      <c r="Y112" s="45"/>
      <c r="Z112" s="41"/>
      <c r="AA112" s="32" t="str">
        <f aca="false">IF(OR(L112="",Y112=""),"",Y112-L112)</f>
        <v/>
      </c>
      <c r="AB112" s="43"/>
      <c r="AC112" s="43"/>
    </row>
    <row r="113" customFormat="false" ht="21.75" hidden="false" customHeight="true" outlineLevel="0" collapsed="false">
      <c r="A113" s="29" t="str">
        <f aca="false">IF(OR(B113="",C113=""),"",B113&amp;"-"&amp;C113)</f>
        <v/>
      </c>
      <c r="B113" s="48"/>
      <c r="C113" s="40"/>
      <c r="D113" s="41"/>
      <c r="E113" s="42"/>
      <c r="F113" s="48"/>
      <c r="G113" s="43"/>
      <c r="H113" s="43"/>
      <c r="I113" s="44"/>
      <c r="J113" s="36" t="str">
        <f aca="false">IF(I113="","",IFERROR(INDEX(参数表!$D$13:$D$212,MATCH(I113,参数表!$A$13:$A$212,0)),"SKU未建档"))</f>
        <v/>
      </c>
      <c r="K113" s="36" t="str">
        <f aca="false">IF(I113="","",IFERROR(INDEX(参数表!$F$13:$F$212,MATCH(I113,参数表!$A$13:$A$212,0)),"SKU未建档"))</f>
        <v/>
      </c>
      <c r="L113" s="45"/>
      <c r="M113" s="35" t="str">
        <f aca="false">IF(I113="","",IFERROR(INDEX(参数表!$G$13:$G$212,MATCH(I113,参数表!$A$13:$A$212,0)),"SKU未建档"))</f>
        <v/>
      </c>
      <c r="N113" s="40"/>
      <c r="O113" s="46"/>
      <c r="P113" s="47"/>
      <c r="Q113" s="34" t="str">
        <f aca="false">IF(OR(O113="",P113=""),"",ROUND(O113*P113,2))</f>
        <v/>
      </c>
      <c r="R113" s="48"/>
      <c r="S113" s="46"/>
      <c r="T113" s="33" t="str">
        <f aca="false">IF(I113="","",IFERROR(INDEX(参数表!$H$13:$H$212,MATCH(I113,参数表!$A$13:$A$212,0)),"SKU未建档"))</f>
        <v/>
      </c>
      <c r="U113" s="34" t="str">
        <f aca="false">IF(A113="","",IF(参数表!$B$6="外贸企业",IF(S113="","",S113),IF(Q113="","",Q113)))</f>
        <v/>
      </c>
      <c r="V113" s="34" t="str">
        <f aca="false">IF(OR(U113="",NOT(ISNUMBER(T113))),"",ROUND(U113*T113,2))</f>
        <v/>
      </c>
      <c r="W113" s="43"/>
      <c r="X113" s="48"/>
      <c r="Y113" s="45"/>
      <c r="Z113" s="41"/>
      <c r="AA113" s="32" t="str">
        <f aca="false">IF(OR(L113="",Y113=""),"",Y113-L113)</f>
        <v/>
      </c>
      <c r="AB113" s="43"/>
      <c r="AC113" s="43"/>
    </row>
    <row r="114" customFormat="false" ht="21.75" hidden="false" customHeight="true" outlineLevel="0" collapsed="false">
      <c r="A114" s="29" t="str">
        <f aca="false">IF(OR(B114="",C114=""),"",B114&amp;"-"&amp;C114)</f>
        <v/>
      </c>
      <c r="B114" s="48"/>
      <c r="C114" s="40"/>
      <c r="D114" s="41"/>
      <c r="E114" s="42"/>
      <c r="F114" s="48"/>
      <c r="G114" s="43"/>
      <c r="H114" s="43"/>
      <c r="I114" s="44"/>
      <c r="J114" s="36" t="str">
        <f aca="false">IF(I114="","",IFERROR(INDEX(参数表!$D$13:$D$212,MATCH(I114,参数表!$A$13:$A$212,0)),"SKU未建档"))</f>
        <v/>
      </c>
      <c r="K114" s="36" t="str">
        <f aca="false">IF(I114="","",IFERROR(INDEX(参数表!$F$13:$F$212,MATCH(I114,参数表!$A$13:$A$212,0)),"SKU未建档"))</f>
        <v/>
      </c>
      <c r="L114" s="45"/>
      <c r="M114" s="35" t="str">
        <f aca="false">IF(I114="","",IFERROR(INDEX(参数表!$G$13:$G$212,MATCH(I114,参数表!$A$13:$A$212,0)),"SKU未建档"))</f>
        <v/>
      </c>
      <c r="N114" s="40"/>
      <c r="O114" s="46"/>
      <c r="P114" s="47"/>
      <c r="Q114" s="34" t="str">
        <f aca="false">IF(OR(O114="",P114=""),"",ROUND(O114*P114,2))</f>
        <v/>
      </c>
      <c r="R114" s="48"/>
      <c r="S114" s="46"/>
      <c r="T114" s="33" t="str">
        <f aca="false">IF(I114="","",IFERROR(INDEX(参数表!$H$13:$H$212,MATCH(I114,参数表!$A$13:$A$212,0)),"SKU未建档"))</f>
        <v/>
      </c>
      <c r="U114" s="34" t="str">
        <f aca="false">IF(A114="","",IF(参数表!$B$6="外贸企业",IF(S114="","",S114),IF(Q114="","",Q114)))</f>
        <v/>
      </c>
      <c r="V114" s="34" t="str">
        <f aca="false">IF(OR(U114="",NOT(ISNUMBER(T114))),"",ROUND(U114*T114,2))</f>
        <v/>
      </c>
      <c r="W114" s="43"/>
      <c r="X114" s="48"/>
      <c r="Y114" s="45"/>
      <c r="Z114" s="41"/>
      <c r="AA114" s="32" t="str">
        <f aca="false">IF(OR(L114="",Y114=""),"",Y114-L114)</f>
        <v/>
      </c>
      <c r="AB114" s="43"/>
      <c r="AC114" s="43"/>
    </row>
    <row r="115" customFormat="false" ht="21.75" hidden="false" customHeight="true" outlineLevel="0" collapsed="false">
      <c r="A115" s="29" t="str">
        <f aca="false">IF(OR(B115="",C115=""),"",B115&amp;"-"&amp;C115)</f>
        <v/>
      </c>
      <c r="B115" s="48"/>
      <c r="C115" s="40"/>
      <c r="D115" s="41"/>
      <c r="E115" s="42"/>
      <c r="F115" s="48"/>
      <c r="G115" s="43"/>
      <c r="H115" s="43"/>
      <c r="I115" s="44"/>
      <c r="J115" s="36" t="str">
        <f aca="false">IF(I115="","",IFERROR(INDEX(参数表!$D$13:$D$212,MATCH(I115,参数表!$A$13:$A$212,0)),"SKU未建档"))</f>
        <v/>
      </c>
      <c r="K115" s="36" t="str">
        <f aca="false">IF(I115="","",IFERROR(INDEX(参数表!$F$13:$F$212,MATCH(I115,参数表!$A$13:$A$212,0)),"SKU未建档"))</f>
        <v/>
      </c>
      <c r="L115" s="45"/>
      <c r="M115" s="35" t="str">
        <f aca="false">IF(I115="","",IFERROR(INDEX(参数表!$G$13:$G$212,MATCH(I115,参数表!$A$13:$A$212,0)),"SKU未建档"))</f>
        <v/>
      </c>
      <c r="N115" s="40"/>
      <c r="O115" s="46"/>
      <c r="P115" s="47"/>
      <c r="Q115" s="34" t="str">
        <f aca="false">IF(OR(O115="",P115=""),"",ROUND(O115*P115,2))</f>
        <v/>
      </c>
      <c r="R115" s="48"/>
      <c r="S115" s="46"/>
      <c r="T115" s="33" t="str">
        <f aca="false">IF(I115="","",IFERROR(INDEX(参数表!$H$13:$H$212,MATCH(I115,参数表!$A$13:$A$212,0)),"SKU未建档"))</f>
        <v/>
      </c>
      <c r="U115" s="34" t="str">
        <f aca="false">IF(A115="","",IF(参数表!$B$6="外贸企业",IF(S115="","",S115),IF(Q115="","",Q115)))</f>
        <v/>
      </c>
      <c r="V115" s="34" t="str">
        <f aca="false">IF(OR(U115="",NOT(ISNUMBER(T115))),"",ROUND(U115*T115,2))</f>
        <v/>
      </c>
      <c r="W115" s="43"/>
      <c r="X115" s="48"/>
      <c r="Y115" s="45"/>
      <c r="Z115" s="41"/>
      <c r="AA115" s="32" t="str">
        <f aca="false">IF(OR(L115="",Y115=""),"",Y115-L115)</f>
        <v/>
      </c>
      <c r="AB115" s="43"/>
      <c r="AC115" s="43"/>
    </row>
    <row r="116" customFormat="false" ht="21.75" hidden="false" customHeight="true" outlineLevel="0" collapsed="false">
      <c r="A116" s="29" t="str">
        <f aca="false">IF(OR(B116="",C116=""),"",B116&amp;"-"&amp;C116)</f>
        <v/>
      </c>
      <c r="B116" s="48"/>
      <c r="C116" s="40"/>
      <c r="D116" s="41"/>
      <c r="E116" s="42"/>
      <c r="F116" s="48"/>
      <c r="G116" s="43"/>
      <c r="H116" s="43"/>
      <c r="I116" s="44"/>
      <c r="J116" s="36" t="str">
        <f aca="false">IF(I116="","",IFERROR(INDEX(参数表!$D$13:$D$212,MATCH(I116,参数表!$A$13:$A$212,0)),"SKU未建档"))</f>
        <v/>
      </c>
      <c r="K116" s="36" t="str">
        <f aca="false">IF(I116="","",IFERROR(INDEX(参数表!$F$13:$F$212,MATCH(I116,参数表!$A$13:$A$212,0)),"SKU未建档"))</f>
        <v/>
      </c>
      <c r="L116" s="45"/>
      <c r="M116" s="35" t="str">
        <f aca="false">IF(I116="","",IFERROR(INDEX(参数表!$G$13:$G$212,MATCH(I116,参数表!$A$13:$A$212,0)),"SKU未建档"))</f>
        <v/>
      </c>
      <c r="N116" s="40"/>
      <c r="O116" s="46"/>
      <c r="P116" s="47"/>
      <c r="Q116" s="34" t="str">
        <f aca="false">IF(OR(O116="",P116=""),"",ROUND(O116*P116,2))</f>
        <v/>
      </c>
      <c r="R116" s="48"/>
      <c r="S116" s="46"/>
      <c r="T116" s="33" t="str">
        <f aca="false">IF(I116="","",IFERROR(INDEX(参数表!$H$13:$H$212,MATCH(I116,参数表!$A$13:$A$212,0)),"SKU未建档"))</f>
        <v/>
      </c>
      <c r="U116" s="34" t="str">
        <f aca="false">IF(A116="","",IF(参数表!$B$6="外贸企业",IF(S116="","",S116),IF(Q116="","",Q116)))</f>
        <v/>
      </c>
      <c r="V116" s="34" t="str">
        <f aca="false">IF(OR(U116="",NOT(ISNUMBER(T116))),"",ROUND(U116*T116,2))</f>
        <v/>
      </c>
      <c r="W116" s="43"/>
      <c r="X116" s="48"/>
      <c r="Y116" s="45"/>
      <c r="Z116" s="41"/>
      <c r="AA116" s="32" t="str">
        <f aca="false">IF(OR(L116="",Y116=""),"",Y116-L116)</f>
        <v/>
      </c>
      <c r="AB116" s="43"/>
      <c r="AC116" s="43"/>
    </row>
    <row r="117" customFormat="false" ht="21.75" hidden="false" customHeight="true" outlineLevel="0" collapsed="false">
      <c r="A117" s="29" t="str">
        <f aca="false">IF(OR(B117="",C117=""),"",B117&amp;"-"&amp;C117)</f>
        <v/>
      </c>
      <c r="B117" s="48"/>
      <c r="C117" s="40"/>
      <c r="D117" s="41"/>
      <c r="E117" s="42"/>
      <c r="F117" s="48"/>
      <c r="G117" s="43"/>
      <c r="H117" s="43"/>
      <c r="I117" s="44"/>
      <c r="J117" s="36" t="str">
        <f aca="false">IF(I117="","",IFERROR(INDEX(参数表!$D$13:$D$212,MATCH(I117,参数表!$A$13:$A$212,0)),"SKU未建档"))</f>
        <v/>
      </c>
      <c r="K117" s="36" t="str">
        <f aca="false">IF(I117="","",IFERROR(INDEX(参数表!$F$13:$F$212,MATCH(I117,参数表!$A$13:$A$212,0)),"SKU未建档"))</f>
        <v/>
      </c>
      <c r="L117" s="45"/>
      <c r="M117" s="35" t="str">
        <f aca="false">IF(I117="","",IFERROR(INDEX(参数表!$G$13:$G$212,MATCH(I117,参数表!$A$13:$A$212,0)),"SKU未建档"))</f>
        <v/>
      </c>
      <c r="N117" s="40"/>
      <c r="O117" s="46"/>
      <c r="P117" s="47"/>
      <c r="Q117" s="34" t="str">
        <f aca="false">IF(OR(O117="",P117=""),"",ROUND(O117*P117,2))</f>
        <v/>
      </c>
      <c r="R117" s="48"/>
      <c r="S117" s="46"/>
      <c r="T117" s="33" t="str">
        <f aca="false">IF(I117="","",IFERROR(INDEX(参数表!$H$13:$H$212,MATCH(I117,参数表!$A$13:$A$212,0)),"SKU未建档"))</f>
        <v/>
      </c>
      <c r="U117" s="34" t="str">
        <f aca="false">IF(A117="","",IF(参数表!$B$6="外贸企业",IF(S117="","",S117),IF(Q117="","",Q117)))</f>
        <v/>
      </c>
      <c r="V117" s="34" t="str">
        <f aca="false">IF(OR(U117="",NOT(ISNUMBER(T117))),"",ROUND(U117*T117,2))</f>
        <v/>
      </c>
      <c r="W117" s="43"/>
      <c r="X117" s="48"/>
      <c r="Y117" s="45"/>
      <c r="Z117" s="41"/>
      <c r="AA117" s="32" t="str">
        <f aca="false">IF(OR(L117="",Y117=""),"",Y117-L117)</f>
        <v/>
      </c>
      <c r="AB117" s="43"/>
      <c r="AC117" s="43"/>
    </row>
    <row r="118" customFormat="false" ht="21.75" hidden="false" customHeight="true" outlineLevel="0" collapsed="false">
      <c r="A118" s="29" t="str">
        <f aca="false">IF(OR(B118="",C118=""),"",B118&amp;"-"&amp;C118)</f>
        <v/>
      </c>
      <c r="B118" s="48"/>
      <c r="C118" s="40"/>
      <c r="D118" s="41"/>
      <c r="E118" s="42"/>
      <c r="F118" s="48"/>
      <c r="G118" s="43"/>
      <c r="H118" s="43"/>
      <c r="I118" s="44"/>
      <c r="J118" s="36" t="str">
        <f aca="false">IF(I118="","",IFERROR(INDEX(参数表!$D$13:$D$212,MATCH(I118,参数表!$A$13:$A$212,0)),"SKU未建档"))</f>
        <v/>
      </c>
      <c r="K118" s="36" t="str">
        <f aca="false">IF(I118="","",IFERROR(INDEX(参数表!$F$13:$F$212,MATCH(I118,参数表!$A$13:$A$212,0)),"SKU未建档"))</f>
        <v/>
      </c>
      <c r="L118" s="45"/>
      <c r="M118" s="35" t="str">
        <f aca="false">IF(I118="","",IFERROR(INDEX(参数表!$G$13:$G$212,MATCH(I118,参数表!$A$13:$A$212,0)),"SKU未建档"))</f>
        <v/>
      </c>
      <c r="N118" s="40"/>
      <c r="O118" s="46"/>
      <c r="P118" s="47"/>
      <c r="Q118" s="34" t="str">
        <f aca="false">IF(OR(O118="",P118=""),"",ROUND(O118*P118,2))</f>
        <v/>
      </c>
      <c r="R118" s="48"/>
      <c r="S118" s="46"/>
      <c r="T118" s="33" t="str">
        <f aca="false">IF(I118="","",IFERROR(INDEX(参数表!$H$13:$H$212,MATCH(I118,参数表!$A$13:$A$212,0)),"SKU未建档"))</f>
        <v/>
      </c>
      <c r="U118" s="34" t="str">
        <f aca="false">IF(A118="","",IF(参数表!$B$6="外贸企业",IF(S118="","",S118),IF(Q118="","",Q118)))</f>
        <v/>
      </c>
      <c r="V118" s="34" t="str">
        <f aca="false">IF(OR(U118="",NOT(ISNUMBER(T118))),"",ROUND(U118*T118,2))</f>
        <v/>
      </c>
      <c r="W118" s="43"/>
      <c r="X118" s="48"/>
      <c r="Y118" s="45"/>
      <c r="Z118" s="41"/>
      <c r="AA118" s="32" t="str">
        <f aca="false">IF(OR(L118="",Y118=""),"",Y118-L118)</f>
        <v/>
      </c>
      <c r="AB118" s="43"/>
      <c r="AC118" s="43"/>
    </row>
    <row r="119" customFormat="false" ht="21.75" hidden="false" customHeight="true" outlineLevel="0" collapsed="false">
      <c r="A119" s="29" t="str">
        <f aca="false">IF(OR(B119="",C119=""),"",B119&amp;"-"&amp;C119)</f>
        <v/>
      </c>
      <c r="B119" s="48"/>
      <c r="C119" s="40"/>
      <c r="D119" s="41"/>
      <c r="E119" s="42"/>
      <c r="F119" s="48"/>
      <c r="G119" s="43"/>
      <c r="H119" s="43"/>
      <c r="I119" s="44"/>
      <c r="J119" s="36" t="str">
        <f aca="false">IF(I119="","",IFERROR(INDEX(参数表!$D$13:$D$212,MATCH(I119,参数表!$A$13:$A$212,0)),"SKU未建档"))</f>
        <v/>
      </c>
      <c r="K119" s="36" t="str">
        <f aca="false">IF(I119="","",IFERROR(INDEX(参数表!$F$13:$F$212,MATCH(I119,参数表!$A$13:$A$212,0)),"SKU未建档"))</f>
        <v/>
      </c>
      <c r="L119" s="45"/>
      <c r="M119" s="35" t="str">
        <f aca="false">IF(I119="","",IFERROR(INDEX(参数表!$G$13:$G$212,MATCH(I119,参数表!$A$13:$A$212,0)),"SKU未建档"))</f>
        <v/>
      </c>
      <c r="N119" s="40"/>
      <c r="O119" s="46"/>
      <c r="P119" s="47"/>
      <c r="Q119" s="34" t="str">
        <f aca="false">IF(OR(O119="",P119=""),"",ROUND(O119*P119,2))</f>
        <v/>
      </c>
      <c r="R119" s="48"/>
      <c r="S119" s="46"/>
      <c r="T119" s="33" t="str">
        <f aca="false">IF(I119="","",IFERROR(INDEX(参数表!$H$13:$H$212,MATCH(I119,参数表!$A$13:$A$212,0)),"SKU未建档"))</f>
        <v/>
      </c>
      <c r="U119" s="34" t="str">
        <f aca="false">IF(A119="","",IF(参数表!$B$6="外贸企业",IF(S119="","",S119),IF(Q119="","",Q119)))</f>
        <v/>
      </c>
      <c r="V119" s="34" t="str">
        <f aca="false">IF(OR(U119="",NOT(ISNUMBER(T119))),"",ROUND(U119*T119,2))</f>
        <v/>
      </c>
      <c r="W119" s="43"/>
      <c r="X119" s="48"/>
      <c r="Y119" s="45"/>
      <c r="Z119" s="41"/>
      <c r="AA119" s="32" t="str">
        <f aca="false">IF(OR(L119="",Y119=""),"",Y119-L119)</f>
        <v/>
      </c>
      <c r="AB119" s="43"/>
      <c r="AC119" s="43"/>
    </row>
    <row r="120" customFormat="false" ht="21.75" hidden="false" customHeight="true" outlineLevel="0" collapsed="false">
      <c r="A120" s="29" t="str">
        <f aca="false">IF(OR(B120="",C120=""),"",B120&amp;"-"&amp;C120)</f>
        <v/>
      </c>
      <c r="B120" s="48"/>
      <c r="C120" s="40"/>
      <c r="D120" s="41"/>
      <c r="E120" s="42"/>
      <c r="F120" s="48"/>
      <c r="G120" s="43"/>
      <c r="H120" s="43"/>
      <c r="I120" s="44"/>
      <c r="J120" s="36" t="str">
        <f aca="false">IF(I120="","",IFERROR(INDEX(参数表!$D$13:$D$212,MATCH(I120,参数表!$A$13:$A$212,0)),"SKU未建档"))</f>
        <v/>
      </c>
      <c r="K120" s="36" t="str">
        <f aca="false">IF(I120="","",IFERROR(INDEX(参数表!$F$13:$F$212,MATCH(I120,参数表!$A$13:$A$212,0)),"SKU未建档"))</f>
        <v/>
      </c>
      <c r="L120" s="45"/>
      <c r="M120" s="35" t="str">
        <f aca="false">IF(I120="","",IFERROR(INDEX(参数表!$G$13:$G$212,MATCH(I120,参数表!$A$13:$A$212,0)),"SKU未建档"))</f>
        <v/>
      </c>
      <c r="N120" s="40"/>
      <c r="O120" s="46"/>
      <c r="P120" s="47"/>
      <c r="Q120" s="34" t="str">
        <f aca="false">IF(OR(O120="",P120=""),"",ROUND(O120*P120,2))</f>
        <v/>
      </c>
      <c r="R120" s="48"/>
      <c r="S120" s="46"/>
      <c r="T120" s="33" t="str">
        <f aca="false">IF(I120="","",IFERROR(INDEX(参数表!$H$13:$H$212,MATCH(I120,参数表!$A$13:$A$212,0)),"SKU未建档"))</f>
        <v/>
      </c>
      <c r="U120" s="34" t="str">
        <f aca="false">IF(A120="","",IF(参数表!$B$6="外贸企业",IF(S120="","",S120),IF(Q120="","",Q120)))</f>
        <v/>
      </c>
      <c r="V120" s="34" t="str">
        <f aca="false">IF(OR(U120="",NOT(ISNUMBER(T120))),"",ROUND(U120*T120,2))</f>
        <v/>
      </c>
      <c r="W120" s="43"/>
      <c r="X120" s="48"/>
      <c r="Y120" s="45"/>
      <c r="Z120" s="41"/>
      <c r="AA120" s="32" t="str">
        <f aca="false">IF(OR(L120="",Y120=""),"",Y120-L120)</f>
        <v/>
      </c>
      <c r="AB120" s="43"/>
      <c r="AC120" s="43"/>
    </row>
    <row r="121" customFormat="false" ht="21.75" hidden="false" customHeight="true" outlineLevel="0" collapsed="false">
      <c r="A121" s="29" t="str">
        <f aca="false">IF(OR(B121="",C121=""),"",B121&amp;"-"&amp;C121)</f>
        <v/>
      </c>
      <c r="B121" s="48"/>
      <c r="C121" s="40"/>
      <c r="D121" s="41"/>
      <c r="E121" s="42"/>
      <c r="F121" s="48"/>
      <c r="G121" s="43"/>
      <c r="H121" s="43"/>
      <c r="I121" s="44"/>
      <c r="J121" s="36" t="str">
        <f aca="false">IF(I121="","",IFERROR(INDEX(参数表!$D$13:$D$212,MATCH(I121,参数表!$A$13:$A$212,0)),"SKU未建档"))</f>
        <v/>
      </c>
      <c r="K121" s="36" t="str">
        <f aca="false">IF(I121="","",IFERROR(INDEX(参数表!$F$13:$F$212,MATCH(I121,参数表!$A$13:$A$212,0)),"SKU未建档"))</f>
        <v/>
      </c>
      <c r="L121" s="45"/>
      <c r="M121" s="35" t="str">
        <f aca="false">IF(I121="","",IFERROR(INDEX(参数表!$G$13:$G$212,MATCH(I121,参数表!$A$13:$A$212,0)),"SKU未建档"))</f>
        <v/>
      </c>
      <c r="N121" s="40"/>
      <c r="O121" s="46"/>
      <c r="P121" s="47"/>
      <c r="Q121" s="34" t="str">
        <f aca="false">IF(OR(O121="",P121=""),"",ROUND(O121*P121,2))</f>
        <v/>
      </c>
      <c r="R121" s="48"/>
      <c r="S121" s="46"/>
      <c r="T121" s="33" t="str">
        <f aca="false">IF(I121="","",IFERROR(INDEX(参数表!$H$13:$H$212,MATCH(I121,参数表!$A$13:$A$212,0)),"SKU未建档"))</f>
        <v/>
      </c>
      <c r="U121" s="34" t="str">
        <f aca="false">IF(A121="","",IF(参数表!$B$6="外贸企业",IF(S121="","",S121),IF(Q121="","",Q121)))</f>
        <v/>
      </c>
      <c r="V121" s="34" t="str">
        <f aca="false">IF(OR(U121="",NOT(ISNUMBER(T121))),"",ROUND(U121*T121,2))</f>
        <v/>
      </c>
      <c r="W121" s="43"/>
      <c r="X121" s="48"/>
      <c r="Y121" s="45"/>
      <c r="Z121" s="41"/>
      <c r="AA121" s="32" t="str">
        <f aca="false">IF(OR(L121="",Y121=""),"",Y121-L121)</f>
        <v/>
      </c>
      <c r="AB121" s="43"/>
      <c r="AC121" s="43"/>
    </row>
    <row r="122" customFormat="false" ht="21.75" hidden="false" customHeight="true" outlineLevel="0" collapsed="false">
      <c r="A122" s="29" t="str">
        <f aca="false">IF(OR(B122="",C122=""),"",B122&amp;"-"&amp;C122)</f>
        <v/>
      </c>
      <c r="B122" s="48"/>
      <c r="C122" s="40"/>
      <c r="D122" s="41"/>
      <c r="E122" s="42"/>
      <c r="F122" s="48"/>
      <c r="G122" s="43"/>
      <c r="H122" s="43"/>
      <c r="I122" s="44"/>
      <c r="J122" s="36" t="str">
        <f aca="false">IF(I122="","",IFERROR(INDEX(参数表!$D$13:$D$212,MATCH(I122,参数表!$A$13:$A$212,0)),"SKU未建档"))</f>
        <v/>
      </c>
      <c r="K122" s="36" t="str">
        <f aca="false">IF(I122="","",IFERROR(INDEX(参数表!$F$13:$F$212,MATCH(I122,参数表!$A$13:$A$212,0)),"SKU未建档"))</f>
        <v/>
      </c>
      <c r="L122" s="45"/>
      <c r="M122" s="35" t="str">
        <f aca="false">IF(I122="","",IFERROR(INDEX(参数表!$G$13:$G$212,MATCH(I122,参数表!$A$13:$A$212,0)),"SKU未建档"))</f>
        <v/>
      </c>
      <c r="N122" s="40"/>
      <c r="O122" s="46"/>
      <c r="P122" s="47"/>
      <c r="Q122" s="34" t="str">
        <f aca="false">IF(OR(O122="",P122=""),"",ROUND(O122*P122,2))</f>
        <v/>
      </c>
      <c r="R122" s="48"/>
      <c r="S122" s="46"/>
      <c r="T122" s="33" t="str">
        <f aca="false">IF(I122="","",IFERROR(INDEX(参数表!$H$13:$H$212,MATCH(I122,参数表!$A$13:$A$212,0)),"SKU未建档"))</f>
        <v/>
      </c>
      <c r="U122" s="34" t="str">
        <f aca="false">IF(A122="","",IF(参数表!$B$6="外贸企业",IF(S122="","",S122),IF(Q122="","",Q122)))</f>
        <v/>
      </c>
      <c r="V122" s="34" t="str">
        <f aca="false">IF(OR(U122="",NOT(ISNUMBER(T122))),"",ROUND(U122*T122,2))</f>
        <v/>
      </c>
      <c r="W122" s="43"/>
      <c r="X122" s="48"/>
      <c r="Y122" s="45"/>
      <c r="Z122" s="41"/>
      <c r="AA122" s="32" t="str">
        <f aca="false">IF(OR(L122="",Y122=""),"",Y122-L122)</f>
        <v/>
      </c>
      <c r="AB122" s="43"/>
      <c r="AC122" s="43"/>
    </row>
    <row r="123" customFormat="false" ht="21.75" hidden="false" customHeight="true" outlineLevel="0" collapsed="false">
      <c r="A123" s="29" t="str">
        <f aca="false">IF(OR(B123="",C123=""),"",B123&amp;"-"&amp;C123)</f>
        <v/>
      </c>
      <c r="B123" s="48"/>
      <c r="C123" s="40"/>
      <c r="D123" s="41"/>
      <c r="E123" s="42"/>
      <c r="F123" s="48"/>
      <c r="G123" s="43"/>
      <c r="H123" s="43"/>
      <c r="I123" s="44"/>
      <c r="J123" s="36" t="str">
        <f aca="false">IF(I123="","",IFERROR(INDEX(参数表!$D$13:$D$212,MATCH(I123,参数表!$A$13:$A$212,0)),"SKU未建档"))</f>
        <v/>
      </c>
      <c r="K123" s="36" t="str">
        <f aca="false">IF(I123="","",IFERROR(INDEX(参数表!$F$13:$F$212,MATCH(I123,参数表!$A$13:$A$212,0)),"SKU未建档"))</f>
        <v/>
      </c>
      <c r="L123" s="45"/>
      <c r="M123" s="35" t="str">
        <f aca="false">IF(I123="","",IFERROR(INDEX(参数表!$G$13:$G$212,MATCH(I123,参数表!$A$13:$A$212,0)),"SKU未建档"))</f>
        <v/>
      </c>
      <c r="N123" s="40"/>
      <c r="O123" s="46"/>
      <c r="P123" s="47"/>
      <c r="Q123" s="34" t="str">
        <f aca="false">IF(OR(O123="",P123=""),"",ROUND(O123*P123,2))</f>
        <v/>
      </c>
      <c r="R123" s="48"/>
      <c r="S123" s="46"/>
      <c r="T123" s="33" t="str">
        <f aca="false">IF(I123="","",IFERROR(INDEX(参数表!$H$13:$H$212,MATCH(I123,参数表!$A$13:$A$212,0)),"SKU未建档"))</f>
        <v/>
      </c>
      <c r="U123" s="34" t="str">
        <f aca="false">IF(A123="","",IF(参数表!$B$6="外贸企业",IF(S123="","",S123),IF(Q123="","",Q123)))</f>
        <v/>
      </c>
      <c r="V123" s="34" t="str">
        <f aca="false">IF(OR(U123="",NOT(ISNUMBER(T123))),"",ROUND(U123*T123,2))</f>
        <v/>
      </c>
      <c r="W123" s="43"/>
      <c r="X123" s="48"/>
      <c r="Y123" s="45"/>
      <c r="Z123" s="41"/>
      <c r="AA123" s="32" t="str">
        <f aca="false">IF(OR(L123="",Y123=""),"",Y123-L123)</f>
        <v/>
      </c>
      <c r="AB123" s="43"/>
      <c r="AC123" s="43"/>
    </row>
    <row r="124" customFormat="false" ht="21.75" hidden="false" customHeight="true" outlineLevel="0" collapsed="false">
      <c r="A124" s="29" t="str">
        <f aca="false">IF(OR(B124="",C124=""),"",B124&amp;"-"&amp;C124)</f>
        <v/>
      </c>
      <c r="B124" s="48"/>
      <c r="C124" s="40"/>
      <c r="D124" s="41"/>
      <c r="E124" s="42"/>
      <c r="F124" s="48"/>
      <c r="G124" s="43"/>
      <c r="H124" s="43"/>
      <c r="I124" s="44"/>
      <c r="J124" s="36" t="str">
        <f aca="false">IF(I124="","",IFERROR(INDEX(参数表!$D$13:$D$212,MATCH(I124,参数表!$A$13:$A$212,0)),"SKU未建档"))</f>
        <v/>
      </c>
      <c r="K124" s="36" t="str">
        <f aca="false">IF(I124="","",IFERROR(INDEX(参数表!$F$13:$F$212,MATCH(I124,参数表!$A$13:$A$212,0)),"SKU未建档"))</f>
        <v/>
      </c>
      <c r="L124" s="45"/>
      <c r="M124" s="35" t="str">
        <f aca="false">IF(I124="","",IFERROR(INDEX(参数表!$G$13:$G$212,MATCH(I124,参数表!$A$13:$A$212,0)),"SKU未建档"))</f>
        <v/>
      </c>
      <c r="N124" s="40"/>
      <c r="O124" s="46"/>
      <c r="P124" s="47"/>
      <c r="Q124" s="34" t="str">
        <f aca="false">IF(OR(O124="",P124=""),"",ROUND(O124*P124,2))</f>
        <v/>
      </c>
      <c r="R124" s="48"/>
      <c r="S124" s="46"/>
      <c r="T124" s="33" t="str">
        <f aca="false">IF(I124="","",IFERROR(INDEX(参数表!$H$13:$H$212,MATCH(I124,参数表!$A$13:$A$212,0)),"SKU未建档"))</f>
        <v/>
      </c>
      <c r="U124" s="34" t="str">
        <f aca="false">IF(A124="","",IF(参数表!$B$6="外贸企业",IF(S124="","",S124),IF(Q124="","",Q124)))</f>
        <v/>
      </c>
      <c r="V124" s="34" t="str">
        <f aca="false">IF(OR(U124="",NOT(ISNUMBER(T124))),"",ROUND(U124*T124,2))</f>
        <v/>
      </c>
      <c r="W124" s="43"/>
      <c r="X124" s="48"/>
      <c r="Y124" s="45"/>
      <c r="Z124" s="41"/>
      <c r="AA124" s="32" t="str">
        <f aca="false">IF(OR(L124="",Y124=""),"",Y124-L124)</f>
        <v/>
      </c>
      <c r="AB124" s="43"/>
      <c r="AC124" s="43"/>
    </row>
    <row r="125" customFormat="false" ht="21.75" hidden="false" customHeight="true" outlineLevel="0" collapsed="false">
      <c r="A125" s="29" t="str">
        <f aca="false">IF(OR(B125="",C125=""),"",B125&amp;"-"&amp;C125)</f>
        <v/>
      </c>
      <c r="B125" s="48"/>
      <c r="C125" s="40"/>
      <c r="D125" s="41"/>
      <c r="E125" s="42"/>
      <c r="F125" s="48"/>
      <c r="G125" s="43"/>
      <c r="H125" s="43"/>
      <c r="I125" s="44"/>
      <c r="J125" s="36" t="str">
        <f aca="false">IF(I125="","",IFERROR(INDEX(参数表!$D$13:$D$212,MATCH(I125,参数表!$A$13:$A$212,0)),"SKU未建档"))</f>
        <v/>
      </c>
      <c r="K125" s="36" t="str">
        <f aca="false">IF(I125="","",IFERROR(INDEX(参数表!$F$13:$F$212,MATCH(I125,参数表!$A$13:$A$212,0)),"SKU未建档"))</f>
        <v/>
      </c>
      <c r="L125" s="45"/>
      <c r="M125" s="35" t="str">
        <f aca="false">IF(I125="","",IFERROR(INDEX(参数表!$G$13:$G$212,MATCH(I125,参数表!$A$13:$A$212,0)),"SKU未建档"))</f>
        <v/>
      </c>
      <c r="N125" s="40"/>
      <c r="O125" s="46"/>
      <c r="P125" s="47"/>
      <c r="Q125" s="34" t="str">
        <f aca="false">IF(OR(O125="",P125=""),"",ROUND(O125*P125,2))</f>
        <v/>
      </c>
      <c r="R125" s="48"/>
      <c r="S125" s="46"/>
      <c r="T125" s="33" t="str">
        <f aca="false">IF(I125="","",IFERROR(INDEX(参数表!$H$13:$H$212,MATCH(I125,参数表!$A$13:$A$212,0)),"SKU未建档"))</f>
        <v/>
      </c>
      <c r="U125" s="34" t="str">
        <f aca="false">IF(A125="","",IF(参数表!$B$6="外贸企业",IF(S125="","",S125),IF(Q125="","",Q125)))</f>
        <v/>
      </c>
      <c r="V125" s="34" t="str">
        <f aca="false">IF(OR(U125="",NOT(ISNUMBER(T125))),"",ROUND(U125*T125,2))</f>
        <v/>
      </c>
      <c r="W125" s="43"/>
      <c r="X125" s="48"/>
      <c r="Y125" s="45"/>
      <c r="Z125" s="41"/>
      <c r="AA125" s="32" t="str">
        <f aca="false">IF(OR(L125="",Y125=""),"",Y125-L125)</f>
        <v/>
      </c>
      <c r="AB125" s="43"/>
      <c r="AC125" s="43"/>
    </row>
    <row r="126" customFormat="false" ht="21.75" hidden="false" customHeight="true" outlineLevel="0" collapsed="false">
      <c r="A126" s="29" t="str">
        <f aca="false">IF(OR(B126="",C126=""),"",B126&amp;"-"&amp;C126)</f>
        <v/>
      </c>
      <c r="B126" s="48"/>
      <c r="C126" s="40"/>
      <c r="D126" s="41"/>
      <c r="E126" s="42"/>
      <c r="F126" s="48"/>
      <c r="G126" s="43"/>
      <c r="H126" s="43"/>
      <c r="I126" s="44"/>
      <c r="J126" s="36" t="str">
        <f aca="false">IF(I126="","",IFERROR(INDEX(参数表!$D$13:$D$212,MATCH(I126,参数表!$A$13:$A$212,0)),"SKU未建档"))</f>
        <v/>
      </c>
      <c r="K126" s="36" t="str">
        <f aca="false">IF(I126="","",IFERROR(INDEX(参数表!$F$13:$F$212,MATCH(I126,参数表!$A$13:$A$212,0)),"SKU未建档"))</f>
        <v/>
      </c>
      <c r="L126" s="45"/>
      <c r="M126" s="35" t="str">
        <f aca="false">IF(I126="","",IFERROR(INDEX(参数表!$G$13:$G$212,MATCH(I126,参数表!$A$13:$A$212,0)),"SKU未建档"))</f>
        <v/>
      </c>
      <c r="N126" s="40"/>
      <c r="O126" s="46"/>
      <c r="P126" s="47"/>
      <c r="Q126" s="34" t="str">
        <f aca="false">IF(OR(O126="",P126=""),"",ROUND(O126*P126,2))</f>
        <v/>
      </c>
      <c r="R126" s="48"/>
      <c r="S126" s="46"/>
      <c r="T126" s="33" t="str">
        <f aca="false">IF(I126="","",IFERROR(INDEX(参数表!$H$13:$H$212,MATCH(I126,参数表!$A$13:$A$212,0)),"SKU未建档"))</f>
        <v/>
      </c>
      <c r="U126" s="34" t="str">
        <f aca="false">IF(A126="","",IF(参数表!$B$6="外贸企业",IF(S126="","",S126),IF(Q126="","",Q126)))</f>
        <v/>
      </c>
      <c r="V126" s="34" t="str">
        <f aca="false">IF(OR(U126="",NOT(ISNUMBER(T126))),"",ROUND(U126*T126,2))</f>
        <v/>
      </c>
      <c r="W126" s="43"/>
      <c r="X126" s="48"/>
      <c r="Y126" s="45"/>
      <c r="Z126" s="41"/>
      <c r="AA126" s="32" t="str">
        <f aca="false">IF(OR(L126="",Y126=""),"",Y126-L126)</f>
        <v/>
      </c>
      <c r="AB126" s="43"/>
      <c r="AC126" s="43"/>
    </row>
    <row r="127" customFormat="false" ht="21.75" hidden="false" customHeight="true" outlineLevel="0" collapsed="false">
      <c r="A127" s="29" t="str">
        <f aca="false">IF(OR(B127="",C127=""),"",B127&amp;"-"&amp;C127)</f>
        <v/>
      </c>
      <c r="B127" s="48"/>
      <c r="C127" s="40"/>
      <c r="D127" s="41"/>
      <c r="E127" s="42"/>
      <c r="F127" s="48"/>
      <c r="G127" s="43"/>
      <c r="H127" s="43"/>
      <c r="I127" s="44"/>
      <c r="J127" s="36" t="str">
        <f aca="false">IF(I127="","",IFERROR(INDEX(参数表!$D$13:$D$212,MATCH(I127,参数表!$A$13:$A$212,0)),"SKU未建档"))</f>
        <v/>
      </c>
      <c r="K127" s="36" t="str">
        <f aca="false">IF(I127="","",IFERROR(INDEX(参数表!$F$13:$F$212,MATCH(I127,参数表!$A$13:$A$212,0)),"SKU未建档"))</f>
        <v/>
      </c>
      <c r="L127" s="45"/>
      <c r="M127" s="35" t="str">
        <f aca="false">IF(I127="","",IFERROR(INDEX(参数表!$G$13:$G$212,MATCH(I127,参数表!$A$13:$A$212,0)),"SKU未建档"))</f>
        <v/>
      </c>
      <c r="N127" s="40"/>
      <c r="O127" s="46"/>
      <c r="P127" s="47"/>
      <c r="Q127" s="34" t="str">
        <f aca="false">IF(OR(O127="",P127=""),"",ROUND(O127*P127,2))</f>
        <v/>
      </c>
      <c r="R127" s="48"/>
      <c r="S127" s="46"/>
      <c r="T127" s="33" t="str">
        <f aca="false">IF(I127="","",IFERROR(INDEX(参数表!$H$13:$H$212,MATCH(I127,参数表!$A$13:$A$212,0)),"SKU未建档"))</f>
        <v/>
      </c>
      <c r="U127" s="34" t="str">
        <f aca="false">IF(A127="","",IF(参数表!$B$6="外贸企业",IF(S127="","",S127),IF(Q127="","",Q127)))</f>
        <v/>
      </c>
      <c r="V127" s="34" t="str">
        <f aca="false">IF(OR(U127="",NOT(ISNUMBER(T127))),"",ROUND(U127*T127,2))</f>
        <v/>
      </c>
      <c r="W127" s="43"/>
      <c r="X127" s="48"/>
      <c r="Y127" s="45"/>
      <c r="Z127" s="41"/>
      <c r="AA127" s="32" t="str">
        <f aca="false">IF(OR(L127="",Y127=""),"",Y127-L127)</f>
        <v/>
      </c>
      <c r="AB127" s="43"/>
      <c r="AC127" s="43"/>
    </row>
    <row r="128" customFormat="false" ht="21.75" hidden="false" customHeight="true" outlineLevel="0" collapsed="false">
      <c r="A128" s="29" t="str">
        <f aca="false">IF(OR(B128="",C128=""),"",B128&amp;"-"&amp;C128)</f>
        <v/>
      </c>
      <c r="B128" s="48"/>
      <c r="C128" s="40"/>
      <c r="D128" s="41"/>
      <c r="E128" s="42"/>
      <c r="F128" s="48"/>
      <c r="G128" s="43"/>
      <c r="H128" s="43"/>
      <c r="I128" s="44"/>
      <c r="J128" s="36" t="str">
        <f aca="false">IF(I128="","",IFERROR(INDEX(参数表!$D$13:$D$212,MATCH(I128,参数表!$A$13:$A$212,0)),"SKU未建档"))</f>
        <v/>
      </c>
      <c r="K128" s="36" t="str">
        <f aca="false">IF(I128="","",IFERROR(INDEX(参数表!$F$13:$F$212,MATCH(I128,参数表!$A$13:$A$212,0)),"SKU未建档"))</f>
        <v/>
      </c>
      <c r="L128" s="45"/>
      <c r="M128" s="35" t="str">
        <f aca="false">IF(I128="","",IFERROR(INDEX(参数表!$G$13:$G$212,MATCH(I128,参数表!$A$13:$A$212,0)),"SKU未建档"))</f>
        <v/>
      </c>
      <c r="N128" s="40"/>
      <c r="O128" s="46"/>
      <c r="P128" s="47"/>
      <c r="Q128" s="34" t="str">
        <f aca="false">IF(OR(O128="",P128=""),"",ROUND(O128*P128,2))</f>
        <v/>
      </c>
      <c r="R128" s="48"/>
      <c r="S128" s="46"/>
      <c r="T128" s="33" t="str">
        <f aca="false">IF(I128="","",IFERROR(INDEX(参数表!$H$13:$H$212,MATCH(I128,参数表!$A$13:$A$212,0)),"SKU未建档"))</f>
        <v/>
      </c>
      <c r="U128" s="34" t="str">
        <f aca="false">IF(A128="","",IF(参数表!$B$6="外贸企业",IF(S128="","",S128),IF(Q128="","",Q128)))</f>
        <v/>
      </c>
      <c r="V128" s="34" t="str">
        <f aca="false">IF(OR(U128="",NOT(ISNUMBER(T128))),"",ROUND(U128*T128,2))</f>
        <v/>
      </c>
      <c r="W128" s="43"/>
      <c r="X128" s="48"/>
      <c r="Y128" s="45"/>
      <c r="Z128" s="41"/>
      <c r="AA128" s="32" t="str">
        <f aca="false">IF(OR(L128="",Y128=""),"",Y128-L128)</f>
        <v/>
      </c>
      <c r="AB128" s="43"/>
      <c r="AC128" s="43"/>
    </row>
    <row r="129" customFormat="false" ht="21.75" hidden="false" customHeight="true" outlineLevel="0" collapsed="false">
      <c r="A129" s="29" t="str">
        <f aca="false">IF(OR(B129="",C129=""),"",B129&amp;"-"&amp;C129)</f>
        <v/>
      </c>
      <c r="B129" s="48"/>
      <c r="C129" s="40"/>
      <c r="D129" s="41"/>
      <c r="E129" s="42"/>
      <c r="F129" s="48"/>
      <c r="G129" s="43"/>
      <c r="H129" s="43"/>
      <c r="I129" s="44"/>
      <c r="J129" s="36" t="str">
        <f aca="false">IF(I129="","",IFERROR(INDEX(参数表!$D$13:$D$212,MATCH(I129,参数表!$A$13:$A$212,0)),"SKU未建档"))</f>
        <v/>
      </c>
      <c r="K129" s="36" t="str">
        <f aca="false">IF(I129="","",IFERROR(INDEX(参数表!$F$13:$F$212,MATCH(I129,参数表!$A$13:$A$212,0)),"SKU未建档"))</f>
        <v/>
      </c>
      <c r="L129" s="45"/>
      <c r="M129" s="35" t="str">
        <f aca="false">IF(I129="","",IFERROR(INDEX(参数表!$G$13:$G$212,MATCH(I129,参数表!$A$13:$A$212,0)),"SKU未建档"))</f>
        <v/>
      </c>
      <c r="N129" s="40"/>
      <c r="O129" s="46"/>
      <c r="P129" s="47"/>
      <c r="Q129" s="34" t="str">
        <f aca="false">IF(OR(O129="",P129=""),"",ROUND(O129*P129,2))</f>
        <v/>
      </c>
      <c r="R129" s="48"/>
      <c r="S129" s="46"/>
      <c r="T129" s="33" t="str">
        <f aca="false">IF(I129="","",IFERROR(INDEX(参数表!$H$13:$H$212,MATCH(I129,参数表!$A$13:$A$212,0)),"SKU未建档"))</f>
        <v/>
      </c>
      <c r="U129" s="34" t="str">
        <f aca="false">IF(A129="","",IF(参数表!$B$6="外贸企业",IF(S129="","",S129),IF(Q129="","",Q129)))</f>
        <v/>
      </c>
      <c r="V129" s="34" t="str">
        <f aca="false">IF(OR(U129="",NOT(ISNUMBER(T129))),"",ROUND(U129*T129,2))</f>
        <v/>
      </c>
      <c r="W129" s="43"/>
      <c r="X129" s="48"/>
      <c r="Y129" s="45"/>
      <c r="Z129" s="41"/>
      <c r="AA129" s="32" t="str">
        <f aca="false">IF(OR(L129="",Y129=""),"",Y129-L129)</f>
        <v/>
      </c>
      <c r="AB129" s="43"/>
      <c r="AC129" s="43"/>
    </row>
    <row r="130" customFormat="false" ht="21.75" hidden="false" customHeight="true" outlineLevel="0" collapsed="false">
      <c r="A130" s="29" t="str">
        <f aca="false">IF(OR(B130="",C130=""),"",B130&amp;"-"&amp;C130)</f>
        <v/>
      </c>
      <c r="B130" s="48"/>
      <c r="C130" s="40"/>
      <c r="D130" s="41"/>
      <c r="E130" s="42"/>
      <c r="F130" s="48"/>
      <c r="G130" s="43"/>
      <c r="H130" s="43"/>
      <c r="I130" s="44"/>
      <c r="J130" s="36" t="str">
        <f aca="false">IF(I130="","",IFERROR(INDEX(参数表!$D$13:$D$212,MATCH(I130,参数表!$A$13:$A$212,0)),"SKU未建档"))</f>
        <v/>
      </c>
      <c r="K130" s="36" t="str">
        <f aca="false">IF(I130="","",IFERROR(INDEX(参数表!$F$13:$F$212,MATCH(I130,参数表!$A$13:$A$212,0)),"SKU未建档"))</f>
        <v/>
      </c>
      <c r="L130" s="45"/>
      <c r="M130" s="35" t="str">
        <f aca="false">IF(I130="","",IFERROR(INDEX(参数表!$G$13:$G$212,MATCH(I130,参数表!$A$13:$A$212,0)),"SKU未建档"))</f>
        <v/>
      </c>
      <c r="N130" s="40"/>
      <c r="O130" s="46"/>
      <c r="P130" s="47"/>
      <c r="Q130" s="34" t="str">
        <f aca="false">IF(OR(O130="",P130=""),"",ROUND(O130*P130,2))</f>
        <v/>
      </c>
      <c r="R130" s="48"/>
      <c r="S130" s="46"/>
      <c r="T130" s="33" t="str">
        <f aca="false">IF(I130="","",IFERROR(INDEX(参数表!$H$13:$H$212,MATCH(I130,参数表!$A$13:$A$212,0)),"SKU未建档"))</f>
        <v/>
      </c>
      <c r="U130" s="34" t="str">
        <f aca="false">IF(A130="","",IF(参数表!$B$6="外贸企业",IF(S130="","",S130),IF(Q130="","",Q130)))</f>
        <v/>
      </c>
      <c r="V130" s="34" t="str">
        <f aca="false">IF(OR(U130="",NOT(ISNUMBER(T130))),"",ROUND(U130*T130,2))</f>
        <v/>
      </c>
      <c r="W130" s="43"/>
      <c r="X130" s="48"/>
      <c r="Y130" s="45"/>
      <c r="Z130" s="41"/>
      <c r="AA130" s="32" t="str">
        <f aca="false">IF(OR(L130="",Y130=""),"",Y130-L130)</f>
        <v/>
      </c>
      <c r="AB130" s="43"/>
      <c r="AC130" s="43"/>
    </row>
    <row r="131" customFormat="false" ht="21.75" hidden="false" customHeight="true" outlineLevel="0" collapsed="false">
      <c r="A131" s="29" t="str">
        <f aca="false">IF(OR(B131="",C131=""),"",B131&amp;"-"&amp;C131)</f>
        <v/>
      </c>
      <c r="B131" s="48"/>
      <c r="C131" s="40"/>
      <c r="D131" s="41"/>
      <c r="E131" s="42"/>
      <c r="F131" s="48"/>
      <c r="G131" s="43"/>
      <c r="H131" s="43"/>
      <c r="I131" s="44"/>
      <c r="J131" s="36" t="str">
        <f aca="false">IF(I131="","",IFERROR(INDEX(参数表!$D$13:$D$212,MATCH(I131,参数表!$A$13:$A$212,0)),"SKU未建档"))</f>
        <v/>
      </c>
      <c r="K131" s="36" t="str">
        <f aca="false">IF(I131="","",IFERROR(INDEX(参数表!$F$13:$F$212,MATCH(I131,参数表!$A$13:$A$212,0)),"SKU未建档"))</f>
        <v/>
      </c>
      <c r="L131" s="45"/>
      <c r="M131" s="35" t="str">
        <f aca="false">IF(I131="","",IFERROR(INDEX(参数表!$G$13:$G$212,MATCH(I131,参数表!$A$13:$A$212,0)),"SKU未建档"))</f>
        <v/>
      </c>
      <c r="N131" s="40"/>
      <c r="O131" s="46"/>
      <c r="P131" s="47"/>
      <c r="Q131" s="34" t="str">
        <f aca="false">IF(OR(O131="",P131=""),"",ROUND(O131*P131,2))</f>
        <v/>
      </c>
      <c r="R131" s="48"/>
      <c r="S131" s="46"/>
      <c r="T131" s="33" t="str">
        <f aca="false">IF(I131="","",IFERROR(INDEX(参数表!$H$13:$H$212,MATCH(I131,参数表!$A$13:$A$212,0)),"SKU未建档"))</f>
        <v/>
      </c>
      <c r="U131" s="34" t="str">
        <f aca="false">IF(A131="","",IF(参数表!$B$6="外贸企业",IF(S131="","",S131),IF(Q131="","",Q131)))</f>
        <v/>
      </c>
      <c r="V131" s="34" t="str">
        <f aca="false">IF(OR(U131="",NOT(ISNUMBER(T131))),"",ROUND(U131*T131,2))</f>
        <v/>
      </c>
      <c r="W131" s="43"/>
      <c r="X131" s="48"/>
      <c r="Y131" s="45"/>
      <c r="Z131" s="41"/>
      <c r="AA131" s="32" t="str">
        <f aca="false">IF(OR(L131="",Y131=""),"",Y131-L131)</f>
        <v/>
      </c>
      <c r="AB131" s="43"/>
      <c r="AC131" s="43"/>
    </row>
    <row r="132" customFormat="false" ht="21.75" hidden="false" customHeight="true" outlineLevel="0" collapsed="false">
      <c r="A132" s="29" t="str">
        <f aca="false">IF(OR(B132="",C132=""),"",B132&amp;"-"&amp;C132)</f>
        <v/>
      </c>
      <c r="B132" s="48"/>
      <c r="C132" s="40"/>
      <c r="D132" s="41"/>
      <c r="E132" s="42"/>
      <c r="F132" s="48"/>
      <c r="G132" s="43"/>
      <c r="H132" s="43"/>
      <c r="I132" s="44"/>
      <c r="J132" s="36" t="str">
        <f aca="false">IF(I132="","",IFERROR(INDEX(参数表!$D$13:$D$212,MATCH(I132,参数表!$A$13:$A$212,0)),"SKU未建档"))</f>
        <v/>
      </c>
      <c r="K132" s="36" t="str">
        <f aca="false">IF(I132="","",IFERROR(INDEX(参数表!$F$13:$F$212,MATCH(I132,参数表!$A$13:$A$212,0)),"SKU未建档"))</f>
        <v/>
      </c>
      <c r="L132" s="45"/>
      <c r="M132" s="35" t="str">
        <f aca="false">IF(I132="","",IFERROR(INDEX(参数表!$G$13:$G$212,MATCH(I132,参数表!$A$13:$A$212,0)),"SKU未建档"))</f>
        <v/>
      </c>
      <c r="N132" s="40"/>
      <c r="O132" s="46"/>
      <c r="P132" s="47"/>
      <c r="Q132" s="34" t="str">
        <f aca="false">IF(OR(O132="",P132=""),"",ROUND(O132*P132,2))</f>
        <v/>
      </c>
      <c r="R132" s="48"/>
      <c r="S132" s="46"/>
      <c r="T132" s="33" t="str">
        <f aca="false">IF(I132="","",IFERROR(INDEX(参数表!$H$13:$H$212,MATCH(I132,参数表!$A$13:$A$212,0)),"SKU未建档"))</f>
        <v/>
      </c>
      <c r="U132" s="34" t="str">
        <f aca="false">IF(A132="","",IF(参数表!$B$6="外贸企业",IF(S132="","",S132),IF(Q132="","",Q132)))</f>
        <v/>
      </c>
      <c r="V132" s="34" t="str">
        <f aca="false">IF(OR(U132="",NOT(ISNUMBER(T132))),"",ROUND(U132*T132,2))</f>
        <v/>
      </c>
      <c r="W132" s="43"/>
      <c r="X132" s="48"/>
      <c r="Y132" s="45"/>
      <c r="Z132" s="41"/>
      <c r="AA132" s="32" t="str">
        <f aca="false">IF(OR(L132="",Y132=""),"",Y132-L132)</f>
        <v/>
      </c>
      <c r="AB132" s="43"/>
      <c r="AC132" s="43"/>
    </row>
    <row r="133" customFormat="false" ht="21.75" hidden="false" customHeight="true" outlineLevel="0" collapsed="false">
      <c r="A133" s="29" t="str">
        <f aca="false">IF(OR(B133="",C133=""),"",B133&amp;"-"&amp;C133)</f>
        <v/>
      </c>
      <c r="B133" s="48"/>
      <c r="C133" s="40"/>
      <c r="D133" s="41"/>
      <c r="E133" s="42"/>
      <c r="F133" s="48"/>
      <c r="G133" s="43"/>
      <c r="H133" s="43"/>
      <c r="I133" s="44"/>
      <c r="J133" s="36" t="str">
        <f aca="false">IF(I133="","",IFERROR(INDEX(参数表!$D$13:$D$212,MATCH(I133,参数表!$A$13:$A$212,0)),"SKU未建档"))</f>
        <v/>
      </c>
      <c r="K133" s="36" t="str">
        <f aca="false">IF(I133="","",IFERROR(INDEX(参数表!$F$13:$F$212,MATCH(I133,参数表!$A$13:$A$212,0)),"SKU未建档"))</f>
        <v/>
      </c>
      <c r="L133" s="45"/>
      <c r="M133" s="35" t="str">
        <f aca="false">IF(I133="","",IFERROR(INDEX(参数表!$G$13:$G$212,MATCH(I133,参数表!$A$13:$A$212,0)),"SKU未建档"))</f>
        <v/>
      </c>
      <c r="N133" s="40"/>
      <c r="O133" s="46"/>
      <c r="P133" s="47"/>
      <c r="Q133" s="34" t="str">
        <f aca="false">IF(OR(O133="",P133=""),"",ROUND(O133*P133,2))</f>
        <v/>
      </c>
      <c r="R133" s="48"/>
      <c r="S133" s="46"/>
      <c r="T133" s="33" t="str">
        <f aca="false">IF(I133="","",IFERROR(INDEX(参数表!$H$13:$H$212,MATCH(I133,参数表!$A$13:$A$212,0)),"SKU未建档"))</f>
        <v/>
      </c>
      <c r="U133" s="34" t="str">
        <f aca="false">IF(A133="","",IF(参数表!$B$6="外贸企业",IF(S133="","",S133),IF(Q133="","",Q133)))</f>
        <v/>
      </c>
      <c r="V133" s="34" t="str">
        <f aca="false">IF(OR(U133="",NOT(ISNUMBER(T133))),"",ROUND(U133*T133,2))</f>
        <v/>
      </c>
      <c r="W133" s="43"/>
      <c r="X133" s="48"/>
      <c r="Y133" s="45"/>
      <c r="Z133" s="41"/>
      <c r="AA133" s="32" t="str">
        <f aca="false">IF(OR(L133="",Y133=""),"",Y133-L133)</f>
        <v/>
      </c>
      <c r="AB133" s="43"/>
      <c r="AC133" s="43"/>
    </row>
    <row r="134" customFormat="false" ht="21.75" hidden="false" customHeight="true" outlineLevel="0" collapsed="false">
      <c r="A134" s="29" t="str">
        <f aca="false">IF(OR(B134="",C134=""),"",B134&amp;"-"&amp;C134)</f>
        <v/>
      </c>
      <c r="B134" s="48"/>
      <c r="C134" s="40"/>
      <c r="D134" s="41"/>
      <c r="E134" s="42"/>
      <c r="F134" s="48"/>
      <c r="G134" s="43"/>
      <c r="H134" s="43"/>
      <c r="I134" s="44"/>
      <c r="J134" s="36" t="str">
        <f aca="false">IF(I134="","",IFERROR(INDEX(参数表!$D$13:$D$212,MATCH(I134,参数表!$A$13:$A$212,0)),"SKU未建档"))</f>
        <v/>
      </c>
      <c r="K134" s="36" t="str">
        <f aca="false">IF(I134="","",IFERROR(INDEX(参数表!$F$13:$F$212,MATCH(I134,参数表!$A$13:$A$212,0)),"SKU未建档"))</f>
        <v/>
      </c>
      <c r="L134" s="45"/>
      <c r="M134" s="35" t="str">
        <f aca="false">IF(I134="","",IFERROR(INDEX(参数表!$G$13:$G$212,MATCH(I134,参数表!$A$13:$A$212,0)),"SKU未建档"))</f>
        <v/>
      </c>
      <c r="N134" s="40"/>
      <c r="O134" s="46"/>
      <c r="P134" s="47"/>
      <c r="Q134" s="34" t="str">
        <f aca="false">IF(OR(O134="",P134=""),"",ROUND(O134*P134,2))</f>
        <v/>
      </c>
      <c r="R134" s="48"/>
      <c r="S134" s="46"/>
      <c r="T134" s="33" t="str">
        <f aca="false">IF(I134="","",IFERROR(INDEX(参数表!$H$13:$H$212,MATCH(I134,参数表!$A$13:$A$212,0)),"SKU未建档"))</f>
        <v/>
      </c>
      <c r="U134" s="34" t="str">
        <f aca="false">IF(A134="","",IF(参数表!$B$6="外贸企业",IF(S134="","",S134),IF(Q134="","",Q134)))</f>
        <v/>
      </c>
      <c r="V134" s="34" t="str">
        <f aca="false">IF(OR(U134="",NOT(ISNUMBER(T134))),"",ROUND(U134*T134,2))</f>
        <v/>
      </c>
      <c r="W134" s="43"/>
      <c r="X134" s="48"/>
      <c r="Y134" s="45"/>
      <c r="Z134" s="41"/>
      <c r="AA134" s="32" t="str">
        <f aca="false">IF(OR(L134="",Y134=""),"",Y134-L134)</f>
        <v/>
      </c>
      <c r="AB134" s="43"/>
      <c r="AC134" s="43"/>
    </row>
    <row r="135" customFormat="false" ht="21.75" hidden="false" customHeight="true" outlineLevel="0" collapsed="false">
      <c r="A135" s="29" t="str">
        <f aca="false">IF(OR(B135="",C135=""),"",B135&amp;"-"&amp;C135)</f>
        <v/>
      </c>
      <c r="B135" s="48"/>
      <c r="C135" s="40"/>
      <c r="D135" s="41"/>
      <c r="E135" s="42"/>
      <c r="F135" s="48"/>
      <c r="G135" s="43"/>
      <c r="H135" s="43"/>
      <c r="I135" s="44"/>
      <c r="J135" s="36" t="str">
        <f aca="false">IF(I135="","",IFERROR(INDEX(参数表!$D$13:$D$212,MATCH(I135,参数表!$A$13:$A$212,0)),"SKU未建档"))</f>
        <v/>
      </c>
      <c r="K135" s="36" t="str">
        <f aca="false">IF(I135="","",IFERROR(INDEX(参数表!$F$13:$F$212,MATCH(I135,参数表!$A$13:$A$212,0)),"SKU未建档"))</f>
        <v/>
      </c>
      <c r="L135" s="45"/>
      <c r="M135" s="35" t="str">
        <f aca="false">IF(I135="","",IFERROR(INDEX(参数表!$G$13:$G$212,MATCH(I135,参数表!$A$13:$A$212,0)),"SKU未建档"))</f>
        <v/>
      </c>
      <c r="N135" s="40"/>
      <c r="O135" s="46"/>
      <c r="P135" s="47"/>
      <c r="Q135" s="34" t="str">
        <f aca="false">IF(OR(O135="",P135=""),"",ROUND(O135*P135,2))</f>
        <v/>
      </c>
      <c r="R135" s="48"/>
      <c r="S135" s="46"/>
      <c r="T135" s="33" t="str">
        <f aca="false">IF(I135="","",IFERROR(INDEX(参数表!$H$13:$H$212,MATCH(I135,参数表!$A$13:$A$212,0)),"SKU未建档"))</f>
        <v/>
      </c>
      <c r="U135" s="34" t="str">
        <f aca="false">IF(A135="","",IF(参数表!$B$6="外贸企业",IF(S135="","",S135),IF(Q135="","",Q135)))</f>
        <v/>
      </c>
      <c r="V135" s="34" t="str">
        <f aca="false">IF(OR(U135="",NOT(ISNUMBER(T135))),"",ROUND(U135*T135,2))</f>
        <v/>
      </c>
      <c r="W135" s="43"/>
      <c r="X135" s="48"/>
      <c r="Y135" s="45"/>
      <c r="Z135" s="41"/>
      <c r="AA135" s="32" t="str">
        <f aca="false">IF(OR(L135="",Y135=""),"",Y135-L135)</f>
        <v/>
      </c>
      <c r="AB135" s="43"/>
      <c r="AC135" s="43"/>
    </row>
    <row r="136" customFormat="false" ht="21.75" hidden="false" customHeight="true" outlineLevel="0" collapsed="false">
      <c r="A136" s="29" t="str">
        <f aca="false">IF(OR(B136="",C136=""),"",B136&amp;"-"&amp;C136)</f>
        <v/>
      </c>
      <c r="B136" s="48"/>
      <c r="C136" s="40"/>
      <c r="D136" s="41"/>
      <c r="E136" s="42"/>
      <c r="F136" s="48"/>
      <c r="G136" s="43"/>
      <c r="H136" s="43"/>
      <c r="I136" s="44"/>
      <c r="J136" s="36" t="str">
        <f aca="false">IF(I136="","",IFERROR(INDEX(参数表!$D$13:$D$212,MATCH(I136,参数表!$A$13:$A$212,0)),"SKU未建档"))</f>
        <v/>
      </c>
      <c r="K136" s="36" t="str">
        <f aca="false">IF(I136="","",IFERROR(INDEX(参数表!$F$13:$F$212,MATCH(I136,参数表!$A$13:$A$212,0)),"SKU未建档"))</f>
        <v/>
      </c>
      <c r="L136" s="45"/>
      <c r="M136" s="35" t="str">
        <f aca="false">IF(I136="","",IFERROR(INDEX(参数表!$G$13:$G$212,MATCH(I136,参数表!$A$13:$A$212,0)),"SKU未建档"))</f>
        <v/>
      </c>
      <c r="N136" s="40"/>
      <c r="O136" s="46"/>
      <c r="P136" s="47"/>
      <c r="Q136" s="34" t="str">
        <f aca="false">IF(OR(O136="",P136=""),"",ROUND(O136*P136,2))</f>
        <v/>
      </c>
      <c r="R136" s="48"/>
      <c r="S136" s="46"/>
      <c r="T136" s="33" t="str">
        <f aca="false">IF(I136="","",IFERROR(INDEX(参数表!$H$13:$H$212,MATCH(I136,参数表!$A$13:$A$212,0)),"SKU未建档"))</f>
        <v/>
      </c>
      <c r="U136" s="34" t="str">
        <f aca="false">IF(A136="","",IF(参数表!$B$6="外贸企业",IF(S136="","",S136),IF(Q136="","",Q136)))</f>
        <v/>
      </c>
      <c r="V136" s="34" t="str">
        <f aca="false">IF(OR(U136="",NOT(ISNUMBER(T136))),"",ROUND(U136*T136,2))</f>
        <v/>
      </c>
      <c r="W136" s="43"/>
      <c r="X136" s="48"/>
      <c r="Y136" s="45"/>
      <c r="Z136" s="41"/>
      <c r="AA136" s="32" t="str">
        <f aca="false">IF(OR(L136="",Y136=""),"",Y136-L136)</f>
        <v/>
      </c>
      <c r="AB136" s="43"/>
      <c r="AC136" s="43"/>
    </row>
    <row r="137" customFormat="false" ht="21.75" hidden="false" customHeight="true" outlineLevel="0" collapsed="false">
      <c r="A137" s="29" t="str">
        <f aca="false">IF(OR(B137="",C137=""),"",B137&amp;"-"&amp;C137)</f>
        <v/>
      </c>
      <c r="B137" s="48"/>
      <c r="C137" s="40"/>
      <c r="D137" s="41"/>
      <c r="E137" s="42"/>
      <c r="F137" s="48"/>
      <c r="G137" s="43"/>
      <c r="H137" s="43"/>
      <c r="I137" s="44"/>
      <c r="J137" s="36" t="str">
        <f aca="false">IF(I137="","",IFERROR(INDEX(参数表!$D$13:$D$212,MATCH(I137,参数表!$A$13:$A$212,0)),"SKU未建档"))</f>
        <v/>
      </c>
      <c r="K137" s="36" t="str">
        <f aca="false">IF(I137="","",IFERROR(INDEX(参数表!$F$13:$F$212,MATCH(I137,参数表!$A$13:$A$212,0)),"SKU未建档"))</f>
        <v/>
      </c>
      <c r="L137" s="45"/>
      <c r="M137" s="35" t="str">
        <f aca="false">IF(I137="","",IFERROR(INDEX(参数表!$G$13:$G$212,MATCH(I137,参数表!$A$13:$A$212,0)),"SKU未建档"))</f>
        <v/>
      </c>
      <c r="N137" s="40"/>
      <c r="O137" s="46"/>
      <c r="P137" s="47"/>
      <c r="Q137" s="34" t="str">
        <f aca="false">IF(OR(O137="",P137=""),"",ROUND(O137*P137,2))</f>
        <v/>
      </c>
      <c r="R137" s="48"/>
      <c r="S137" s="46"/>
      <c r="T137" s="33" t="str">
        <f aca="false">IF(I137="","",IFERROR(INDEX(参数表!$H$13:$H$212,MATCH(I137,参数表!$A$13:$A$212,0)),"SKU未建档"))</f>
        <v/>
      </c>
      <c r="U137" s="34" t="str">
        <f aca="false">IF(A137="","",IF(参数表!$B$6="外贸企业",IF(S137="","",S137),IF(Q137="","",Q137)))</f>
        <v/>
      </c>
      <c r="V137" s="34" t="str">
        <f aca="false">IF(OR(U137="",NOT(ISNUMBER(T137))),"",ROUND(U137*T137,2))</f>
        <v/>
      </c>
      <c r="W137" s="43"/>
      <c r="X137" s="48"/>
      <c r="Y137" s="45"/>
      <c r="Z137" s="41"/>
      <c r="AA137" s="32" t="str">
        <f aca="false">IF(OR(L137="",Y137=""),"",Y137-L137)</f>
        <v/>
      </c>
      <c r="AB137" s="43"/>
      <c r="AC137" s="43"/>
    </row>
    <row r="138" customFormat="false" ht="21.75" hidden="false" customHeight="true" outlineLevel="0" collapsed="false">
      <c r="A138" s="29" t="str">
        <f aca="false">IF(OR(B138="",C138=""),"",B138&amp;"-"&amp;C138)</f>
        <v/>
      </c>
      <c r="B138" s="48"/>
      <c r="C138" s="40"/>
      <c r="D138" s="41"/>
      <c r="E138" s="42"/>
      <c r="F138" s="48"/>
      <c r="G138" s="43"/>
      <c r="H138" s="43"/>
      <c r="I138" s="44"/>
      <c r="J138" s="36" t="str">
        <f aca="false">IF(I138="","",IFERROR(INDEX(参数表!$D$13:$D$212,MATCH(I138,参数表!$A$13:$A$212,0)),"SKU未建档"))</f>
        <v/>
      </c>
      <c r="K138" s="36" t="str">
        <f aca="false">IF(I138="","",IFERROR(INDEX(参数表!$F$13:$F$212,MATCH(I138,参数表!$A$13:$A$212,0)),"SKU未建档"))</f>
        <v/>
      </c>
      <c r="L138" s="45"/>
      <c r="M138" s="35" t="str">
        <f aca="false">IF(I138="","",IFERROR(INDEX(参数表!$G$13:$G$212,MATCH(I138,参数表!$A$13:$A$212,0)),"SKU未建档"))</f>
        <v/>
      </c>
      <c r="N138" s="40"/>
      <c r="O138" s="46"/>
      <c r="P138" s="47"/>
      <c r="Q138" s="34" t="str">
        <f aca="false">IF(OR(O138="",P138=""),"",ROUND(O138*P138,2))</f>
        <v/>
      </c>
      <c r="R138" s="48"/>
      <c r="S138" s="46"/>
      <c r="T138" s="33" t="str">
        <f aca="false">IF(I138="","",IFERROR(INDEX(参数表!$H$13:$H$212,MATCH(I138,参数表!$A$13:$A$212,0)),"SKU未建档"))</f>
        <v/>
      </c>
      <c r="U138" s="34" t="str">
        <f aca="false">IF(A138="","",IF(参数表!$B$6="外贸企业",IF(S138="","",S138),IF(Q138="","",Q138)))</f>
        <v/>
      </c>
      <c r="V138" s="34" t="str">
        <f aca="false">IF(OR(U138="",NOT(ISNUMBER(T138))),"",ROUND(U138*T138,2))</f>
        <v/>
      </c>
      <c r="W138" s="43"/>
      <c r="X138" s="48"/>
      <c r="Y138" s="45"/>
      <c r="Z138" s="41"/>
      <c r="AA138" s="32" t="str">
        <f aca="false">IF(OR(L138="",Y138=""),"",Y138-L138)</f>
        <v/>
      </c>
      <c r="AB138" s="43"/>
      <c r="AC138" s="43"/>
    </row>
    <row r="139" customFormat="false" ht="21.75" hidden="false" customHeight="true" outlineLevel="0" collapsed="false">
      <c r="A139" s="29" t="str">
        <f aca="false">IF(OR(B139="",C139=""),"",B139&amp;"-"&amp;C139)</f>
        <v/>
      </c>
      <c r="B139" s="48"/>
      <c r="C139" s="40"/>
      <c r="D139" s="41"/>
      <c r="E139" s="42"/>
      <c r="F139" s="48"/>
      <c r="G139" s="43"/>
      <c r="H139" s="43"/>
      <c r="I139" s="44"/>
      <c r="J139" s="36" t="str">
        <f aca="false">IF(I139="","",IFERROR(INDEX(参数表!$D$13:$D$212,MATCH(I139,参数表!$A$13:$A$212,0)),"SKU未建档"))</f>
        <v/>
      </c>
      <c r="K139" s="36" t="str">
        <f aca="false">IF(I139="","",IFERROR(INDEX(参数表!$F$13:$F$212,MATCH(I139,参数表!$A$13:$A$212,0)),"SKU未建档"))</f>
        <v/>
      </c>
      <c r="L139" s="45"/>
      <c r="M139" s="35" t="str">
        <f aca="false">IF(I139="","",IFERROR(INDEX(参数表!$G$13:$G$212,MATCH(I139,参数表!$A$13:$A$212,0)),"SKU未建档"))</f>
        <v/>
      </c>
      <c r="N139" s="40"/>
      <c r="O139" s="46"/>
      <c r="P139" s="47"/>
      <c r="Q139" s="34" t="str">
        <f aca="false">IF(OR(O139="",P139=""),"",ROUND(O139*P139,2))</f>
        <v/>
      </c>
      <c r="R139" s="48"/>
      <c r="S139" s="46"/>
      <c r="T139" s="33" t="str">
        <f aca="false">IF(I139="","",IFERROR(INDEX(参数表!$H$13:$H$212,MATCH(I139,参数表!$A$13:$A$212,0)),"SKU未建档"))</f>
        <v/>
      </c>
      <c r="U139" s="34" t="str">
        <f aca="false">IF(A139="","",IF(参数表!$B$6="外贸企业",IF(S139="","",S139),IF(Q139="","",Q139)))</f>
        <v/>
      </c>
      <c r="V139" s="34" t="str">
        <f aca="false">IF(OR(U139="",NOT(ISNUMBER(T139))),"",ROUND(U139*T139,2))</f>
        <v/>
      </c>
      <c r="W139" s="43"/>
      <c r="X139" s="48"/>
      <c r="Y139" s="45"/>
      <c r="Z139" s="41"/>
      <c r="AA139" s="32" t="str">
        <f aca="false">IF(OR(L139="",Y139=""),"",Y139-L139)</f>
        <v/>
      </c>
      <c r="AB139" s="43"/>
      <c r="AC139" s="43"/>
    </row>
    <row r="140" customFormat="false" ht="21.75" hidden="false" customHeight="true" outlineLevel="0" collapsed="false">
      <c r="A140" s="29" t="str">
        <f aca="false">IF(OR(B140="",C140=""),"",B140&amp;"-"&amp;C140)</f>
        <v/>
      </c>
      <c r="B140" s="48"/>
      <c r="C140" s="40"/>
      <c r="D140" s="41"/>
      <c r="E140" s="42"/>
      <c r="F140" s="48"/>
      <c r="G140" s="43"/>
      <c r="H140" s="43"/>
      <c r="I140" s="44"/>
      <c r="J140" s="36" t="str">
        <f aca="false">IF(I140="","",IFERROR(INDEX(参数表!$D$13:$D$212,MATCH(I140,参数表!$A$13:$A$212,0)),"SKU未建档"))</f>
        <v/>
      </c>
      <c r="K140" s="36" t="str">
        <f aca="false">IF(I140="","",IFERROR(INDEX(参数表!$F$13:$F$212,MATCH(I140,参数表!$A$13:$A$212,0)),"SKU未建档"))</f>
        <v/>
      </c>
      <c r="L140" s="45"/>
      <c r="M140" s="35" t="str">
        <f aca="false">IF(I140="","",IFERROR(INDEX(参数表!$G$13:$G$212,MATCH(I140,参数表!$A$13:$A$212,0)),"SKU未建档"))</f>
        <v/>
      </c>
      <c r="N140" s="40"/>
      <c r="O140" s="46"/>
      <c r="P140" s="47"/>
      <c r="Q140" s="34" t="str">
        <f aca="false">IF(OR(O140="",P140=""),"",ROUND(O140*P140,2))</f>
        <v/>
      </c>
      <c r="R140" s="48"/>
      <c r="S140" s="46"/>
      <c r="T140" s="33" t="str">
        <f aca="false">IF(I140="","",IFERROR(INDEX(参数表!$H$13:$H$212,MATCH(I140,参数表!$A$13:$A$212,0)),"SKU未建档"))</f>
        <v/>
      </c>
      <c r="U140" s="34" t="str">
        <f aca="false">IF(A140="","",IF(参数表!$B$6="外贸企业",IF(S140="","",S140),IF(Q140="","",Q140)))</f>
        <v/>
      </c>
      <c r="V140" s="34" t="str">
        <f aca="false">IF(OR(U140="",NOT(ISNUMBER(T140))),"",ROUND(U140*T140,2))</f>
        <v/>
      </c>
      <c r="W140" s="43"/>
      <c r="X140" s="48"/>
      <c r="Y140" s="45"/>
      <c r="Z140" s="41"/>
      <c r="AA140" s="32" t="str">
        <f aca="false">IF(OR(L140="",Y140=""),"",Y140-L140)</f>
        <v/>
      </c>
      <c r="AB140" s="43"/>
      <c r="AC140" s="43"/>
    </row>
    <row r="141" customFormat="false" ht="21.75" hidden="false" customHeight="true" outlineLevel="0" collapsed="false">
      <c r="A141" s="29" t="str">
        <f aca="false">IF(OR(B141="",C141=""),"",B141&amp;"-"&amp;C141)</f>
        <v/>
      </c>
      <c r="B141" s="48"/>
      <c r="C141" s="40"/>
      <c r="D141" s="41"/>
      <c r="E141" s="42"/>
      <c r="F141" s="48"/>
      <c r="G141" s="43"/>
      <c r="H141" s="43"/>
      <c r="I141" s="44"/>
      <c r="J141" s="36" t="str">
        <f aca="false">IF(I141="","",IFERROR(INDEX(参数表!$D$13:$D$212,MATCH(I141,参数表!$A$13:$A$212,0)),"SKU未建档"))</f>
        <v/>
      </c>
      <c r="K141" s="36" t="str">
        <f aca="false">IF(I141="","",IFERROR(INDEX(参数表!$F$13:$F$212,MATCH(I141,参数表!$A$13:$A$212,0)),"SKU未建档"))</f>
        <v/>
      </c>
      <c r="L141" s="45"/>
      <c r="M141" s="35" t="str">
        <f aca="false">IF(I141="","",IFERROR(INDEX(参数表!$G$13:$G$212,MATCH(I141,参数表!$A$13:$A$212,0)),"SKU未建档"))</f>
        <v/>
      </c>
      <c r="N141" s="40"/>
      <c r="O141" s="46"/>
      <c r="P141" s="47"/>
      <c r="Q141" s="34" t="str">
        <f aca="false">IF(OR(O141="",P141=""),"",ROUND(O141*P141,2))</f>
        <v/>
      </c>
      <c r="R141" s="48"/>
      <c r="S141" s="46"/>
      <c r="T141" s="33" t="str">
        <f aca="false">IF(I141="","",IFERROR(INDEX(参数表!$H$13:$H$212,MATCH(I141,参数表!$A$13:$A$212,0)),"SKU未建档"))</f>
        <v/>
      </c>
      <c r="U141" s="34" t="str">
        <f aca="false">IF(A141="","",IF(参数表!$B$6="外贸企业",IF(S141="","",S141),IF(Q141="","",Q141)))</f>
        <v/>
      </c>
      <c r="V141" s="34" t="str">
        <f aca="false">IF(OR(U141="",NOT(ISNUMBER(T141))),"",ROUND(U141*T141,2))</f>
        <v/>
      </c>
      <c r="W141" s="43"/>
      <c r="X141" s="48"/>
      <c r="Y141" s="45"/>
      <c r="Z141" s="41"/>
      <c r="AA141" s="32" t="str">
        <f aca="false">IF(OR(L141="",Y141=""),"",Y141-L141)</f>
        <v/>
      </c>
      <c r="AB141" s="43"/>
      <c r="AC141" s="43"/>
    </row>
    <row r="142" customFormat="false" ht="21.75" hidden="false" customHeight="true" outlineLevel="0" collapsed="false">
      <c r="A142" s="29" t="str">
        <f aca="false">IF(OR(B142="",C142=""),"",B142&amp;"-"&amp;C142)</f>
        <v/>
      </c>
      <c r="B142" s="48"/>
      <c r="C142" s="40"/>
      <c r="D142" s="41"/>
      <c r="E142" s="42"/>
      <c r="F142" s="48"/>
      <c r="G142" s="43"/>
      <c r="H142" s="43"/>
      <c r="I142" s="44"/>
      <c r="J142" s="36" t="str">
        <f aca="false">IF(I142="","",IFERROR(INDEX(参数表!$D$13:$D$212,MATCH(I142,参数表!$A$13:$A$212,0)),"SKU未建档"))</f>
        <v/>
      </c>
      <c r="K142" s="36" t="str">
        <f aca="false">IF(I142="","",IFERROR(INDEX(参数表!$F$13:$F$212,MATCH(I142,参数表!$A$13:$A$212,0)),"SKU未建档"))</f>
        <v/>
      </c>
      <c r="L142" s="45"/>
      <c r="M142" s="35" t="str">
        <f aca="false">IF(I142="","",IFERROR(INDEX(参数表!$G$13:$G$212,MATCH(I142,参数表!$A$13:$A$212,0)),"SKU未建档"))</f>
        <v/>
      </c>
      <c r="N142" s="40"/>
      <c r="O142" s="46"/>
      <c r="P142" s="47"/>
      <c r="Q142" s="34" t="str">
        <f aca="false">IF(OR(O142="",P142=""),"",ROUND(O142*P142,2))</f>
        <v/>
      </c>
      <c r="R142" s="48"/>
      <c r="S142" s="46"/>
      <c r="T142" s="33" t="str">
        <f aca="false">IF(I142="","",IFERROR(INDEX(参数表!$H$13:$H$212,MATCH(I142,参数表!$A$13:$A$212,0)),"SKU未建档"))</f>
        <v/>
      </c>
      <c r="U142" s="34" t="str">
        <f aca="false">IF(A142="","",IF(参数表!$B$6="外贸企业",IF(S142="","",S142),IF(Q142="","",Q142)))</f>
        <v/>
      </c>
      <c r="V142" s="34" t="str">
        <f aca="false">IF(OR(U142="",NOT(ISNUMBER(T142))),"",ROUND(U142*T142,2))</f>
        <v/>
      </c>
      <c r="W142" s="43"/>
      <c r="X142" s="48"/>
      <c r="Y142" s="45"/>
      <c r="Z142" s="41"/>
      <c r="AA142" s="32" t="str">
        <f aca="false">IF(OR(L142="",Y142=""),"",Y142-L142)</f>
        <v/>
      </c>
      <c r="AB142" s="43"/>
      <c r="AC142" s="43"/>
    </row>
    <row r="143" customFormat="false" ht="21.75" hidden="false" customHeight="true" outlineLevel="0" collapsed="false">
      <c r="A143" s="29" t="str">
        <f aca="false">IF(OR(B143="",C143=""),"",B143&amp;"-"&amp;C143)</f>
        <v/>
      </c>
      <c r="B143" s="48"/>
      <c r="C143" s="40"/>
      <c r="D143" s="41"/>
      <c r="E143" s="42"/>
      <c r="F143" s="48"/>
      <c r="G143" s="43"/>
      <c r="H143" s="43"/>
      <c r="I143" s="44"/>
      <c r="J143" s="36" t="str">
        <f aca="false">IF(I143="","",IFERROR(INDEX(参数表!$D$13:$D$212,MATCH(I143,参数表!$A$13:$A$212,0)),"SKU未建档"))</f>
        <v/>
      </c>
      <c r="K143" s="36" t="str">
        <f aca="false">IF(I143="","",IFERROR(INDEX(参数表!$F$13:$F$212,MATCH(I143,参数表!$A$13:$A$212,0)),"SKU未建档"))</f>
        <v/>
      </c>
      <c r="L143" s="45"/>
      <c r="M143" s="35" t="str">
        <f aca="false">IF(I143="","",IFERROR(INDEX(参数表!$G$13:$G$212,MATCH(I143,参数表!$A$13:$A$212,0)),"SKU未建档"))</f>
        <v/>
      </c>
      <c r="N143" s="40"/>
      <c r="O143" s="46"/>
      <c r="P143" s="47"/>
      <c r="Q143" s="34" t="str">
        <f aca="false">IF(OR(O143="",P143=""),"",ROUND(O143*P143,2))</f>
        <v/>
      </c>
      <c r="R143" s="48"/>
      <c r="S143" s="46"/>
      <c r="T143" s="33" t="str">
        <f aca="false">IF(I143="","",IFERROR(INDEX(参数表!$H$13:$H$212,MATCH(I143,参数表!$A$13:$A$212,0)),"SKU未建档"))</f>
        <v/>
      </c>
      <c r="U143" s="34" t="str">
        <f aca="false">IF(A143="","",IF(参数表!$B$6="外贸企业",IF(S143="","",S143),IF(Q143="","",Q143)))</f>
        <v/>
      </c>
      <c r="V143" s="34" t="str">
        <f aca="false">IF(OR(U143="",NOT(ISNUMBER(T143))),"",ROUND(U143*T143,2))</f>
        <v/>
      </c>
      <c r="W143" s="43"/>
      <c r="X143" s="48"/>
      <c r="Y143" s="45"/>
      <c r="Z143" s="41"/>
      <c r="AA143" s="32" t="str">
        <f aca="false">IF(OR(L143="",Y143=""),"",Y143-L143)</f>
        <v/>
      </c>
      <c r="AB143" s="43"/>
      <c r="AC143" s="43"/>
    </row>
    <row r="144" customFormat="false" ht="21.75" hidden="false" customHeight="true" outlineLevel="0" collapsed="false">
      <c r="A144" s="29" t="str">
        <f aca="false">IF(OR(B144="",C144=""),"",B144&amp;"-"&amp;C144)</f>
        <v/>
      </c>
      <c r="B144" s="48"/>
      <c r="C144" s="40"/>
      <c r="D144" s="41"/>
      <c r="E144" s="42"/>
      <c r="F144" s="48"/>
      <c r="G144" s="43"/>
      <c r="H144" s="43"/>
      <c r="I144" s="44"/>
      <c r="J144" s="36" t="str">
        <f aca="false">IF(I144="","",IFERROR(INDEX(参数表!$D$13:$D$212,MATCH(I144,参数表!$A$13:$A$212,0)),"SKU未建档"))</f>
        <v/>
      </c>
      <c r="K144" s="36" t="str">
        <f aca="false">IF(I144="","",IFERROR(INDEX(参数表!$F$13:$F$212,MATCH(I144,参数表!$A$13:$A$212,0)),"SKU未建档"))</f>
        <v/>
      </c>
      <c r="L144" s="45"/>
      <c r="M144" s="35" t="str">
        <f aca="false">IF(I144="","",IFERROR(INDEX(参数表!$G$13:$G$212,MATCH(I144,参数表!$A$13:$A$212,0)),"SKU未建档"))</f>
        <v/>
      </c>
      <c r="N144" s="40"/>
      <c r="O144" s="46"/>
      <c r="P144" s="47"/>
      <c r="Q144" s="34" t="str">
        <f aca="false">IF(OR(O144="",P144=""),"",ROUND(O144*P144,2))</f>
        <v/>
      </c>
      <c r="R144" s="48"/>
      <c r="S144" s="46"/>
      <c r="T144" s="33" t="str">
        <f aca="false">IF(I144="","",IFERROR(INDEX(参数表!$H$13:$H$212,MATCH(I144,参数表!$A$13:$A$212,0)),"SKU未建档"))</f>
        <v/>
      </c>
      <c r="U144" s="34" t="str">
        <f aca="false">IF(A144="","",IF(参数表!$B$6="外贸企业",IF(S144="","",S144),IF(Q144="","",Q144)))</f>
        <v/>
      </c>
      <c r="V144" s="34" t="str">
        <f aca="false">IF(OR(U144="",NOT(ISNUMBER(T144))),"",ROUND(U144*T144,2))</f>
        <v/>
      </c>
      <c r="W144" s="43"/>
      <c r="X144" s="48"/>
      <c r="Y144" s="45"/>
      <c r="Z144" s="41"/>
      <c r="AA144" s="32" t="str">
        <f aca="false">IF(OR(L144="",Y144=""),"",Y144-L144)</f>
        <v/>
      </c>
      <c r="AB144" s="43"/>
      <c r="AC144" s="43"/>
    </row>
    <row r="145" customFormat="false" ht="21.75" hidden="false" customHeight="true" outlineLevel="0" collapsed="false">
      <c r="A145" s="29" t="str">
        <f aca="false">IF(OR(B145="",C145=""),"",B145&amp;"-"&amp;C145)</f>
        <v/>
      </c>
      <c r="B145" s="48"/>
      <c r="C145" s="40"/>
      <c r="D145" s="41"/>
      <c r="E145" s="42"/>
      <c r="F145" s="48"/>
      <c r="G145" s="43"/>
      <c r="H145" s="43"/>
      <c r="I145" s="44"/>
      <c r="J145" s="36" t="str">
        <f aca="false">IF(I145="","",IFERROR(INDEX(参数表!$D$13:$D$212,MATCH(I145,参数表!$A$13:$A$212,0)),"SKU未建档"))</f>
        <v/>
      </c>
      <c r="K145" s="36" t="str">
        <f aca="false">IF(I145="","",IFERROR(INDEX(参数表!$F$13:$F$212,MATCH(I145,参数表!$A$13:$A$212,0)),"SKU未建档"))</f>
        <v/>
      </c>
      <c r="L145" s="45"/>
      <c r="M145" s="35" t="str">
        <f aca="false">IF(I145="","",IFERROR(INDEX(参数表!$G$13:$G$212,MATCH(I145,参数表!$A$13:$A$212,0)),"SKU未建档"))</f>
        <v/>
      </c>
      <c r="N145" s="40"/>
      <c r="O145" s="46"/>
      <c r="P145" s="47"/>
      <c r="Q145" s="34" t="str">
        <f aca="false">IF(OR(O145="",P145=""),"",ROUND(O145*P145,2))</f>
        <v/>
      </c>
      <c r="R145" s="48"/>
      <c r="S145" s="46"/>
      <c r="T145" s="33" t="str">
        <f aca="false">IF(I145="","",IFERROR(INDEX(参数表!$H$13:$H$212,MATCH(I145,参数表!$A$13:$A$212,0)),"SKU未建档"))</f>
        <v/>
      </c>
      <c r="U145" s="34" t="str">
        <f aca="false">IF(A145="","",IF(参数表!$B$6="外贸企业",IF(S145="","",S145),IF(Q145="","",Q145)))</f>
        <v/>
      </c>
      <c r="V145" s="34" t="str">
        <f aca="false">IF(OR(U145="",NOT(ISNUMBER(T145))),"",ROUND(U145*T145,2))</f>
        <v/>
      </c>
      <c r="W145" s="43"/>
      <c r="X145" s="48"/>
      <c r="Y145" s="45"/>
      <c r="Z145" s="41"/>
      <c r="AA145" s="32" t="str">
        <f aca="false">IF(OR(L145="",Y145=""),"",Y145-L145)</f>
        <v/>
      </c>
      <c r="AB145" s="43"/>
      <c r="AC145" s="43"/>
    </row>
    <row r="146" customFormat="false" ht="21.75" hidden="false" customHeight="true" outlineLevel="0" collapsed="false">
      <c r="A146" s="29" t="str">
        <f aca="false">IF(OR(B146="",C146=""),"",B146&amp;"-"&amp;C146)</f>
        <v/>
      </c>
      <c r="B146" s="48"/>
      <c r="C146" s="40"/>
      <c r="D146" s="41"/>
      <c r="E146" s="42"/>
      <c r="F146" s="48"/>
      <c r="G146" s="43"/>
      <c r="H146" s="43"/>
      <c r="I146" s="44"/>
      <c r="J146" s="36" t="str">
        <f aca="false">IF(I146="","",IFERROR(INDEX(参数表!$D$13:$D$212,MATCH(I146,参数表!$A$13:$A$212,0)),"SKU未建档"))</f>
        <v/>
      </c>
      <c r="K146" s="36" t="str">
        <f aca="false">IF(I146="","",IFERROR(INDEX(参数表!$F$13:$F$212,MATCH(I146,参数表!$A$13:$A$212,0)),"SKU未建档"))</f>
        <v/>
      </c>
      <c r="L146" s="45"/>
      <c r="M146" s="35" t="str">
        <f aca="false">IF(I146="","",IFERROR(INDEX(参数表!$G$13:$G$212,MATCH(I146,参数表!$A$13:$A$212,0)),"SKU未建档"))</f>
        <v/>
      </c>
      <c r="N146" s="40"/>
      <c r="O146" s="46"/>
      <c r="P146" s="47"/>
      <c r="Q146" s="34" t="str">
        <f aca="false">IF(OR(O146="",P146=""),"",ROUND(O146*P146,2))</f>
        <v/>
      </c>
      <c r="R146" s="48"/>
      <c r="S146" s="46"/>
      <c r="T146" s="33" t="str">
        <f aca="false">IF(I146="","",IFERROR(INDEX(参数表!$H$13:$H$212,MATCH(I146,参数表!$A$13:$A$212,0)),"SKU未建档"))</f>
        <v/>
      </c>
      <c r="U146" s="34" t="str">
        <f aca="false">IF(A146="","",IF(参数表!$B$6="外贸企业",IF(S146="","",S146),IF(Q146="","",Q146)))</f>
        <v/>
      </c>
      <c r="V146" s="34" t="str">
        <f aca="false">IF(OR(U146="",NOT(ISNUMBER(T146))),"",ROUND(U146*T146,2))</f>
        <v/>
      </c>
      <c r="W146" s="43"/>
      <c r="X146" s="48"/>
      <c r="Y146" s="45"/>
      <c r="Z146" s="41"/>
      <c r="AA146" s="32" t="str">
        <f aca="false">IF(OR(L146="",Y146=""),"",Y146-L146)</f>
        <v/>
      </c>
      <c r="AB146" s="43"/>
      <c r="AC146" s="43"/>
    </row>
    <row r="147" customFormat="false" ht="21.75" hidden="false" customHeight="true" outlineLevel="0" collapsed="false">
      <c r="A147" s="29" t="str">
        <f aca="false">IF(OR(B147="",C147=""),"",B147&amp;"-"&amp;C147)</f>
        <v/>
      </c>
      <c r="B147" s="48"/>
      <c r="C147" s="40"/>
      <c r="D147" s="41"/>
      <c r="E147" s="42"/>
      <c r="F147" s="48"/>
      <c r="G147" s="43"/>
      <c r="H147" s="43"/>
      <c r="I147" s="44"/>
      <c r="J147" s="36" t="str">
        <f aca="false">IF(I147="","",IFERROR(INDEX(参数表!$D$13:$D$212,MATCH(I147,参数表!$A$13:$A$212,0)),"SKU未建档"))</f>
        <v/>
      </c>
      <c r="K147" s="36" t="str">
        <f aca="false">IF(I147="","",IFERROR(INDEX(参数表!$F$13:$F$212,MATCH(I147,参数表!$A$13:$A$212,0)),"SKU未建档"))</f>
        <v/>
      </c>
      <c r="L147" s="45"/>
      <c r="M147" s="35" t="str">
        <f aca="false">IF(I147="","",IFERROR(INDEX(参数表!$G$13:$G$212,MATCH(I147,参数表!$A$13:$A$212,0)),"SKU未建档"))</f>
        <v/>
      </c>
      <c r="N147" s="40"/>
      <c r="O147" s="46"/>
      <c r="P147" s="47"/>
      <c r="Q147" s="34" t="str">
        <f aca="false">IF(OR(O147="",P147=""),"",ROUND(O147*P147,2))</f>
        <v/>
      </c>
      <c r="R147" s="48"/>
      <c r="S147" s="46"/>
      <c r="T147" s="33" t="str">
        <f aca="false">IF(I147="","",IFERROR(INDEX(参数表!$H$13:$H$212,MATCH(I147,参数表!$A$13:$A$212,0)),"SKU未建档"))</f>
        <v/>
      </c>
      <c r="U147" s="34" t="str">
        <f aca="false">IF(A147="","",IF(参数表!$B$6="外贸企业",IF(S147="","",S147),IF(Q147="","",Q147)))</f>
        <v/>
      </c>
      <c r="V147" s="34" t="str">
        <f aca="false">IF(OR(U147="",NOT(ISNUMBER(T147))),"",ROUND(U147*T147,2))</f>
        <v/>
      </c>
      <c r="W147" s="43"/>
      <c r="X147" s="48"/>
      <c r="Y147" s="45"/>
      <c r="Z147" s="41"/>
      <c r="AA147" s="32" t="str">
        <f aca="false">IF(OR(L147="",Y147=""),"",Y147-L147)</f>
        <v/>
      </c>
      <c r="AB147" s="43"/>
      <c r="AC147" s="43"/>
    </row>
    <row r="148" customFormat="false" ht="21.75" hidden="false" customHeight="true" outlineLevel="0" collapsed="false">
      <c r="A148" s="29" t="str">
        <f aca="false">IF(OR(B148="",C148=""),"",B148&amp;"-"&amp;C148)</f>
        <v/>
      </c>
      <c r="B148" s="48"/>
      <c r="C148" s="40"/>
      <c r="D148" s="41"/>
      <c r="E148" s="42"/>
      <c r="F148" s="48"/>
      <c r="G148" s="43"/>
      <c r="H148" s="43"/>
      <c r="I148" s="44"/>
      <c r="J148" s="36" t="str">
        <f aca="false">IF(I148="","",IFERROR(INDEX(参数表!$D$13:$D$212,MATCH(I148,参数表!$A$13:$A$212,0)),"SKU未建档"))</f>
        <v/>
      </c>
      <c r="K148" s="36" t="str">
        <f aca="false">IF(I148="","",IFERROR(INDEX(参数表!$F$13:$F$212,MATCH(I148,参数表!$A$13:$A$212,0)),"SKU未建档"))</f>
        <v/>
      </c>
      <c r="L148" s="45"/>
      <c r="M148" s="35" t="str">
        <f aca="false">IF(I148="","",IFERROR(INDEX(参数表!$G$13:$G$212,MATCH(I148,参数表!$A$13:$A$212,0)),"SKU未建档"))</f>
        <v/>
      </c>
      <c r="N148" s="40"/>
      <c r="O148" s="46"/>
      <c r="P148" s="47"/>
      <c r="Q148" s="34" t="str">
        <f aca="false">IF(OR(O148="",P148=""),"",ROUND(O148*P148,2))</f>
        <v/>
      </c>
      <c r="R148" s="48"/>
      <c r="S148" s="46"/>
      <c r="T148" s="33" t="str">
        <f aca="false">IF(I148="","",IFERROR(INDEX(参数表!$H$13:$H$212,MATCH(I148,参数表!$A$13:$A$212,0)),"SKU未建档"))</f>
        <v/>
      </c>
      <c r="U148" s="34" t="str">
        <f aca="false">IF(A148="","",IF(参数表!$B$6="外贸企业",IF(S148="","",S148),IF(Q148="","",Q148)))</f>
        <v/>
      </c>
      <c r="V148" s="34" t="str">
        <f aca="false">IF(OR(U148="",NOT(ISNUMBER(T148))),"",ROUND(U148*T148,2))</f>
        <v/>
      </c>
      <c r="W148" s="43"/>
      <c r="X148" s="48"/>
      <c r="Y148" s="45"/>
      <c r="Z148" s="41"/>
      <c r="AA148" s="32" t="str">
        <f aca="false">IF(OR(L148="",Y148=""),"",Y148-L148)</f>
        <v/>
      </c>
      <c r="AB148" s="43"/>
      <c r="AC148" s="43"/>
    </row>
    <row r="149" customFormat="false" ht="21.75" hidden="false" customHeight="true" outlineLevel="0" collapsed="false">
      <c r="A149" s="29" t="str">
        <f aca="false">IF(OR(B149="",C149=""),"",B149&amp;"-"&amp;C149)</f>
        <v/>
      </c>
      <c r="B149" s="48"/>
      <c r="C149" s="40"/>
      <c r="D149" s="41"/>
      <c r="E149" s="42"/>
      <c r="F149" s="48"/>
      <c r="G149" s="43"/>
      <c r="H149" s="43"/>
      <c r="I149" s="44"/>
      <c r="J149" s="36" t="str">
        <f aca="false">IF(I149="","",IFERROR(INDEX(参数表!$D$13:$D$212,MATCH(I149,参数表!$A$13:$A$212,0)),"SKU未建档"))</f>
        <v/>
      </c>
      <c r="K149" s="36" t="str">
        <f aca="false">IF(I149="","",IFERROR(INDEX(参数表!$F$13:$F$212,MATCH(I149,参数表!$A$13:$A$212,0)),"SKU未建档"))</f>
        <v/>
      </c>
      <c r="L149" s="45"/>
      <c r="M149" s="35" t="str">
        <f aca="false">IF(I149="","",IFERROR(INDEX(参数表!$G$13:$G$212,MATCH(I149,参数表!$A$13:$A$212,0)),"SKU未建档"))</f>
        <v/>
      </c>
      <c r="N149" s="40"/>
      <c r="O149" s="46"/>
      <c r="P149" s="47"/>
      <c r="Q149" s="34" t="str">
        <f aca="false">IF(OR(O149="",P149=""),"",ROUND(O149*P149,2))</f>
        <v/>
      </c>
      <c r="R149" s="48"/>
      <c r="S149" s="46"/>
      <c r="T149" s="33" t="str">
        <f aca="false">IF(I149="","",IFERROR(INDEX(参数表!$H$13:$H$212,MATCH(I149,参数表!$A$13:$A$212,0)),"SKU未建档"))</f>
        <v/>
      </c>
      <c r="U149" s="34" t="str">
        <f aca="false">IF(A149="","",IF(参数表!$B$6="外贸企业",IF(S149="","",S149),IF(Q149="","",Q149)))</f>
        <v/>
      </c>
      <c r="V149" s="34" t="str">
        <f aca="false">IF(OR(U149="",NOT(ISNUMBER(T149))),"",ROUND(U149*T149,2))</f>
        <v/>
      </c>
      <c r="W149" s="43"/>
      <c r="X149" s="48"/>
      <c r="Y149" s="45"/>
      <c r="Z149" s="41"/>
      <c r="AA149" s="32" t="str">
        <f aca="false">IF(OR(L149="",Y149=""),"",Y149-L149)</f>
        <v/>
      </c>
      <c r="AB149" s="43"/>
      <c r="AC149" s="43"/>
    </row>
    <row r="150" customFormat="false" ht="21.75" hidden="false" customHeight="true" outlineLevel="0" collapsed="false">
      <c r="A150" s="29" t="str">
        <f aca="false">IF(OR(B150="",C150=""),"",B150&amp;"-"&amp;C150)</f>
        <v/>
      </c>
      <c r="B150" s="48"/>
      <c r="C150" s="40"/>
      <c r="D150" s="41"/>
      <c r="E150" s="42"/>
      <c r="F150" s="48"/>
      <c r="G150" s="43"/>
      <c r="H150" s="43"/>
      <c r="I150" s="44"/>
      <c r="J150" s="36" t="str">
        <f aca="false">IF(I150="","",IFERROR(INDEX(参数表!$D$13:$D$212,MATCH(I150,参数表!$A$13:$A$212,0)),"SKU未建档"))</f>
        <v/>
      </c>
      <c r="K150" s="36" t="str">
        <f aca="false">IF(I150="","",IFERROR(INDEX(参数表!$F$13:$F$212,MATCH(I150,参数表!$A$13:$A$212,0)),"SKU未建档"))</f>
        <v/>
      </c>
      <c r="L150" s="45"/>
      <c r="M150" s="35" t="str">
        <f aca="false">IF(I150="","",IFERROR(INDEX(参数表!$G$13:$G$212,MATCH(I150,参数表!$A$13:$A$212,0)),"SKU未建档"))</f>
        <v/>
      </c>
      <c r="N150" s="40"/>
      <c r="O150" s="46"/>
      <c r="P150" s="47"/>
      <c r="Q150" s="34" t="str">
        <f aca="false">IF(OR(O150="",P150=""),"",ROUND(O150*P150,2))</f>
        <v/>
      </c>
      <c r="R150" s="48"/>
      <c r="S150" s="46"/>
      <c r="T150" s="33" t="str">
        <f aca="false">IF(I150="","",IFERROR(INDEX(参数表!$H$13:$H$212,MATCH(I150,参数表!$A$13:$A$212,0)),"SKU未建档"))</f>
        <v/>
      </c>
      <c r="U150" s="34" t="str">
        <f aca="false">IF(A150="","",IF(参数表!$B$6="外贸企业",IF(S150="","",S150),IF(Q150="","",Q150)))</f>
        <v/>
      </c>
      <c r="V150" s="34" t="str">
        <f aca="false">IF(OR(U150="",NOT(ISNUMBER(T150))),"",ROUND(U150*T150,2))</f>
        <v/>
      </c>
      <c r="W150" s="43"/>
      <c r="X150" s="48"/>
      <c r="Y150" s="45"/>
      <c r="Z150" s="41"/>
      <c r="AA150" s="32" t="str">
        <f aca="false">IF(OR(L150="",Y150=""),"",Y150-L150)</f>
        <v/>
      </c>
      <c r="AB150" s="43"/>
      <c r="AC150" s="43"/>
    </row>
    <row r="151" customFormat="false" ht="21.75" hidden="false" customHeight="true" outlineLevel="0" collapsed="false">
      <c r="A151" s="29" t="str">
        <f aca="false">IF(OR(B151="",C151=""),"",B151&amp;"-"&amp;C151)</f>
        <v/>
      </c>
      <c r="B151" s="48"/>
      <c r="C151" s="40"/>
      <c r="D151" s="41"/>
      <c r="E151" s="42"/>
      <c r="F151" s="48"/>
      <c r="G151" s="43"/>
      <c r="H151" s="43"/>
      <c r="I151" s="44"/>
      <c r="J151" s="36" t="str">
        <f aca="false">IF(I151="","",IFERROR(INDEX(参数表!$D$13:$D$212,MATCH(I151,参数表!$A$13:$A$212,0)),"SKU未建档"))</f>
        <v/>
      </c>
      <c r="K151" s="36" t="str">
        <f aca="false">IF(I151="","",IFERROR(INDEX(参数表!$F$13:$F$212,MATCH(I151,参数表!$A$13:$A$212,0)),"SKU未建档"))</f>
        <v/>
      </c>
      <c r="L151" s="45"/>
      <c r="M151" s="35" t="str">
        <f aca="false">IF(I151="","",IFERROR(INDEX(参数表!$G$13:$G$212,MATCH(I151,参数表!$A$13:$A$212,0)),"SKU未建档"))</f>
        <v/>
      </c>
      <c r="N151" s="40"/>
      <c r="O151" s="46"/>
      <c r="P151" s="47"/>
      <c r="Q151" s="34" t="str">
        <f aca="false">IF(OR(O151="",P151=""),"",ROUND(O151*P151,2))</f>
        <v/>
      </c>
      <c r="R151" s="48"/>
      <c r="S151" s="46"/>
      <c r="T151" s="33" t="str">
        <f aca="false">IF(I151="","",IFERROR(INDEX(参数表!$H$13:$H$212,MATCH(I151,参数表!$A$13:$A$212,0)),"SKU未建档"))</f>
        <v/>
      </c>
      <c r="U151" s="34" t="str">
        <f aca="false">IF(A151="","",IF(参数表!$B$6="外贸企业",IF(S151="","",S151),IF(Q151="","",Q151)))</f>
        <v/>
      </c>
      <c r="V151" s="34" t="str">
        <f aca="false">IF(OR(U151="",NOT(ISNUMBER(T151))),"",ROUND(U151*T151,2))</f>
        <v/>
      </c>
      <c r="W151" s="43"/>
      <c r="X151" s="48"/>
      <c r="Y151" s="45"/>
      <c r="Z151" s="41"/>
      <c r="AA151" s="32" t="str">
        <f aca="false">IF(OR(L151="",Y151=""),"",Y151-L151)</f>
        <v/>
      </c>
      <c r="AB151" s="43"/>
      <c r="AC151" s="43"/>
    </row>
    <row r="152" customFormat="false" ht="21.75" hidden="false" customHeight="true" outlineLevel="0" collapsed="false">
      <c r="A152" s="29" t="str">
        <f aca="false">IF(OR(B152="",C152=""),"",B152&amp;"-"&amp;C152)</f>
        <v/>
      </c>
      <c r="B152" s="48"/>
      <c r="C152" s="40"/>
      <c r="D152" s="41"/>
      <c r="E152" s="42"/>
      <c r="F152" s="48"/>
      <c r="G152" s="43"/>
      <c r="H152" s="43"/>
      <c r="I152" s="44"/>
      <c r="J152" s="36" t="str">
        <f aca="false">IF(I152="","",IFERROR(INDEX(参数表!$D$13:$D$212,MATCH(I152,参数表!$A$13:$A$212,0)),"SKU未建档"))</f>
        <v/>
      </c>
      <c r="K152" s="36" t="str">
        <f aca="false">IF(I152="","",IFERROR(INDEX(参数表!$F$13:$F$212,MATCH(I152,参数表!$A$13:$A$212,0)),"SKU未建档"))</f>
        <v/>
      </c>
      <c r="L152" s="45"/>
      <c r="M152" s="35" t="str">
        <f aca="false">IF(I152="","",IFERROR(INDEX(参数表!$G$13:$G$212,MATCH(I152,参数表!$A$13:$A$212,0)),"SKU未建档"))</f>
        <v/>
      </c>
      <c r="N152" s="40"/>
      <c r="O152" s="46"/>
      <c r="P152" s="47"/>
      <c r="Q152" s="34" t="str">
        <f aca="false">IF(OR(O152="",P152=""),"",ROUND(O152*P152,2))</f>
        <v/>
      </c>
      <c r="R152" s="48"/>
      <c r="S152" s="46"/>
      <c r="T152" s="33" t="str">
        <f aca="false">IF(I152="","",IFERROR(INDEX(参数表!$H$13:$H$212,MATCH(I152,参数表!$A$13:$A$212,0)),"SKU未建档"))</f>
        <v/>
      </c>
      <c r="U152" s="34" t="str">
        <f aca="false">IF(A152="","",IF(参数表!$B$6="外贸企业",IF(S152="","",S152),IF(Q152="","",Q152)))</f>
        <v/>
      </c>
      <c r="V152" s="34" t="str">
        <f aca="false">IF(OR(U152="",NOT(ISNUMBER(T152))),"",ROUND(U152*T152,2))</f>
        <v/>
      </c>
      <c r="W152" s="43"/>
      <c r="X152" s="48"/>
      <c r="Y152" s="45"/>
      <c r="Z152" s="41"/>
      <c r="AA152" s="32" t="str">
        <f aca="false">IF(OR(L152="",Y152=""),"",Y152-L152)</f>
        <v/>
      </c>
      <c r="AB152" s="43"/>
      <c r="AC152" s="43"/>
    </row>
    <row r="153" customFormat="false" ht="21.75" hidden="false" customHeight="true" outlineLevel="0" collapsed="false">
      <c r="A153" s="29" t="str">
        <f aca="false">IF(OR(B153="",C153=""),"",B153&amp;"-"&amp;C153)</f>
        <v/>
      </c>
      <c r="B153" s="48"/>
      <c r="C153" s="40"/>
      <c r="D153" s="41"/>
      <c r="E153" s="42"/>
      <c r="F153" s="48"/>
      <c r="G153" s="43"/>
      <c r="H153" s="43"/>
      <c r="I153" s="44"/>
      <c r="J153" s="36" t="str">
        <f aca="false">IF(I153="","",IFERROR(INDEX(参数表!$D$13:$D$212,MATCH(I153,参数表!$A$13:$A$212,0)),"SKU未建档"))</f>
        <v/>
      </c>
      <c r="K153" s="36" t="str">
        <f aca="false">IF(I153="","",IFERROR(INDEX(参数表!$F$13:$F$212,MATCH(I153,参数表!$A$13:$A$212,0)),"SKU未建档"))</f>
        <v/>
      </c>
      <c r="L153" s="45"/>
      <c r="M153" s="35" t="str">
        <f aca="false">IF(I153="","",IFERROR(INDEX(参数表!$G$13:$G$212,MATCH(I153,参数表!$A$13:$A$212,0)),"SKU未建档"))</f>
        <v/>
      </c>
      <c r="N153" s="40"/>
      <c r="O153" s="46"/>
      <c r="P153" s="47"/>
      <c r="Q153" s="34" t="str">
        <f aca="false">IF(OR(O153="",P153=""),"",ROUND(O153*P153,2))</f>
        <v/>
      </c>
      <c r="R153" s="48"/>
      <c r="S153" s="46"/>
      <c r="T153" s="33" t="str">
        <f aca="false">IF(I153="","",IFERROR(INDEX(参数表!$H$13:$H$212,MATCH(I153,参数表!$A$13:$A$212,0)),"SKU未建档"))</f>
        <v/>
      </c>
      <c r="U153" s="34" t="str">
        <f aca="false">IF(A153="","",IF(参数表!$B$6="外贸企业",IF(S153="","",S153),IF(Q153="","",Q153)))</f>
        <v/>
      </c>
      <c r="V153" s="34" t="str">
        <f aca="false">IF(OR(U153="",NOT(ISNUMBER(T153))),"",ROUND(U153*T153,2))</f>
        <v/>
      </c>
      <c r="W153" s="43"/>
      <c r="X153" s="48"/>
      <c r="Y153" s="45"/>
      <c r="Z153" s="41"/>
      <c r="AA153" s="32" t="str">
        <f aca="false">IF(OR(L153="",Y153=""),"",Y153-L153)</f>
        <v/>
      </c>
      <c r="AB153" s="43"/>
      <c r="AC153" s="43"/>
    </row>
    <row r="154" customFormat="false" ht="21.75" hidden="false" customHeight="true" outlineLevel="0" collapsed="false">
      <c r="A154" s="29" t="str">
        <f aca="false">IF(OR(B154="",C154=""),"",B154&amp;"-"&amp;C154)</f>
        <v/>
      </c>
      <c r="B154" s="48"/>
      <c r="C154" s="40"/>
      <c r="D154" s="41"/>
      <c r="E154" s="42"/>
      <c r="F154" s="48"/>
      <c r="G154" s="43"/>
      <c r="H154" s="43"/>
      <c r="I154" s="44"/>
      <c r="J154" s="36" t="str">
        <f aca="false">IF(I154="","",IFERROR(INDEX(参数表!$D$13:$D$212,MATCH(I154,参数表!$A$13:$A$212,0)),"SKU未建档"))</f>
        <v/>
      </c>
      <c r="K154" s="36" t="str">
        <f aca="false">IF(I154="","",IFERROR(INDEX(参数表!$F$13:$F$212,MATCH(I154,参数表!$A$13:$A$212,0)),"SKU未建档"))</f>
        <v/>
      </c>
      <c r="L154" s="45"/>
      <c r="M154" s="35" t="str">
        <f aca="false">IF(I154="","",IFERROR(INDEX(参数表!$G$13:$G$212,MATCH(I154,参数表!$A$13:$A$212,0)),"SKU未建档"))</f>
        <v/>
      </c>
      <c r="N154" s="40"/>
      <c r="O154" s="46"/>
      <c r="P154" s="47"/>
      <c r="Q154" s="34" t="str">
        <f aca="false">IF(OR(O154="",P154=""),"",ROUND(O154*P154,2))</f>
        <v/>
      </c>
      <c r="R154" s="48"/>
      <c r="S154" s="46"/>
      <c r="T154" s="33" t="str">
        <f aca="false">IF(I154="","",IFERROR(INDEX(参数表!$H$13:$H$212,MATCH(I154,参数表!$A$13:$A$212,0)),"SKU未建档"))</f>
        <v/>
      </c>
      <c r="U154" s="34" t="str">
        <f aca="false">IF(A154="","",IF(参数表!$B$6="外贸企业",IF(S154="","",S154),IF(Q154="","",Q154)))</f>
        <v/>
      </c>
      <c r="V154" s="34" t="str">
        <f aca="false">IF(OR(U154="",NOT(ISNUMBER(T154))),"",ROUND(U154*T154,2))</f>
        <v/>
      </c>
      <c r="W154" s="43"/>
      <c r="X154" s="48"/>
      <c r="Y154" s="45"/>
      <c r="Z154" s="41"/>
      <c r="AA154" s="32" t="str">
        <f aca="false">IF(OR(L154="",Y154=""),"",Y154-L154)</f>
        <v/>
      </c>
      <c r="AB154" s="43"/>
      <c r="AC154" s="43"/>
    </row>
    <row r="155" customFormat="false" ht="21.75" hidden="false" customHeight="true" outlineLevel="0" collapsed="false">
      <c r="A155" s="29" t="str">
        <f aca="false">IF(OR(B155="",C155=""),"",B155&amp;"-"&amp;C155)</f>
        <v/>
      </c>
      <c r="B155" s="48"/>
      <c r="C155" s="40"/>
      <c r="D155" s="41"/>
      <c r="E155" s="42"/>
      <c r="F155" s="48"/>
      <c r="G155" s="43"/>
      <c r="H155" s="43"/>
      <c r="I155" s="44"/>
      <c r="J155" s="36" t="str">
        <f aca="false">IF(I155="","",IFERROR(INDEX(参数表!$D$13:$D$212,MATCH(I155,参数表!$A$13:$A$212,0)),"SKU未建档"))</f>
        <v/>
      </c>
      <c r="K155" s="36" t="str">
        <f aca="false">IF(I155="","",IFERROR(INDEX(参数表!$F$13:$F$212,MATCH(I155,参数表!$A$13:$A$212,0)),"SKU未建档"))</f>
        <v/>
      </c>
      <c r="L155" s="45"/>
      <c r="M155" s="35" t="str">
        <f aca="false">IF(I155="","",IFERROR(INDEX(参数表!$G$13:$G$212,MATCH(I155,参数表!$A$13:$A$212,0)),"SKU未建档"))</f>
        <v/>
      </c>
      <c r="N155" s="40"/>
      <c r="O155" s="46"/>
      <c r="P155" s="47"/>
      <c r="Q155" s="34" t="str">
        <f aca="false">IF(OR(O155="",P155=""),"",ROUND(O155*P155,2))</f>
        <v/>
      </c>
      <c r="R155" s="48"/>
      <c r="S155" s="46"/>
      <c r="T155" s="33" t="str">
        <f aca="false">IF(I155="","",IFERROR(INDEX(参数表!$H$13:$H$212,MATCH(I155,参数表!$A$13:$A$212,0)),"SKU未建档"))</f>
        <v/>
      </c>
      <c r="U155" s="34" t="str">
        <f aca="false">IF(A155="","",IF(参数表!$B$6="外贸企业",IF(S155="","",S155),IF(Q155="","",Q155)))</f>
        <v/>
      </c>
      <c r="V155" s="34" t="str">
        <f aca="false">IF(OR(U155="",NOT(ISNUMBER(T155))),"",ROUND(U155*T155,2))</f>
        <v/>
      </c>
      <c r="W155" s="43"/>
      <c r="X155" s="48"/>
      <c r="Y155" s="45"/>
      <c r="Z155" s="41"/>
      <c r="AA155" s="32" t="str">
        <f aca="false">IF(OR(L155="",Y155=""),"",Y155-L155)</f>
        <v/>
      </c>
      <c r="AB155" s="43"/>
      <c r="AC155" s="43"/>
    </row>
    <row r="156" customFormat="false" ht="21.75" hidden="false" customHeight="true" outlineLevel="0" collapsed="false">
      <c r="A156" s="29" t="str">
        <f aca="false">IF(OR(B156="",C156=""),"",B156&amp;"-"&amp;C156)</f>
        <v/>
      </c>
      <c r="B156" s="48"/>
      <c r="C156" s="40"/>
      <c r="D156" s="41"/>
      <c r="E156" s="42"/>
      <c r="F156" s="48"/>
      <c r="G156" s="43"/>
      <c r="H156" s="43"/>
      <c r="I156" s="44"/>
      <c r="J156" s="36" t="str">
        <f aca="false">IF(I156="","",IFERROR(INDEX(参数表!$D$13:$D$212,MATCH(I156,参数表!$A$13:$A$212,0)),"SKU未建档"))</f>
        <v/>
      </c>
      <c r="K156" s="36" t="str">
        <f aca="false">IF(I156="","",IFERROR(INDEX(参数表!$F$13:$F$212,MATCH(I156,参数表!$A$13:$A$212,0)),"SKU未建档"))</f>
        <v/>
      </c>
      <c r="L156" s="45"/>
      <c r="M156" s="35" t="str">
        <f aca="false">IF(I156="","",IFERROR(INDEX(参数表!$G$13:$G$212,MATCH(I156,参数表!$A$13:$A$212,0)),"SKU未建档"))</f>
        <v/>
      </c>
      <c r="N156" s="40"/>
      <c r="O156" s="46"/>
      <c r="P156" s="47"/>
      <c r="Q156" s="34" t="str">
        <f aca="false">IF(OR(O156="",P156=""),"",ROUND(O156*P156,2))</f>
        <v/>
      </c>
      <c r="R156" s="48"/>
      <c r="S156" s="46"/>
      <c r="T156" s="33" t="str">
        <f aca="false">IF(I156="","",IFERROR(INDEX(参数表!$H$13:$H$212,MATCH(I156,参数表!$A$13:$A$212,0)),"SKU未建档"))</f>
        <v/>
      </c>
      <c r="U156" s="34" t="str">
        <f aca="false">IF(A156="","",IF(参数表!$B$6="外贸企业",IF(S156="","",S156),IF(Q156="","",Q156)))</f>
        <v/>
      </c>
      <c r="V156" s="34" t="str">
        <f aca="false">IF(OR(U156="",NOT(ISNUMBER(T156))),"",ROUND(U156*T156,2))</f>
        <v/>
      </c>
      <c r="W156" s="43"/>
      <c r="X156" s="48"/>
      <c r="Y156" s="45"/>
      <c r="Z156" s="41"/>
      <c r="AA156" s="32" t="str">
        <f aca="false">IF(OR(L156="",Y156=""),"",Y156-L156)</f>
        <v/>
      </c>
      <c r="AB156" s="43"/>
      <c r="AC156" s="43"/>
    </row>
    <row r="157" customFormat="false" ht="21.75" hidden="false" customHeight="true" outlineLevel="0" collapsed="false">
      <c r="A157" s="29" t="str">
        <f aca="false">IF(OR(B157="",C157=""),"",B157&amp;"-"&amp;C157)</f>
        <v/>
      </c>
      <c r="B157" s="48"/>
      <c r="C157" s="40"/>
      <c r="D157" s="41"/>
      <c r="E157" s="42"/>
      <c r="F157" s="48"/>
      <c r="G157" s="43"/>
      <c r="H157" s="43"/>
      <c r="I157" s="44"/>
      <c r="J157" s="36" t="str">
        <f aca="false">IF(I157="","",IFERROR(INDEX(参数表!$D$13:$D$212,MATCH(I157,参数表!$A$13:$A$212,0)),"SKU未建档"))</f>
        <v/>
      </c>
      <c r="K157" s="36" t="str">
        <f aca="false">IF(I157="","",IFERROR(INDEX(参数表!$F$13:$F$212,MATCH(I157,参数表!$A$13:$A$212,0)),"SKU未建档"))</f>
        <v/>
      </c>
      <c r="L157" s="45"/>
      <c r="M157" s="35" t="str">
        <f aca="false">IF(I157="","",IFERROR(INDEX(参数表!$G$13:$G$212,MATCH(I157,参数表!$A$13:$A$212,0)),"SKU未建档"))</f>
        <v/>
      </c>
      <c r="N157" s="40"/>
      <c r="O157" s="46"/>
      <c r="P157" s="47"/>
      <c r="Q157" s="34" t="str">
        <f aca="false">IF(OR(O157="",P157=""),"",ROUND(O157*P157,2))</f>
        <v/>
      </c>
      <c r="R157" s="48"/>
      <c r="S157" s="46"/>
      <c r="T157" s="33" t="str">
        <f aca="false">IF(I157="","",IFERROR(INDEX(参数表!$H$13:$H$212,MATCH(I157,参数表!$A$13:$A$212,0)),"SKU未建档"))</f>
        <v/>
      </c>
      <c r="U157" s="34" t="str">
        <f aca="false">IF(A157="","",IF(参数表!$B$6="外贸企业",IF(S157="","",S157),IF(Q157="","",Q157)))</f>
        <v/>
      </c>
      <c r="V157" s="34" t="str">
        <f aca="false">IF(OR(U157="",NOT(ISNUMBER(T157))),"",ROUND(U157*T157,2))</f>
        <v/>
      </c>
      <c r="W157" s="43"/>
      <c r="X157" s="48"/>
      <c r="Y157" s="45"/>
      <c r="Z157" s="41"/>
      <c r="AA157" s="32" t="str">
        <f aca="false">IF(OR(L157="",Y157=""),"",Y157-L157)</f>
        <v/>
      </c>
      <c r="AB157" s="43"/>
      <c r="AC157" s="43"/>
    </row>
    <row r="158" customFormat="false" ht="21.75" hidden="false" customHeight="true" outlineLevel="0" collapsed="false">
      <c r="A158" s="29" t="str">
        <f aca="false">IF(OR(B158="",C158=""),"",B158&amp;"-"&amp;C158)</f>
        <v/>
      </c>
      <c r="B158" s="48"/>
      <c r="C158" s="40"/>
      <c r="D158" s="41"/>
      <c r="E158" s="42"/>
      <c r="F158" s="48"/>
      <c r="G158" s="43"/>
      <c r="H158" s="43"/>
      <c r="I158" s="44"/>
      <c r="J158" s="36" t="str">
        <f aca="false">IF(I158="","",IFERROR(INDEX(参数表!$D$13:$D$212,MATCH(I158,参数表!$A$13:$A$212,0)),"SKU未建档"))</f>
        <v/>
      </c>
      <c r="K158" s="36" t="str">
        <f aca="false">IF(I158="","",IFERROR(INDEX(参数表!$F$13:$F$212,MATCH(I158,参数表!$A$13:$A$212,0)),"SKU未建档"))</f>
        <v/>
      </c>
      <c r="L158" s="45"/>
      <c r="M158" s="35" t="str">
        <f aca="false">IF(I158="","",IFERROR(INDEX(参数表!$G$13:$G$212,MATCH(I158,参数表!$A$13:$A$212,0)),"SKU未建档"))</f>
        <v/>
      </c>
      <c r="N158" s="40"/>
      <c r="O158" s="46"/>
      <c r="P158" s="47"/>
      <c r="Q158" s="34" t="str">
        <f aca="false">IF(OR(O158="",P158=""),"",ROUND(O158*P158,2))</f>
        <v/>
      </c>
      <c r="R158" s="48"/>
      <c r="S158" s="46"/>
      <c r="T158" s="33" t="str">
        <f aca="false">IF(I158="","",IFERROR(INDEX(参数表!$H$13:$H$212,MATCH(I158,参数表!$A$13:$A$212,0)),"SKU未建档"))</f>
        <v/>
      </c>
      <c r="U158" s="34" t="str">
        <f aca="false">IF(A158="","",IF(参数表!$B$6="外贸企业",IF(S158="","",S158),IF(Q158="","",Q158)))</f>
        <v/>
      </c>
      <c r="V158" s="34" t="str">
        <f aca="false">IF(OR(U158="",NOT(ISNUMBER(T158))),"",ROUND(U158*T158,2))</f>
        <v/>
      </c>
      <c r="W158" s="43"/>
      <c r="X158" s="48"/>
      <c r="Y158" s="45"/>
      <c r="Z158" s="41"/>
      <c r="AA158" s="32" t="str">
        <f aca="false">IF(OR(L158="",Y158=""),"",Y158-L158)</f>
        <v/>
      </c>
      <c r="AB158" s="43"/>
      <c r="AC158" s="43"/>
    </row>
    <row r="159" customFormat="false" ht="21.75" hidden="false" customHeight="true" outlineLevel="0" collapsed="false">
      <c r="A159" s="29" t="str">
        <f aca="false">IF(OR(B159="",C159=""),"",B159&amp;"-"&amp;C159)</f>
        <v/>
      </c>
      <c r="B159" s="48"/>
      <c r="C159" s="40"/>
      <c r="D159" s="41"/>
      <c r="E159" s="42"/>
      <c r="F159" s="48"/>
      <c r="G159" s="43"/>
      <c r="H159" s="43"/>
      <c r="I159" s="44"/>
      <c r="J159" s="36" t="str">
        <f aca="false">IF(I159="","",IFERROR(INDEX(参数表!$D$13:$D$212,MATCH(I159,参数表!$A$13:$A$212,0)),"SKU未建档"))</f>
        <v/>
      </c>
      <c r="K159" s="36" t="str">
        <f aca="false">IF(I159="","",IFERROR(INDEX(参数表!$F$13:$F$212,MATCH(I159,参数表!$A$13:$A$212,0)),"SKU未建档"))</f>
        <v/>
      </c>
      <c r="L159" s="45"/>
      <c r="M159" s="35" t="str">
        <f aca="false">IF(I159="","",IFERROR(INDEX(参数表!$G$13:$G$212,MATCH(I159,参数表!$A$13:$A$212,0)),"SKU未建档"))</f>
        <v/>
      </c>
      <c r="N159" s="40"/>
      <c r="O159" s="46"/>
      <c r="P159" s="47"/>
      <c r="Q159" s="34" t="str">
        <f aca="false">IF(OR(O159="",P159=""),"",ROUND(O159*P159,2))</f>
        <v/>
      </c>
      <c r="R159" s="48"/>
      <c r="S159" s="46"/>
      <c r="T159" s="33" t="str">
        <f aca="false">IF(I159="","",IFERROR(INDEX(参数表!$H$13:$H$212,MATCH(I159,参数表!$A$13:$A$212,0)),"SKU未建档"))</f>
        <v/>
      </c>
      <c r="U159" s="34" t="str">
        <f aca="false">IF(A159="","",IF(参数表!$B$6="外贸企业",IF(S159="","",S159),IF(Q159="","",Q159)))</f>
        <v/>
      </c>
      <c r="V159" s="34" t="str">
        <f aca="false">IF(OR(U159="",NOT(ISNUMBER(T159))),"",ROUND(U159*T159,2))</f>
        <v/>
      </c>
      <c r="W159" s="43"/>
      <c r="X159" s="48"/>
      <c r="Y159" s="45"/>
      <c r="Z159" s="41"/>
      <c r="AA159" s="32" t="str">
        <f aca="false">IF(OR(L159="",Y159=""),"",Y159-L159)</f>
        <v/>
      </c>
      <c r="AB159" s="43"/>
      <c r="AC159" s="43"/>
    </row>
    <row r="160" customFormat="false" ht="21.75" hidden="false" customHeight="true" outlineLevel="0" collapsed="false">
      <c r="A160" s="29" t="str">
        <f aca="false">IF(OR(B160="",C160=""),"",B160&amp;"-"&amp;C160)</f>
        <v/>
      </c>
      <c r="B160" s="48"/>
      <c r="C160" s="40"/>
      <c r="D160" s="41"/>
      <c r="E160" s="42"/>
      <c r="F160" s="48"/>
      <c r="G160" s="43"/>
      <c r="H160" s="43"/>
      <c r="I160" s="44"/>
      <c r="J160" s="36" t="str">
        <f aca="false">IF(I160="","",IFERROR(INDEX(参数表!$D$13:$D$212,MATCH(I160,参数表!$A$13:$A$212,0)),"SKU未建档"))</f>
        <v/>
      </c>
      <c r="K160" s="36" t="str">
        <f aca="false">IF(I160="","",IFERROR(INDEX(参数表!$F$13:$F$212,MATCH(I160,参数表!$A$13:$A$212,0)),"SKU未建档"))</f>
        <v/>
      </c>
      <c r="L160" s="45"/>
      <c r="M160" s="35" t="str">
        <f aca="false">IF(I160="","",IFERROR(INDEX(参数表!$G$13:$G$212,MATCH(I160,参数表!$A$13:$A$212,0)),"SKU未建档"))</f>
        <v/>
      </c>
      <c r="N160" s="40"/>
      <c r="O160" s="46"/>
      <c r="P160" s="47"/>
      <c r="Q160" s="34" t="str">
        <f aca="false">IF(OR(O160="",P160=""),"",ROUND(O160*P160,2))</f>
        <v/>
      </c>
      <c r="R160" s="48"/>
      <c r="S160" s="46"/>
      <c r="T160" s="33" t="str">
        <f aca="false">IF(I160="","",IFERROR(INDEX(参数表!$H$13:$H$212,MATCH(I160,参数表!$A$13:$A$212,0)),"SKU未建档"))</f>
        <v/>
      </c>
      <c r="U160" s="34" t="str">
        <f aca="false">IF(A160="","",IF(参数表!$B$6="外贸企业",IF(S160="","",S160),IF(Q160="","",Q160)))</f>
        <v/>
      </c>
      <c r="V160" s="34" t="str">
        <f aca="false">IF(OR(U160="",NOT(ISNUMBER(T160))),"",ROUND(U160*T160,2))</f>
        <v/>
      </c>
      <c r="W160" s="43"/>
      <c r="X160" s="48"/>
      <c r="Y160" s="45"/>
      <c r="Z160" s="41"/>
      <c r="AA160" s="32" t="str">
        <f aca="false">IF(OR(L160="",Y160=""),"",Y160-L160)</f>
        <v/>
      </c>
      <c r="AB160" s="43"/>
      <c r="AC160" s="43"/>
    </row>
    <row r="161" customFormat="false" ht="21.75" hidden="false" customHeight="true" outlineLevel="0" collapsed="false">
      <c r="A161" s="29" t="str">
        <f aca="false">IF(OR(B161="",C161=""),"",B161&amp;"-"&amp;C161)</f>
        <v/>
      </c>
      <c r="B161" s="48"/>
      <c r="C161" s="40"/>
      <c r="D161" s="41"/>
      <c r="E161" s="42"/>
      <c r="F161" s="48"/>
      <c r="G161" s="43"/>
      <c r="H161" s="43"/>
      <c r="I161" s="44"/>
      <c r="J161" s="36" t="str">
        <f aca="false">IF(I161="","",IFERROR(INDEX(参数表!$D$13:$D$212,MATCH(I161,参数表!$A$13:$A$212,0)),"SKU未建档"))</f>
        <v/>
      </c>
      <c r="K161" s="36" t="str">
        <f aca="false">IF(I161="","",IFERROR(INDEX(参数表!$F$13:$F$212,MATCH(I161,参数表!$A$13:$A$212,0)),"SKU未建档"))</f>
        <v/>
      </c>
      <c r="L161" s="45"/>
      <c r="M161" s="35" t="str">
        <f aca="false">IF(I161="","",IFERROR(INDEX(参数表!$G$13:$G$212,MATCH(I161,参数表!$A$13:$A$212,0)),"SKU未建档"))</f>
        <v/>
      </c>
      <c r="N161" s="40"/>
      <c r="O161" s="46"/>
      <c r="P161" s="47"/>
      <c r="Q161" s="34" t="str">
        <f aca="false">IF(OR(O161="",P161=""),"",ROUND(O161*P161,2))</f>
        <v/>
      </c>
      <c r="R161" s="48"/>
      <c r="S161" s="46"/>
      <c r="T161" s="33" t="str">
        <f aca="false">IF(I161="","",IFERROR(INDEX(参数表!$H$13:$H$212,MATCH(I161,参数表!$A$13:$A$212,0)),"SKU未建档"))</f>
        <v/>
      </c>
      <c r="U161" s="34" t="str">
        <f aca="false">IF(A161="","",IF(参数表!$B$6="外贸企业",IF(S161="","",S161),IF(Q161="","",Q161)))</f>
        <v/>
      </c>
      <c r="V161" s="34" t="str">
        <f aca="false">IF(OR(U161="",NOT(ISNUMBER(T161))),"",ROUND(U161*T161,2))</f>
        <v/>
      </c>
      <c r="W161" s="43"/>
      <c r="X161" s="48"/>
      <c r="Y161" s="45"/>
      <c r="Z161" s="41"/>
      <c r="AA161" s="32" t="str">
        <f aca="false">IF(OR(L161="",Y161=""),"",Y161-L161)</f>
        <v/>
      </c>
      <c r="AB161" s="43"/>
      <c r="AC161" s="43"/>
    </row>
    <row r="162" customFormat="false" ht="21.75" hidden="false" customHeight="true" outlineLevel="0" collapsed="false">
      <c r="A162" s="29" t="str">
        <f aca="false">IF(OR(B162="",C162=""),"",B162&amp;"-"&amp;C162)</f>
        <v/>
      </c>
      <c r="B162" s="48"/>
      <c r="C162" s="40"/>
      <c r="D162" s="41"/>
      <c r="E162" s="42"/>
      <c r="F162" s="48"/>
      <c r="G162" s="43"/>
      <c r="H162" s="43"/>
      <c r="I162" s="44"/>
      <c r="J162" s="36" t="str">
        <f aca="false">IF(I162="","",IFERROR(INDEX(参数表!$D$13:$D$212,MATCH(I162,参数表!$A$13:$A$212,0)),"SKU未建档"))</f>
        <v/>
      </c>
      <c r="K162" s="36" t="str">
        <f aca="false">IF(I162="","",IFERROR(INDEX(参数表!$F$13:$F$212,MATCH(I162,参数表!$A$13:$A$212,0)),"SKU未建档"))</f>
        <v/>
      </c>
      <c r="L162" s="45"/>
      <c r="M162" s="35" t="str">
        <f aca="false">IF(I162="","",IFERROR(INDEX(参数表!$G$13:$G$212,MATCH(I162,参数表!$A$13:$A$212,0)),"SKU未建档"))</f>
        <v/>
      </c>
      <c r="N162" s="40"/>
      <c r="O162" s="46"/>
      <c r="P162" s="47"/>
      <c r="Q162" s="34" t="str">
        <f aca="false">IF(OR(O162="",P162=""),"",ROUND(O162*P162,2))</f>
        <v/>
      </c>
      <c r="R162" s="48"/>
      <c r="S162" s="46"/>
      <c r="T162" s="33" t="str">
        <f aca="false">IF(I162="","",IFERROR(INDEX(参数表!$H$13:$H$212,MATCH(I162,参数表!$A$13:$A$212,0)),"SKU未建档"))</f>
        <v/>
      </c>
      <c r="U162" s="34" t="str">
        <f aca="false">IF(A162="","",IF(参数表!$B$6="外贸企业",IF(S162="","",S162),IF(Q162="","",Q162)))</f>
        <v/>
      </c>
      <c r="V162" s="34" t="str">
        <f aca="false">IF(OR(U162="",NOT(ISNUMBER(T162))),"",ROUND(U162*T162,2))</f>
        <v/>
      </c>
      <c r="W162" s="43"/>
      <c r="X162" s="48"/>
      <c r="Y162" s="45"/>
      <c r="Z162" s="41"/>
      <c r="AA162" s="32" t="str">
        <f aca="false">IF(OR(L162="",Y162=""),"",Y162-L162)</f>
        <v/>
      </c>
      <c r="AB162" s="43"/>
      <c r="AC162" s="43"/>
    </row>
    <row r="163" customFormat="false" ht="21.75" hidden="false" customHeight="true" outlineLevel="0" collapsed="false">
      <c r="A163" s="29" t="str">
        <f aca="false">IF(OR(B163="",C163=""),"",B163&amp;"-"&amp;C163)</f>
        <v/>
      </c>
      <c r="B163" s="48"/>
      <c r="C163" s="40"/>
      <c r="D163" s="41"/>
      <c r="E163" s="42"/>
      <c r="F163" s="48"/>
      <c r="G163" s="43"/>
      <c r="H163" s="43"/>
      <c r="I163" s="44"/>
      <c r="J163" s="36" t="str">
        <f aca="false">IF(I163="","",IFERROR(INDEX(参数表!$D$13:$D$212,MATCH(I163,参数表!$A$13:$A$212,0)),"SKU未建档"))</f>
        <v/>
      </c>
      <c r="K163" s="36" t="str">
        <f aca="false">IF(I163="","",IFERROR(INDEX(参数表!$F$13:$F$212,MATCH(I163,参数表!$A$13:$A$212,0)),"SKU未建档"))</f>
        <v/>
      </c>
      <c r="L163" s="45"/>
      <c r="M163" s="35" t="str">
        <f aca="false">IF(I163="","",IFERROR(INDEX(参数表!$G$13:$G$212,MATCH(I163,参数表!$A$13:$A$212,0)),"SKU未建档"))</f>
        <v/>
      </c>
      <c r="N163" s="40"/>
      <c r="O163" s="46"/>
      <c r="P163" s="47"/>
      <c r="Q163" s="34" t="str">
        <f aca="false">IF(OR(O163="",P163=""),"",ROUND(O163*P163,2))</f>
        <v/>
      </c>
      <c r="R163" s="48"/>
      <c r="S163" s="46"/>
      <c r="T163" s="33" t="str">
        <f aca="false">IF(I163="","",IFERROR(INDEX(参数表!$H$13:$H$212,MATCH(I163,参数表!$A$13:$A$212,0)),"SKU未建档"))</f>
        <v/>
      </c>
      <c r="U163" s="34" t="str">
        <f aca="false">IF(A163="","",IF(参数表!$B$6="外贸企业",IF(S163="","",S163),IF(Q163="","",Q163)))</f>
        <v/>
      </c>
      <c r="V163" s="34" t="str">
        <f aca="false">IF(OR(U163="",NOT(ISNUMBER(T163))),"",ROUND(U163*T163,2))</f>
        <v/>
      </c>
      <c r="W163" s="43"/>
      <c r="X163" s="48"/>
      <c r="Y163" s="45"/>
      <c r="Z163" s="41"/>
      <c r="AA163" s="32" t="str">
        <f aca="false">IF(OR(L163="",Y163=""),"",Y163-L163)</f>
        <v/>
      </c>
      <c r="AB163" s="43"/>
      <c r="AC163" s="43"/>
    </row>
    <row r="164" customFormat="false" ht="21.75" hidden="false" customHeight="true" outlineLevel="0" collapsed="false">
      <c r="A164" s="29" t="str">
        <f aca="false">IF(OR(B164="",C164=""),"",B164&amp;"-"&amp;C164)</f>
        <v/>
      </c>
      <c r="B164" s="48"/>
      <c r="C164" s="40"/>
      <c r="D164" s="41"/>
      <c r="E164" s="42"/>
      <c r="F164" s="48"/>
      <c r="G164" s="43"/>
      <c r="H164" s="43"/>
      <c r="I164" s="44"/>
      <c r="J164" s="36" t="str">
        <f aca="false">IF(I164="","",IFERROR(INDEX(参数表!$D$13:$D$212,MATCH(I164,参数表!$A$13:$A$212,0)),"SKU未建档"))</f>
        <v/>
      </c>
      <c r="K164" s="36" t="str">
        <f aca="false">IF(I164="","",IFERROR(INDEX(参数表!$F$13:$F$212,MATCH(I164,参数表!$A$13:$A$212,0)),"SKU未建档"))</f>
        <v/>
      </c>
      <c r="L164" s="45"/>
      <c r="M164" s="35" t="str">
        <f aca="false">IF(I164="","",IFERROR(INDEX(参数表!$G$13:$G$212,MATCH(I164,参数表!$A$13:$A$212,0)),"SKU未建档"))</f>
        <v/>
      </c>
      <c r="N164" s="40"/>
      <c r="O164" s="46"/>
      <c r="P164" s="47"/>
      <c r="Q164" s="34" t="str">
        <f aca="false">IF(OR(O164="",P164=""),"",ROUND(O164*P164,2))</f>
        <v/>
      </c>
      <c r="R164" s="48"/>
      <c r="S164" s="46"/>
      <c r="T164" s="33" t="str">
        <f aca="false">IF(I164="","",IFERROR(INDEX(参数表!$H$13:$H$212,MATCH(I164,参数表!$A$13:$A$212,0)),"SKU未建档"))</f>
        <v/>
      </c>
      <c r="U164" s="34" t="str">
        <f aca="false">IF(A164="","",IF(参数表!$B$6="外贸企业",IF(S164="","",S164),IF(Q164="","",Q164)))</f>
        <v/>
      </c>
      <c r="V164" s="34" t="str">
        <f aca="false">IF(OR(U164="",NOT(ISNUMBER(T164))),"",ROUND(U164*T164,2))</f>
        <v/>
      </c>
      <c r="W164" s="43"/>
      <c r="X164" s="48"/>
      <c r="Y164" s="45"/>
      <c r="Z164" s="41"/>
      <c r="AA164" s="32" t="str">
        <f aca="false">IF(OR(L164="",Y164=""),"",Y164-L164)</f>
        <v/>
      </c>
      <c r="AB164" s="43"/>
      <c r="AC164" s="43"/>
    </row>
    <row r="165" customFormat="false" ht="21.75" hidden="false" customHeight="true" outlineLevel="0" collapsed="false">
      <c r="A165" s="29" t="str">
        <f aca="false">IF(OR(B165="",C165=""),"",B165&amp;"-"&amp;C165)</f>
        <v/>
      </c>
      <c r="B165" s="48"/>
      <c r="C165" s="40"/>
      <c r="D165" s="41"/>
      <c r="E165" s="42"/>
      <c r="F165" s="48"/>
      <c r="G165" s="43"/>
      <c r="H165" s="43"/>
      <c r="I165" s="44"/>
      <c r="J165" s="36" t="str">
        <f aca="false">IF(I165="","",IFERROR(INDEX(参数表!$D$13:$D$212,MATCH(I165,参数表!$A$13:$A$212,0)),"SKU未建档"))</f>
        <v/>
      </c>
      <c r="K165" s="36" t="str">
        <f aca="false">IF(I165="","",IFERROR(INDEX(参数表!$F$13:$F$212,MATCH(I165,参数表!$A$13:$A$212,0)),"SKU未建档"))</f>
        <v/>
      </c>
      <c r="L165" s="45"/>
      <c r="M165" s="35" t="str">
        <f aca="false">IF(I165="","",IFERROR(INDEX(参数表!$G$13:$G$212,MATCH(I165,参数表!$A$13:$A$212,0)),"SKU未建档"))</f>
        <v/>
      </c>
      <c r="N165" s="40"/>
      <c r="O165" s="46"/>
      <c r="P165" s="47"/>
      <c r="Q165" s="34" t="str">
        <f aca="false">IF(OR(O165="",P165=""),"",ROUND(O165*P165,2))</f>
        <v/>
      </c>
      <c r="R165" s="48"/>
      <c r="S165" s="46"/>
      <c r="T165" s="33" t="str">
        <f aca="false">IF(I165="","",IFERROR(INDEX(参数表!$H$13:$H$212,MATCH(I165,参数表!$A$13:$A$212,0)),"SKU未建档"))</f>
        <v/>
      </c>
      <c r="U165" s="34" t="str">
        <f aca="false">IF(A165="","",IF(参数表!$B$6="外贸企业",IF(S165="","",S165),IF(Q165="","",Q165)))</f>
        <v/>
      </c>
      <c r="V165" s="34" t="str">
        <f aca="false">IF(OR(U165="",NOT(ISNUMBER(T165))),"",ROUND(U165*T165,2))</f>
        <v/>
      </c>
      <c r="W165" s="43"/>
      <c r="X165" s="48"/>
      <c r="Y165" s="45"/>
      <c r="Z165" s="41"/>
      <c r="AA165" s="32" t="str">
        <f aca="false">IF(OR(L165="",Y165=""),"",Y165-L165)</f>
        <v/>
      </c>
      <c r="AB165" s="43"/>
      <c r="AC165" s="43"/>
    </row>
    <row r="166" customFormat="false" ht="21.75" hidden="false" customHeight="true" outlineLevel="0" collapsed="false">
      <c r="A166" s="29" t="str">
        <f aca="false">IF(OR(B166="",C166=""),"",B166&amp;"-"&amp;C166)</f>
        <v/>
      </c>
      <c r="B166" s="48"/>
      <c r="C166" s="40"/>
      <c r="D166" s="41"/>
      <c r="E166" s="42"/>
      <c r="F166" s="48"/>
      <c r="G166" s="43"/>
      <c r="H166" s="43"/>
      <c r="I166" s="44"/>
      <c r="J166" s="36" t="str">
        <f aca="false">IF(I166="","",IFERROR(INDEX(参数表!$D$13:$D$212,MATCH(I166,参数表!$A$13:$A$212,0)),"SKU未建档"))</f>
        <v/>
      </c>
      <c r="K166" s="36" t="str">
        <f aca="false">IF(I166="","",IFERROR(INDEX(参数表!$F$13:$F$212,MATCH(I166,参数表!$A$13:$A$212,0)),"SKU未建档"))</f>
        <v/>
      </c>
      <c r="L166" s="45"/>
      <c r="M166" s="35" t="str">
        <f aca="false">IF(I166="","",IFERROR(INDEX(参数表!$G$13:$G$212,MATCH(I166,参数表!$A$13:$A$212,0)),"SKU未建档"))</f>
        <v/>
      </c>
      <c r="N166" s="40"/>
      <c r="O166" s="46"/>
      <c r="P166" s="47"/>
      <c r="Q166" s="34" t="str">
        <f aca="false">IF(OR(O166="",P166=""),"",ROUND(O166*P166,2))</f>
        <v/>
      </c>
      <c r="R166" s="48"/>
      <c r="S166" s="46"/>
      <c r="T166" s="33" t="str">
        <f aca="false">IF(I166="","",IFERROR(INDEX(参数表!$H$13:$H$212,MATCH(I166,参数表!$A$13:$A$212,0)),"SKU未建档"))</f>
        <v/>
      </c>
      <c r="U166" s="34" t="str">
        <f aca="false">IF(A166="","",IF(参数表!$B$6="外贸企业",IF(S166="","",S166),IF(Q166="","",Q166)))</f>
        <v/>
      </c>
      <c r="V166" s="34" t="str">
        <f aca="false">IF(OR(U166="",NOT(ISNUMBER(T166))),"",ROUND(U166*T166,2))</f>
        <v/>
      </c>
      <c r="W166" s="43"/>
      <c r="X166" s="48"/>
      <c r="Y166" s="45"/>
      <c r="Z166" s="41"/>
      <c r="AA166" s="32" t="str">
        <f aca="false">IF(OR(L166="",Y166=""),"",Y166-L166)</f>
        <v/>
      </c>
      <c r="AB166" s="43"/>
      <c r="AC166" s="43"/>
    </row>
    <row r="167" customFormat="false" ht="21.75" hidden="false" customHeight="true" outlineLevel="0" collapsed="false">
      <c r="A167" s="29" t="str">
        <f aca="false">IF(OR(B167="",C167=""),"",B167&amp;"-"&amp;C167)</f>
        <v/>
      </c>
      <c r="B167" s="48"/>
      <c r="C167" s="40"/>
      <c r="D167" s="41"/>
      <c r="E167" s="42"/>
      <c r="F167" s="48"/>
      <c r="G167" s="43"/>
      <c r="H167" s="43"/>
      <c r="I167" s="44"/>
      <c r="J167" s="36" t="str">
        <f aca="false">IF(I167="","",IFERROR(INDEX(参数表!$D$13:$D$212,MATCH(I167,参数表!$A$13:$A$212,0)),"SKU未建档"))</f>
        <v/>
      </c>
      <c r="K167" s="36" t="str">
        <f aca="false">IF(I167="","",IFERROR(INDEX(参数表!$F$13:$F$212,MATCH(I167,参数表!$A$13:$A$212,0)),"SKU未建档"))</f>
        <v/>
      </c>
      <c r="L167" s="45"/>
      <c r="M167" s="35" t="str">
        <f aca="false">IF(I167="","",IFERROR(INDEX(参数表!$G$13:$G$212,MATCH(I167,参数表!$A$13:$A$212,0)),"SKU未建档"))</f>
        <v/>
      </c>
      <c r="N167" s="40"/>
      <c r="O167" s="46"/>
      <c r="P167" s="47"/>
      <c r="Q167" s="34" t="str">
        <f aca="false">IF(OR(O167="",P167=""),"",ROUND(O167*P167,2))</f>
        <v/>
      </c>
      <c r="R167" s="48"/>
      <c r="S167" s="46"/>
      <c r="T167" s="33" t="str">
        <f aca="false">IF(I167="","",IFERROR(INDEX(参数表!$H$13:$H$212,MATCH(I167,参数表!$A$13:$A$212,0)),"SKU未建档"))</f>
        <v/>
      </c>
      <c r="U167" s="34" t="str">
        <f aca="false">IF(A167="","",IF(参数表!$B$6="外贸企业",IF(S167="","",S167),IF(Q167="","",Q167)))</f>
        <v/>
      </c>
      <c r="V167" s="34" t="str">
        <f aca="false">IF(OR(U167="",NOT(ISNUMBER(T167))),"",ROUND(U167*T167,2))</f>
        <v/>
      </c>
      <c r="W167" s="43"/>
      <c r="X167" s="48"/>
      <c r="Y167" s="45"/>
      <c r="Z167" s="41"/>
      <c r="AA167" s="32" t="str">
        <f aca="false">IF(OR(L167="",Y167=""),"",Y167-L167)</f>
        <v/>
      </c>
      <c r="AB167" s="43"/>
      <c r="AC167" s="43"/>
    </row>
    <row r="168" customFormat="false" ht="21.75" hidden="false" customHeight="true" outlineLevel="0" collapsed="false">
      <c r="A168" s="29" t="str">
        <f aca="false">IF(OR(B168="",C168=""),"",B168&amp;"-"&amp;C168)</f>
        <v/>
      </c>
      <c r="B168" s="48"/>
      <c r="C168" s="40"/>
      <c r="D168" s="41"/>
      <c r="E168" s="42"/>
      <c r="F168" s="48"/>
      <c r="G168" s="43"/>
      <c r="H168" s="43"/>
      <c r="I168" s="44"/>
      <c r="J168" s="36" t="str">
        <f aca="false">IF(I168="","",IFERROR(INDEX(参数表!$D$13:$D$212,MATCH(I168,参数表!$A$13:$A$212,0)),"SKU未建档"))</f>
        <v/>
      </c>
      <c r="K168" s="36" t="str">
        <f aca="false">IF(I168="","",IFERROR(INDEX(参数表!$F$13:$F$212,MATCH(I168,参数表!$A$13:$A$212,0)),"SKU未建档"))</f>
        <v/>
      </c>
      <c r="L168" s="45"/>
      <c r="M168" s="35" t="str">
        <f aca="false">IF(I168="","",IFERROR(INDEX(参数表!$G$13:$G$212,MATCH(I168,参数表!$A$13:$A$212,0)),"SKU未建档"))</f>
        <v/>
      </c>
      <c r="N168" s="40"/>
      <c r="O168" s="46"/>
      <c r="P168" s="47"/>
      <c r="Q168" s="34" t="str">
        <f aca="false">IF(OR(O168="",P168=""),"",ROUND(O168*P168,2))</f>
        <v/>
      </c>
      <c r="R168" s="48"/>
      <c r="S168" s="46"/>
      <c r="T168" s="33" t="str">
        <f aca="false">IF(I168="","",IFERROR(INDEX(参数表!$H$13:$H$212,MATCH(I168,参数表!$A$13:$A$212,0)),"SKU未建档"))</f>
        <v/>
      </c>
      <c r="U168" s="34" t="str">
        <f aca="false">IF(A168="","",IF(参数表!$B$6="外贸企业",IF(S168="","",S168),IF(Q168="","",Q168)))</f>
        <v/>
      </c>
      <c r="V168" s="34" t="str">
        <f aca="false">IF(OR(U168="",NOT(ISNUMBER(T168))),"",ROUND(U168*T168,2))</f>
        <v/>
      </c>
      <c r="W168" s="43"/>
      <c r="X168" s="48"/>
      <c r="Y168" s="45"/>
      <c r="Z168" s="41"/>
      <c r="AA168" s="32" t="str">
        <f aca="false">IF(OR(L168="",Y168=""),"",Y168-L168)</f>
        <v/>
      </c>
      <c r="AB168" s="43"/>
      <c r="AC168" s="43"/>
    </row>
    <row r="169" customFormat="false" ht="21.75" hidden="false" customHeight="true" outlineLevel="0" collapsed="false">
      <c r="A169" s="29" t="str">
        <f aca="false">IF(OR(B169="",C169=""),"",B169&amp;"-"&amp;C169)</f>
        <v/>
      </c>
      <c r="B169" s="48"/>
      <c r="C169" s="40"/>
      <c r="D169" s="41"/>
      <c r="E169" s="42"/>
      <c r="F169" s="48"/>
      <c r="G169" s="43"/>
      <c r="H169" s="43"/>
      <c r="I169" s="44"/>
      <c r="J169" s="36" t="str">
        <f aca="false">IF(I169="","",IFERROR(INDEX(参数表!$D$13:$D$212,MATCH(I169,参数表!$A$13:$A$212,0)),"SKU未建档"))</f>
        <v/>
      </c>
      <c r="K169" s="36" t="str">
        <f aca="false">IF(I169="","",IFERROR(INDEX(参数表!$F$13:$F$212,MATCH(I169,参数表!$A$13:$A$212,0)),"SKU未建档"))</f>
        <v/>
      </c>
      <c r="L169" s="45"/>
      <c r="M169" s="35" t="str">
        <f aca="false">IF(I169="","",IFERROR(INDEX(参数表!$G$13:$G$212,MATCH(I169,参数表!$A$13:$A$212,0)),"SKU未建档"))</f>
        <v/>
      </c>
      <c r="N169" s="40"/>
      <c r="O169" s="46"/>
      <c r="P169" s="47"/>
      <c r="Q169" s="34" t="str">
        <f aca="false">IF(OR(O169="",P169=""),"",ROUND(O169*P169,2))</f>
        <v/>
      </c>
      <c r="R169" s="48"/>
      <c r="S169" s="46"/>
      <c r="T169" s="33" t="str">
        <f aca="false">IF(I169="","",IFERROR(INDEX(参数表!$H$13:$H$212,MATCH(I169,参数表!$A$13:$A$212,0)),"SKU未建档"))</f>
        <v/>
      </c>
      <c r="U169" s="34" t="str">
        <f aca="false">IF(A169="","",IF(参数表!$B$6="外贸企业",IF(S169="","",S169),IF(Q169="","",Q169)))</f>
        <v/>
      </c>
      <c r="V169" s="34" t="str">
        <f aca="false">IF(OR(U169="",NOT(ISNUMBER(T169))),"",ROUND(U169*T169,2))</f>
        <v/>
      </c>
      <c r="W169" s="43"/>
      <c r="X169" s="48"/>
      <c r="Y169" s="45"/>
      <c r="Z169" s="41"/>
      <c r="AA169" s="32" t="str">
        <f aca="false">IF(OR(L169="",Y169=""),"",Y169-L169)</f>
        <v/>
      </c>
      <c r="AB169" s="43"/>
      <c r="AC169" s="43"/>
    </row>
    <row r="170" customFormat="false" ht="21.75" hidden="false" customHeight="true" outlineLevel="0" collapsed="false">
      <c r="A170" s="29" t="str">
        <f aca="false">IF(OR(B170="",C170=""),"",B170&amp;"-"&amp;C170)</f>
        <v/>
      </c>
      <c r="B170" s="48"/>
      <c r="C170" s="40"/>
      <c r="D170" s="41"/>
      <c r="E170" s="42"/>
      <c r="F170" s="48"/>
      <c r="G170" s="43"/>
      <c r="H170" s="43"/>
      <c r="I170" s="44"/>
      <c r="J170" s="36" t="str">
        <f aca="false">IF(I170="","",IFERROR(INDEX(参数表!$D$13:$D$212,MATCH(I170,参数表!$A$13:$A$212,0)),"SKU未建档"))</f>
        <v/>
      </c>
      <c r="K170" s="36" t="str">
        <f aca="false">IF(I170="","",IFERROR(INDEX(参数表!$F$13:$F$212,MATCH(I170,参数表!$A$13:$A$212,0)),"SKU未建档"))</f>
        <v/>
      </c>
      <c r="L170" s="45"/>
      <c r="M170" s="35" t="str">
        <f aca="false">IF(I170="","",IFERROR(INDEX(参数表!$G$13:$G$212,MATCH(I170,参数表!$A$13:$A$212,0)),"SKU未建档"))</f>
        <v/>
      </c>
      <c r="N170" s="40"/>
      <c r="O170" s="46"/>
      <c r="P170" s="47"/>
      <c r="Q170" s="34" t="str">
        <f aca="false">IF(OR(O170="",P170=""),"",ROUND(O170*P170,2))</f>
        <v/>
      </c>
      <c r="R170" s="48"/>
      <c r="S170" s="46"/>
      <c r="T170" s="33" t="str">
        <f aca="false">IF(I170="","",IFERROR(INDEX(参数表!$H$13:$H$212,MATCH(I170,参数表!$A$13:$A$212,0)),"SKU未建档"))</f>
        <v/>
      </c>
      <c r="U170" s="34" t="str">
        <f aca="false">IF(A170="","",IF(参数表!$B$6="外贸企业",IF(S170="","",S170),IF(Q170="","",Q170)))</f>
        <v/>
      </c>
      <c r="V170" s="34" t="str">
        <f aca="false">IF(OR(U170="",NOT(ISNUMBER(T170))),"",ROUND(U170*T170,2))</f>
        <v/>
      </c>
      <c r="W170" s="43"/>
      <c r="X170" s="48"/>
      <c r="Y170" s="45"/>
      <c r="Z170" s="41"/>
      <c r="AA170" s="32" t="str">
        <f aca="false">IF(OR(L170="",Y170=""),"",Y170-L170)</f>
        <v/>
      </c>
      <c r="AB170" s="43"/>
      <c r="AC170" s="43"/>
    </row>
    <row r="171" customFormat="false" ht="21.75" hidden="false" customHeight="true" outlineLevel="0" collapsed="false">
      <c r="A171" s="29" t="str">
        <f aca="false">IF(OR(B171="",C171=""),"",B171&amp;"-"&amp;C171)</f>
        <v/>
      </c>
      <c r="B171" s="48"/>
      <c r="C171" s="40"/>
      <c r="D171" s="41"/>
      <c r="E171" s="42"/>
      <c r="F171" s="48"/>
      <c r="G171" s="43"/>
      <c r="H171" s="43"/>
      <c r="I171" s="44"/>
      <c r="J171" s="36" t="str">
        <f aca="false">IF(I171="","",IFERROR(INDEX(参数表!$D$13:$D$212,MATCH(I171,参数表!$A$13:$A$212,0)),"SKU未建档"))</f>
        <v/>
      </c>
      <c r="K171" s="36" t="str">
        <f aca="false">IF(I171="","",IFERROR(INDEX(参数表!$F$13:$F$212,MATCH(I171,参数表!$A$13:$A$212,0)),"SKU未建档"))</f>
        <v/>
      </c>
      <c r="L171" s="45"/>
      <c r="M171" s="35" t="str">
        <f aca="false">IF(I171="","",IFERROR(INDEX(参数表!$G$13:$G$212,MATCH(I171,参数表!$A$13:$A$212,0)),"SKU未建档"))</f>
        <v/>
      </c>
      <c r="N171" s="40"/>
      <c r="O171" s="46"/>
      <c r="P171" s="47"/>
      <c r="Q171" s="34" t="str">
        <f aca="false">IF(OR(O171="",P171=""),"",ROUND(O171*P171,2))</f>
        <v/>
      </c>
      <c r="R171" s="48"/>
      <c r="S171" s="46"/>
      <c r="T171" s="33" t="str">
        <f aca="false">IF(I171="","",IFERROR(INDEX(参数表!$H$13:$H$212,MATCH(I171,参数表!$A$13:$A$212,0)),"SKU未建档"))</f>
        <v/>
      </c>
      <c r="U171" s="34" t="str">
        <f aca="false">IF(A171="","",IF(参数表!$B$6="外贸企业",IF(S171="","",S171),IF(Q171="","",Q171)))</f>
        <v/>
      </c>
      <c r="V171" s="34" t="str">
        <f aca="false">IF(OR(U171="",NOT(ISNUMBER(T171))),"",ROUND(U171*T171,2))</f>
        <v/>
      </c>
      <c r="W171" s="43"/>
      <c r="X171" s="48"/>
      <c r="Y171" s="45"/>
      <c r="Z171" s="41"/>
      <c r="AA171" s="32" t="str">
        <f aca="false">IF(OR(L171="",Y171=""),"",Y171-L171)</f>
        <v/>
      </c>
      <c r="AB171" s="43"/>
      <c r="AC171" s="43"/>
    </row>
    <row r="172" customFormat="false" ht="21.75" hidden="false" customHeight="true" outlineLevel="0" collapsed="false">
      <c r="A172" s="29" t="str">
        <f aca="false">IF(OR(B172="",C172=""),"",B172&amp;"-"&amp;C172)</f>
        <v/>
      </c>
      <c r="B172" s="48"/>
      <c r="C172" s="40"/>
      <c r="D172" s="41"/>
      <c r="E172" s="42"/>
      <c r="F172" s="48"/>
      <c r="G172" s="43"/>
      <c r="H172" s="43"/>
      <c r="I172" s="44"/>
      <c r="J172" s="36" t="str">
        <f aca="false">IF(I172="","",IFERROR(INDEX(参数表!$D$13:$D$212,MATCH(I172,参数表!$A$13:$A$212,0)),"SKU未建档"))</f>
        <v/>
      </c>
      <c r="K172" s="36" t="str">
        <f aca="false">IF(I172="","",IFERROR(INDEX(参数表!$F$13:$F$212,MATCH(I172,参数表!$A$13:$A$212,0)),"SKU未建档"))</f>
        <v/>
      </c>
      <c r="L172" s="45"/>
      <c r="M172" s="35" t="str">
        <f aca="false">IF(I172="","",IFERROR(INDEX(参数表!$G$13:$G$212,MATCH(I172,参数表!$A$13:$A$212,0)),"SKU未建档"))</f>
        <v/>
      </c>
      <c r="N172" s="40"/>
      <c r="O172" s="46"/>
      <c r="P172" s="47"/>
      <c r="Q172" s="34" t="str">
        <f aca="false">IF(OR(O172="",P172=""),"",ROUND(O172*P172,2))</f>
        <v/>
      </c>
      <c r="R172" s="48"/>
      <c r="S172" s="46"/>
      <c r="T172" s="33" t="str">
        <f aca="false">IF(I172="","",IFERROR(INDEX(参数表!$H$13:$H$212,MATCH(I172,参数表!$A$13:$A$212,0)),"SKU未建档"))</f>
        <v/>
      </c>
      <c r="U172" s="34" t="str">
        <f aca="false">IF(A172="","",IF(参数表!$B$6="外贸企业",IF(S172="","",S172),IF(Q172="","",Q172)))</f>
        <v/>
      </c>
      <c r="V172" s="34" t="str">
        <f aca="false">IF(OR(U172="",NOT(ISNUMBER(T172))),"",ROUND(U172*T172,2))</f>
        <v/>
      </c>
      <c r="W172" s="43"/>
      <c r="X172" s="48"/>
      <c r="Y172" s="45"/>
      <c r="Z172" s="41"/>
      <c r="AA172" s="32" t="str">
        <f aca="false">IF(OR(L172="",Y172=""),"",Y172-L172)</f>
        <v/>
      </c>
      <c r="AB172" s="43"/>
      <c r="AC172" s="43"/>
    </row>
    <row r="173" customFormat="false" ht="21.75" hidden="false" customHeight="true" outlineLevel="0" collapsed="false">
      <c r="A173" s="29" t="str">
        <f aca="false">IF(OR(B173="",C173=""),"",B173&amp;"-"&amp;C173)</f>
        <v/>
      </c>
      <c r="B173" s="48"/>
      <c r="C173" s="40"/>
      <c r="D173" s="41"/>
      <c r="E173" s="42"/>
      <c r="F173" s="48"/>
      <c r="G173" s="43"/>
      <c r="H173" s="43"/>
      <c r="I173" s="44"/>
      <c r="J173" s="36" t="str">
        <f aca="false">IF(I173="","",IFERROR(INDEX(参数表!$D$13:$D$212,MATCH(I173,参数表!$A$13:$A$212,0)),"SKU未建档"))</f>
        <v/>
      </c>
      <c r="K173" s="36" t="str">
        <f aca="false">IF(I173="","",IFERROR(INDEX(参数表!$F$13:$F$212,MATCH(I173,参数表!$A$13:$A$212,0)),"SKU未建档"))</f>
        <v/>
      </c>
      <c r="L173" s="45"/>
      <c r="M173" s="35" t="str">
        <f aca="false">IF(I173="","",IFERROR(INDEX(参数表!$G$13:$G$212,MATCH(I173,参数表!$A$13:$A$212,0)),"SKU未建档"))</f>
        <v/>
      </c>
      <c r="N173" s="40"/>
      <c r="O173" s="46"/>
      <c r="P173" s="47"/>
      <c r="Q173" s="34" t="str">
        <f aca="false">IF(OR(O173="",P173=""),"",ROUND(O173*P173,2))</f>
        <v/>
      </c>
      <c r="R173" s="48"/>
      <c r="S173" s="46"/>
      <c r="T173" s="33" t="str">
        <f aca="false">IF(I173="","",IFERROR(INDEX(参数表!$H$13:$H$212,MATCH(I173,参数表!$A$13:$A$212,0)),"SKU未建档"))</f>
        <v/>
      </c>
      <c r="U173" s="34" t="str">
        <f aca="false">IF(A173="","",IF(参数表!$B$6="外贸企业",IF(S173="","",S173),IF(Q173="","",Q173)))</f>
        <v/>
      </c>
      <c r="V173" s="34" t="str">
        <f aca="false">IF(OR(U173="",NOT(ISNUMBER(T173))),"",ROUND(U173*T173,2))</f>
        <v/>
      </c>
      <c r="W173" s="43"/>
      <c r="X173" s="48"/>
      <c r="Y173" s="45"/>
      <c r="Z173" s="41"/>
      <c r="AA173" s="32" t="str">
        <f aca="false">IF(OR(L173="",Y173=""),"",Y173-L173)</f>
        <v/>
      </c>
      <c r="AB173" s="43"/>
      <c r="AC173" s="43"/>
    </row>
    <row r="174" customFormat="false" ht="21.75" hidden="false" customHeight="true" outlineLevel="0" collapsed="false">
      <c r="A174" s="29" t="str">
        <f aca="false">IF(OR(B174="",C174=""),"",B174&amp;"-"&amp;C174)</f>
        <v/>
      </c>
      <c r="B174" s="48"/>
      <c r="C174" s="40"/>
      <c r="D174" s="41"/>
      <c r="E174" s="42"/>
      <c r="F174" s="48"/>
      <c r="G174" s="43"/>
      <c r="H174" s="43"/>
      <c r="I174" s="44"/>
      <c r="J174" s="36" t="str">
        <f aca="false">IF(I174="","",IFERROR(INDEX(参数表!$D$13:$D$212,MATCH(I174,参数表!$A$13:$A$212,0)),"SKU未建档"))</f>
        <v/>
      </c>
      <c r="K174" s="36" t="str">
        <f aca="false">IF(I174="","",IFERROR(INDEX(参数表!$F$13:$F$212,MATCH(I174,参数表!$A$13:$A$212,0)),"SKU未建档"))</f>
        <v/>
      </c>
      <c r="L174" s="45"/>
      <c r="M174" s="35" t="str">
        <f aca="false">IF(I174="","",IFERROR(INDEX(参数表!$G$13:$G$212,MATCH(I174,参数表!$A$13:$A$212,0)),"SKU未建档"))</f>
        <v/>
      </c>
      <c r="N174" s="40"/>
      <c r="O174" s="46"/>
      <c r="P174" s="47"/>
      <c r="Q174" s="34" t="str">
        <f aca="false">IF(OR(O174="",P174=""),"",ROUND(O174*P174,2))</f>
        <v/>
      </c>
      <c r="R174" s="48"/>
      <c r="S174" s="46"/>
      <c r="T174" s="33" t="str">
        <f aca="false">IF(I174="","",IFERROR(INDEX(参数表!$H$13:$H$212,MATCH(I174,参数表!$A$13:$A$212,0)),"SKU未建档"))</f>
        <v/>
      </c>
      <c r="U174" s="34" t="str">
        <f aca="false">IF(A174="","",IF(参数表!$B$6="外贸企业",IF(S174="","",S174),IF(Q174="","",Q174)))</f>
        <v/>
      </c>
      <c r="V174" s="34" t="str">
        <f aca="false">IF(OR(U174="",NOT(ISNUMBER(T174))),"",ROUND(U174*T174,2))</f>
        <v/>
      </c>
      <c r="W174" s="43"/>
      <c r="X174" s="48"/>
      <c r="Y174" s="45"/>
      <c r="Z174" s="41"/>
      <c r="AA174" s="32" t="str">
        <f aca="false">IF(OR(L174="",Y174=""),"",Y174-L174)</f>
        <v/>
      </c>
      <c r="AB174" s="43"/>
      <c r="AC174" s="43"/>
    </row>
    <row r="175" customFormat="false" ht="21.75" hidden="false" customHeight="true" outlineLevel="0" collapsed="false">
      <c r="A175" s="29" t="str">
        <f aca="false">IF(OR(B175="",C175=""),"",B175&amp;"-"&amp;C175)</f>
        <v/>
      </c>
      <c r="B175" s="48"/>
      <c r="C175" s="40"/>
      <c r="D175" s="41"/>
      <c r="E175" s="42"/>
      <c r="F175" s="48"/>
      <c r="G175" s="43"/>
      <c r="H175" s="43"/>
      <c r="I175" s="44"/>
      <c r="J175" s="36" t="str">
        <f aca="false">IF(I175="","",IFERROR(INDEX(参数表!$D$13:$D$212,MATCH(I175,参数表!$A$13:$A$212,0)),"SKU未建档"))</f>
        <v/>
      </c>
      <c r="K175" s="36" t="str">
        <f aca="false">IF(I175="","",IFERROR(INDEX(参数表!$F$13:$F$212,MATCH(I175,参数表!$A$13:$A$212,0)),"SKU未建档"))</f>
        <v/>
      </c>
      <c r="L175" s="45"/>
      <c r="M175" s="35" t="str">
        <f aca="false">IF(I175="","",IFERROR(INDEX(参数表!$G$13:$G$212,MATCH(I175,参数表!$A$13:$A$212,0)),"SKU未建档"))</f>
        <v/>
      </c>
      <c r="N175" s="40"/>
      <c r="O175" s="46"/>
      <c r="P175" s="47"/>
      <c r="Q175" s="34" t="str">
        <f aca="false">IF(OR(O175="",P175=""),"",ROUND(O175*P175,2))</f>
        <v/>
      </c>
      <c r="R175" s="48"/>
      <c r="S175" s="46"/>
      <c r="T175" s="33" t="str">
        <f aca="false">IF(I175="","",IFERROR(INDEX(参数表!$H$13:$H$212,MATCH(I175,参数表!$A$13:$A$212,0)),"SKU未建档"))</f>
        <v/>
      </c>
      <c r="U175" s="34" t="str">
        <f aca="false">IF(A175="","",IF(参数表!$B$6="外贸企业",IF(S175="","",S175),IF(Q175="","",Q175)))</f>
        <v/>
      </c>
      <c r="V175" s="34" t="str">
        <f aca="false">IF(OR(U175="",NOT(ISNUMBER(T175))),"",ROUND(U175*T175,2))</f>
        <v/>
      </c>
      <c r="W175" s="43"/>
      <c r="X175" s="48"/>
      <c r="Y175" s="45"/>
      <c r="Z175" s="41"/>
      <c r="AA175" s="32" t="str">
        <f aca="false">IF(OR(L175="",Y175=""),"",Y175-L175)</f>
        <v/>
      </c>
      <c r="AB175" s="43"/>
      <c r="AC175" s="43"/>
    </row>
    <row r="176" customFormat="false" ht="21.75" hidden="false" customHeight="true" outlineLevel="0" collapsed="false">
      <c r="A176" s="29" t="str">
        <f aca="false">IF(OR(B176="",C176=""),"",B176&amp;"-"&amp;C176)</f>
        <v/>
      </c>
      <c r="B176" s="48"/>
      <c r="C176" s="40"/>
      <c r="D176" s="41"/>
      <c r="E176" s="42"/>
      <c r="F176" s="48"/>
      <c r="G176" s="43"/>
      <c r="H176" s="43"/>
      <c r="I176" s="44"/>
      <c r="J176" s="36" t="str">
        <f aca="false">IF(I176="","",IFERROR(INDEX(参数表!$D$13:$D$212,MATCH(I176,参数表!$A$13:$A$212,0)),"SKU未建档"))</f>
        <v/>
      </c>
      <c r="K176" s="36" t="str">
        <f aca="false">IF(I176="","",IFERROR(INDEX(参数表!$F$13:$F$212,MATCH(I176,参数表!$A$13:$A$212,0)),"SKU未建档"))</f>
        <v/>
      </c>
      <c r="L176" s="45"/>
      <c r="M176" s="35" t="str">
        <f aca="false">IF(I176="","",IFERROR(INDEX(参数表!$G$13:$G$212,MATCH(I176,参数表!$A$13:$A$212,0)),"SKU未建档"))</f>
        <v/>
      </c>
      <c r="N176" s="40"/>
      <c r="O176" s="46"/>
      <c r="P176" s="47"/>
      <c r="Q176" s="34" t="str">
        <f aca="false">IF(OR(O176="",P176=""),"",ROUND(O176*P176,2))</f>
        <v/>
      </c>
      <c r="R176" s="48"/>
      <c r="S176" s="46"/>
      <c r="T176" s="33" t="str">
        <f aca="false">IF(I176="","",IFERROR(INDEX(参数表!$H$13:$H$212,MATCH(I176,参数表!$A$13:$A$212,0)),"SKU未建档"))</f>
        <v/>
      </c>
      <c r="U176" s="34" t="str">
        <f aca="false">IF(A176="","",IF(参数表!$B$6="外贸企业",IF(S176="","",S176),IF(Q176="","",Q176)))</f>
        <v/>
      </c>
      <c r="V176" s="34" t="str">
        <f aca="false">IF(OR(U176="",NOT(ISNUMBER(T176))),"",ROUND(U176*T176,2))</f>
        <v/>
      </c>
      <c r="W176" s="43"/>
      <c r="X176" s="48"/>
      <c r="Y176" s="45"/>
      <c r="Z176" s="41"/>
      <c r="AA176" s="32" t="str">
        <f aca="false">IF(OR(L176="",Y176=""),"",Y176-L176)</f>
        <v/>
      </c>
      <c r="AB176" s="43"/>
      <c r="AC176" s="43"/>
    </row>
    <row r="177" customFormat="false" ht="21.75" hidden="false" customHeight="true" outlineLevel="0" collapsed="false">
      <c r="A177" s="29" t="str">
        <f aca="false">IF(OR(B177="",C177=""),"",B177&amp;"-"&amp;C177)</f>
        <v/>
      </c>
      <c r="B177" s="48"/>
      <c r="C177" s="40"/>
      <c r="D177" s="41"/>
      <c r="E177" s="42"/>
      <c r="F177" s="48"/>
      <c r="G177" s="43"/>
      <c r="H177" s="43"/>
      <c r="I177" s="44"/>
      <c r="J177" s="36" t="str">
        <f aca="false">IF(I177="","",IFERROR(INDEX(参数表!$D$13:$D$212,MATCH(I177,参数表!$A$13:$A$212,0)),"SKU未建档"))</f>
        <v/>
      </c>
      <c r="K177" s="36" t="str">
        <f aca="false">IF(I177="","",IFERROR(INDEX(参数表!$F$13:$F$212,MATCH(I177,参数表!$A$13:$A$212,0)),"SKU未建档"))</f>
        <v/>
      </c>
      <c r="L177" s="45"/>
      <c r="M177" s="35" t="str">
        <f aca="false">IF(I177="","",IFERROR(INDEX(参数表!$G$13:$G$212,MATCH(I177,参数表!$A$13:$A$212,0)),"SKU未建档"))</f>
        <v/>
      </c>
      <c r="N177" s="40"/>
      <c r="O177" s="46"/>
      <c r="P177" s="47"/>
      <c r="Q177" s="34" t="str">
        <f aca="false">IF(OR(O177="",P177=""),"",ROUND(O177*P177,2))</f>
        <v/>
      </c>
      <c r="R177" s="48"/>
      <c r="S177" s="46"/>
      <c r="T177" s="33" t="str">
        <f aca="false">IF(I177="","",IFERROR(INDEX(参数表!$H$13:$H$212,MATCH(I177,参数表!$A$13:$A$212,0)),"SKU未建档"))</f>
        <v/>
      </c>
      <c r="U177" s="34" t="str">
        <f aca="false">IF(A177="","",IF(参数表!$B$6="外贸企业",IF(S177="","",S177),IF(Q177="","",Q177)))</f>
        <v/>
      </c>
      <c r="V177" s="34" t="str">
        <f aca="false">IF(OR(U177="",NOT(ISNUMBER(T177))),"",ROUND(U177*T177,2))</f>
        <v/>
      </c>
      <c r="W177" s="43"/>
      <c r="X177" s="48"/>
      <c r="Y177" s="45"/>
      <c r="Z177" s="41"/>
      <c r="AA177" s="32" t="str">
        <f aca="false">IF(OR(L177="",Y177=""),"",Y177-L177)</f>
        <v/>
      </c>
      <c r="AB177" s="43"/>
      <c r="AC177" s="43"/>
    </row>
    <row r="178" customFormat="false" ht="21.75" hidden="false" customHeight="true" outlineLevel="0" collapsed="false">
      <c r="A178" s="29" t="str">
        <f aca="false">IF(OR(B178="",C178=""),"",B178&amp;"-"&amp;C178)</f>
        <v/>
      </c>
      <c r="B178" s="48"/>
      <c r="C178" s="40"/>
      <c r="D178" s="41"/>
      <c r="E178" s="42"/>
      <c r="F178" s="48"/>
      <c r="G178" s="43"/>
      <c r="H178" s="43"/>
      <c r="I178" s="44"/>
      <c r="J178" s="36" t="str">
        <f aca="false">IF(I178="","",IFERROR(INDEX(参数表!$D$13:$D$212,MATCH(I178,参数表!$A$13:$A$212,0)),"SKU未建档"))</f>
        <v/>
      </c>
      <c r="K178" s="36" t="str">
        <f aca="false">IF(I178="","",IFERROR(INDEX(参数表!$F$13:$F$212,MATCH(I178,参数表!$A$13:$A$212,0)),"SKU未建档"))</f>
        <v/>
      </c>
      <c r="L178" s="45"/>
      <c r="M178" s="35" t="str">
        <f aca="false">IF(I178="","",IFERROR(INDEX(参数表!$G$13:$G$212,MATCH(I178,参数表!$A$13:$A$212,0)),"SKU未建档"))</f>
        <v/>
      </c>
      <c r="N178" s="40"/>
      <c r="O178" s="46"/>
      <c r="P178" s="47"/>
      <c r="Q178" s="34" t="str">
        <f aca="false">IF(OR(O178="",P178=""),"",ROUND(O178*P178,2))</f>
        <v/>
      </c>
      <c r="R178" s="48"/>
      <c r="S178" s="46"/>
      <c r="T178" s="33" t="str">
        <f aca="false">IF(I178="","",IFERROR(INDEX(参数表!$H$13:$H$212,MATCH(I178,参数表!$A$13:$A$212,0)),"SKU未建档"))</f>
        <v/>
      </c>
      <c r="U178" s="34" t="str">
        <f aca="false">IF(A178="","",IF(参数表!$B$6="外贸企业",IF(S178="","",S178),IF(Q178="","",Q178)))</f>
        <v/>
      </c>
      <c r="V178" s="34" t="str">
        <f aca="false">IF(OR(U178="",NOT(ISNUMBER(T178))),"",ROUND(U178*T178,2))</f>
        <v/>
      </c>
      <c r="W178" s="43"/>
      <c r="X178" s="48"/>
      <c r="Y178" s="45"/>
      <c r="Z178" s="41"/>
      <c r="AA178" s="32" t="str">
        <f aca="false">IF(OR(L178="",Y178=""),"",Y178-L178)</f>
        <v/>
      </c>
      <c r="AB178" s="43"/>
      <c r="AC178" s="43"/>
    </row>
    <row r="179" customFormat="false" ht="21.75" hidden="false" customHeight="true" outlineLevel="0" collapsed="false">
      <c r="A179" s="29" t="str">
        <f aca="false">IF(OR(B179="",C179=""),"",B179&amp;"-"&amp;C179)</f>
        <v/>
      </c>
      <c r="B179" s="48"/>
      <c r="C179" s="40"/>
      <c r="D179" s="41"/>
      <c r="E179" s="42"/>
      <c r="F179" s="48"/>
      <c r="G179" s="43"/>
      <c r="H179" s="43"/>
      <c r="I179" s="44"/>
      <c r="J179" s="36" t="str">
        <f aca="false">IF(I179="","",IFERROR(INDEX(参数表!$D$13:$D$212,MATCH(I179,参数表!$A$13:$A$212,0)),"SKU未建档"))</f>
        <v/>
      </c>
      <c r="K179" s="36" t="str">
        <f aca="false">IF(I179="","",IFERROR(INDEX(参数表!$F$13:$F$212,MATCH(I179,参数表!$A$13:$A$212,0)),"SKU未建档"))</f>
        <v/>
      </c>
      <c r="L179" s="45"/>
      <c r="M179" s="35" t="str">
        <f aca="false">IF(I179="","",IFERROR(INDEX(参数表!$G$13:$G$212,MATCH(I179,参数表!$A$13:$A$212,0)),"SKU未建档"))</f>
        <v/>
      </c>
      <c r="N179" s="40"/>
      <c r="O179" s="46"/>
      <c r="P179" s="47"/>
      <c r="Q179" s="34" t="str">
        <f aca="false">IF(OR(O179="",P179=""),"",ROUND(O179*P179,2))</f>
        <v/>
      </c>
      <c r="R179" s="48"/>
      <c r="S179" s="46"/>
      <c r="T179" s="33" t="str">
        <f aca="false">IF(I179="","",IFERROR(INDEX(参数表!$H$13:$H$212,MATCH(I179,参数表!$A$13:$A$212,0)),"SKU未建档"))</f>
        <v/>
      </c>
      <c r="U179" s="34" t="str">
        <f aca="false">IF(A179="","",IF(参数表!$B$6="外贸企业",IF(S179="","",S179),IF(Q179="","",Q179)))</f>
        <v/>
      </c>
      <c r="V179" s="34" t="str">
        <f aca="false">IF(OR(U179="",NOT(ISNUMBER(T179))),"",ROUND(U179*T179,2))</f>
        <v/>
      </c>
      <c r="W179" s="43"/>
      <c r="X179" s="48"/>
      <c r="Y179" s="45"/>
      <c r="Z179" s="41"/>
      <c r="AA179" s="32" t="str">
        <f aca="false">IF(OR(L179="",Y179=""),"",Y179-L179)</f>
        <v/>
      </c>
      <c r="AB179" s="43"/>
      <c r="AC179" s="43"/>
    </row>
    <row r="180" customFormat="false" ht="21.75" hidden="false" customHeight="true" outlineLevel="0" collapsed="false">
      <c r="A180" s="29" t="str">
        <f aca="false">IF(OR(B180="",C180=""),"",B180&amp;"-"&amp;C180)</f>
        <v/>
      </c>
      <c r="B180" s="48"/>
      <c r="C180" s="40"/>
      <c r="D180" s="41"/>
      <c r="E180" s="42"/>
      <c r="F180" s="48"/>
      <c r="G180" s="43"/>
      <c r="H180" s="43"/>
      <c r="I180" s="44"/>
      <c r="J180" s="36" t="str">
        <f aca="false">IF(I180="","",IFERROR(INDEX(参数表!$D$13:$D$212,MATCH(I180,参数表!$A$13:$A$212,0)),"SKU未建档"))</f>
        <v/>
      </c>
      <c r="K180" s="36" t="str">
        <f aca="false">IF(I180="","",IFERROR(INDEX(参数表!$F$13:$F$212,MATCH(I180,参数表!$A$13:$A$212,0)),"SKU未建档"))</f>
        <v/>
      </c>
      <c r="L180" s="45"/>
      <c r="M180" s="35" t="str">
        <f aca="false">IF(I180="","",IFERROR(INDEX(参数表!$G$13:$G$212,MATCH(I180,参数表!$A$13:$A$212,0)),"SKU未建档"))</f>
        <v/>
      </c>
      <c r="N180" s="40"/>
      <c r="O180" s="46"/>
      <c r="P180" s="47"/>
      <c r="Q180" s="34" t="str">
        <f aca="false">IF(OR(O180="",P180=""),"",ROUND(O180*P180,2))</f>
        <v/>
      </c>
      <c r="R180" s="48"/>
      <c r="S180" s="46"/>
      <c r="T180" s="33" t="str">
        <f aca="false">IF(I180="","",IFERROR(INDEX(参数表!$H$13:$H$212,MATCH(I180,参数表!$A$13:$A$212,0)),"SKU未建档"))</f>
        <v/>
      </c>
      <c r="U180" s="34" t="str">
        <f aca="false">IF(A180="","",IF(参数表!$B$6="外贸企业",IF(S180="","",S180),IF(Q180="","",Q180)))</f>
        <v/>
      </c>
      <c r="V180" s="34" t="str">
        <f aca="false">IF(OR(U180="",NOT(ISNUMBER(T180))),"",ROUND(U180*T180,2))</f>
        <v/>
      </c>
      <c r="W180" s="43"/>
      <c r="X180" s="48"/>
      <c r="Y180" s="45"/>
      <c r="Z180" s="41"/>
      <c r="AA180" s="32" t="str">
        <f aca="false">IF(OR(L180="",Y180=""),"",Y180-L180)</f>
        <v/>
      </c>
      <c r="AB180" s="43"/>
      <c r="AC180" s="43"/>
    </row>
    <row r="181" customFormat="false" ht="21.75" hidden="false" customHeight="true" outlineLevel="0" collapsed="false">
      <c r="A181" s="29" t="str">
        <f aca="false">IF(OR(B181="",C181=""),"",B181&amp;"-"&amp;C181)</f>
        <v/>
      </c>
      <c r="B181" s="48"/>
      <c r="C181" s="40"/>
      <c r="D181" s="41"/>
      <c r="E181" s="42"/>
      <c r="F181" s="48"/>
      <c r="G181" s="43"/>
      <c r="H181" s="43"/>
      <c r="I181" s="44"/>
      <c r="J181" s="36" t="str">
        <f aca="false">IF(I181="","",IFERROR(INDEX(参数表!$D$13:$D$212,MATCH(I181,参数表!$A$13:$A$212,0)),"SKU未建档"))</f>
        <v/>
      </c>
      <c r="K181" s="36" t="str">
        <f aca="false">IF(I181="","",IFERROR(INDEX(参数表!$F$13:$F$212,MATCH(I181,参数表!$A$13:$A$212,0)),"SKU未建档"))</f>
        <v/>
      </c>
      <c r="L181" s="45"/>
      <c r="M181" s="35" t="str">
        <f aca="false">IF(I181="","",IFERROR(INDEX(参数表!$G$13:$G$212,MATCH(I181,参数表!$A$13:$A$212,0)),"SKU未建档"))</f>
        <v/>
      </c>
      <c r="N181" s="40"/>
      <c r="O181" s="46"/>
      <c r="P181" s="47"/>
      <c r="Q181" s="34" t="str">
        <f aca="false">IF(OR(O181="",P181=""),"",ROUND(O181*P181,2))</f>
        <v/>
      </c>
      <c r="R181" s="48"/>
      <c r="S181" s="46"/>
      <c r="T181" s="33" t="str">
        <f aca="false">IF(I181="","",IFERROR(INDEX(参数表!$H$13:$H$212,MATCH(I181,参数表!$A$13:$A$212,0)),"SKU未建档"))</f>
        <v/>
      </c>
      <c r="U181" s="34" t="str">
        <f aca="false">IF(A181="","",IF(参数表!$B$6="外贸企业",IF(S181="","",S181),IF(Q181="","",Q181)))</f>
        <v/>
      </c>
      <c r="V181" s="34" t="str">
        <f aca="false">IF(OR(U181="",NOT(ISNUMBER(T181))),"",ROUND(U181*T181,2))</f>
        <v/>
      </c>
      <c r="W181" s="43"/>
      <c r="X181" s="48"/>
      <c r="Y181" s="45"/>
      <c r="Z181" s="41"/>
      <c r="AA181" s="32" t="str">
        <f aca="false">IF(OR(L181="",Y181=""),"",Y181-L181)</f>
        <v/>
      </c>
      <c r="AB181" s="43"/>
      <c r="AC181" s="43"/>
    </row>
    <row r="182" customFormat="false" ht="21.75" hidden="false" customHeight="true" outlineLevel="0" collapsed="false">
      <c r="A182" s="29" t="str">
        <f aca="false">IF(OR(B182="",C182=""),"",B182&amp;"-"&amp;C182)</f>
        <v/>
      </c>
      <c r="B182" s="48"/>
      <c r="C182" s="40"/>
      <c r="D182" s="41"/>
      <c r="E182" s="42"/>
      <c r="F182" s="48"/>
      <c r="G182" s="43"/>
      <c r="H182" s="43"/>
      <c r="I182" s="44"/>
      <c r="J182" s="36" t="str">
        <f aca="false">IF(I182="","",IFERROR(INDEX(参数表!$D$13:$D$212,MATCH(I182,参数表!$A$13:$A$212,0)),"SKU未建档"))</f>
        <v/>
      </c>
      <c r="K182" s="36" t="str">
        <f aca="false">IF(I182="","",IFERROR(INDEX(参数表!$F$13:$F$212,MATCH(I182,参数表!$A$13:$A$212,0)),"SKU未建档"))</f>
        <v/>
      </c>
      <c r="L182" s="45"/>
      <c r="M182" s="35" t="str">
        <f aca="false">IF(I182="","",IFERROR(INDEX(参数表!$G$13:$G$212,MATCH(I182,参数表!$A$13:$A$212,0)),"SKU未建档"))</f>
        <v/>
      </c>
      <c r="N182" s="40"/>
      <c r="O182" s="46"/>
      <c r="P182" s="47"/>
      <c r="Q182" s="34" t="str">
        <f aca="false">IF(OR(O182="",P182=""),"",ROUND(O182*P182,2))</f>
        <v/>
      </c>
      <c r="R182" s="48"/>
      <c r="S182" s="46"/>
      <c r="T182" s="33" t="str">
        <f aca="false">IF(I182="","",IFERROR(INDEX(参数表!$H$13:$H$212,MATCH(I182,参数表!$A$13:$A$212,0)),"SKU未建档"))</f>
        <v/>
      </c>
      <c r="U182" s="34" t="str">
        <f aca="false">IF(A182="","",IF(参数表!$B$6="外贸企业",IF(S182="","",S182),IF(Q182="","",Q182)))</f>
        <v/>
      </c>
      <c r="V182" s="34" t="str">
        <f aca="false">IF(OR(U182="",NOT(ISNUMBER(T182))),"",ROUND(U182*T182,2))</f>
        <v/>
      </c>
      <c r="W182" s="43"/>
      <c r="X182" s="48"/>
      <c r="Y182" s="45"/>
      <c r="Z182" s="41"/>
      <c r="AA182" s="32" t="str">
        <f aca="false">IF(OR(L182="",Y182=""),"",Y182-L182)</f>
        <v/>
      </c>
      <c r="AB182" s="43"/>
      <c r="AC182" s="43"/>
    </row>
    <row r="183" customFormat="false" ht="21.75" hidden="false" customHeight="true" outlineLevel="0" collapsed="false">
      <c r="A183" s="29" t="str">
        <f aca="false">IF(OR(B183="",C183=""),"",B183&amp;"-"&amp;C183)</f>
        <v/>
      </c>
      <c r="B183" s="48"/>
      <c r="C183" s="40"/>
      <c r="D183" s="41"/>
      <c r="E183" s="42"/>
      <c r="F183" s="48"/>
      <c r="G183" s="43"/>
      <c r="H183" s="43"/>
      <c r="I183" s="44"/>
      <c r="J183" s="36" t="str">
        <f aca="false">IF(I183="","",IFERROR(INDEX(参数表!$D$13:$D$212,MATCH(I183,参数表!$A$13:$A$212,0)),"SKU未建档"))</f>
        <v/>
      </c>
      <c r="K183" s="36" t="str">
        <f aca="false">IF(I183="","",IFERROR(INDEX(参数表!$F$13:$F$212,MATCH(I183,参数表!$A$13:$A$212,0)),"SKU未建档"))</f>
        <v/>
      </c>
      <c r="L183" s="45"/>
      <c r="M183" s="35" t="str">
        <f aca="false">IF(I183="","",IFERROR(INDEX(参数表!$G$13:$G$212,MATCH(I183,参数表!$A$13:$A$212,0)),"SKU未建档"))</f>
        <v/>
      </c>
      <c r="N183" s="40"/>
      <c r="O183" s="46"/>
      <c r="P183" s="47"/>
      <c r="Q183" s="34" t="str">
        <f aca="false">IF(OR(O183="",P183=""),"",ROUND(O183*P183,2))</f>
        <v/>
      </c>
      <c r="R183" s="48"/>
      <c r="S183" s="46"/>
      <c r="T183" s="33" t="str">
        <f aca="false">IF(I183="","",IFERROR(INDEX(参数表!$H$13:$H$212,MATCH(I183,参数表!$A$13:$A$212,0)),"SKU未建档"))</f>
        <v/>
      </c>
      <c r="U183" s="34" t="str">
        <f aca="false">IF(A183="","",IF(参数表!$B$6="外贸企业",IF(S183="","",S183),IF(Q183="","",Q183)))</f>
        <v/>
      </c>
      <c r="V183" s="34" t="str">
        <f aca="false">IF(OR(U183="",NOT(ISNUMBER(T183))),"",ROUND(U183*T183,2))</f>
        <v/>
      </c>
      <c r="W183" s="43"/>
      <c r="X183" s="48"/>
      <c r="Y183" s="45"/>
      <c r="Z183" s="41"/>
      <c r="AA183" s="32" t="str">
        <f aca="false">IF(OR(L183="",Y183=""),"",Y183-L183)</f>
        <v/>
      </c>
      <c r="AB183" s="43"/>
      <c r="AC183" s="43"/>
    </row>
    <row r="184" customFormat="false" ht="21.75" hidden="false" customHeight="true" outlineLevel="0" collapsed="false">
      <c r="A184" s="29" t="str">
        <f aca="false">IF(OR(B184="",C184=""),"",B184&amp;"-"&amp;C184)</f>
        <v/>
      </c>
      <c r="B184" s="48"/>
      <c r="C184" s="40"/>
      <c r="D184" s="41"/>
      <c r="E184" s="42"/>
      <c r="F184" s="48"/>
      <c r="G184" s="43"/>
      <c r="H184" s="43"/>
      <c r="I184" s="44"/>
      <c r="J184" s="36" t="str">
        <f aca="false">IF(I184="","",IFERROR(INDEX(参数表!$D$13:$D$212,MATCH(I184,参数表!$A$13:$A$212,0)),"SKU未建档"))</f>
        <v/>
      </c>
      <c r="K184" s="36" t="str">
        <f aca="false">IF(I184="","",IFERROR(INDEX(参数表!$F$13:$F$212,MATCH(I184,参数表!$A$13:$A$212,0)),"SKU未建档"))</f>
        <v/>
      </c>
      <c r="L184" s="45"/>
      <c r="M184" s="35" t="str">
        <f aca="false">IF(I184="","",IFERROR(INDEX(参数表!$G$13:$G$212,MATCH(I184,参数表!$A$13:$A$212,0)),"SKU未建档"))</f>
        <v/>
      </c>
      <c r="N184" s="40"/>
      <c r="O184" s="46"/>
      <c r="P184" s="47"/>
      <c r="Q184" s="34" t="str">
        <f aca="false">IF(OR(O184="",P184=""),"",ROUND(O184*P184,2))</f>
        <v/>
      </c>
      <c r="R184" s="48"/>
      <c r="S184" s="46"/>
      <c r="T184" s="33" t="str">
        <f aca="false">IF(I184="","",IFERROR(INDEX(参数表!$H$13:$H$212,MATCH(I184,参数表!$A$13:$A$212,0)),"SKU未建档"))</f>
        <v/>
      </c>
      <c r="U184" s="34" t="str">
        <f aca="false">IF(A184="","",IF(参数表!$B$6="外贸企业",IF(S184="","",S184),IF(Q184="","",Q184)))</f>
        <v/>
      </c>
      <c r="V184" s="34" t="str">
        <f aca="false">IF(OR(U184="",NOT(ISNUMBER(T184))),"",ROUND(U184*T184,2))</f>
        <v/>
      </c>
      <c r="W184" s="43"/>
      <c r="X184" s="48"/>
      <c r="Y184" s="45"/>
      <c r="Z184" s="41"/>
      <c r="AA184" s="32" t="str">
        <f aca="false">IF(OR(L184="",Y184=""),"",Y184-L184)</f>
        <v/>
      </c>
      <c r="AB184" s="43"/>
      <c r="AC184" s="43"/>
    </row>
    <row r="185" customFormat="false" ht="21.75" hidden="false" customHeight="true" outlineLevel="0" collapsed="false">
      <c r="A185" s="29" t="str">
        <f aca="false">IF(OR(B185="",C185=""),"",B185&amp;"-"&amp;C185)</f>
        <v/>
      </c>
      <c r="B185" s="48"/>
      <c r="C185" s="40"/>
      <c r="D185" s="41"/>
      <c r="E185" s="42"/>
      <c r="F185" s="48"/>
      <c r="G185" s="43"/>
      <c r="H185" s="43"/>
      <c r="I185" s="44"/>
      <c r="J185" s="36" t="str">
        <f aca="false">IF(I185="","",IFERROR(INDEX(参数表!$D$13:$D$212,MATCH(I185,参数表!$A$13:$A$212,0)),"SKU未建档"))</f>
        <v/>
      </c>
      <c r="K185" s="36" t="str">
        <f aca="false">IF(I185="","",IFERROR(INDEX(参数表!$F$13:$F$212,MATCH(I185,参数表!$A$13:$A$212,0)),"SKU未建档"))</f>
        <v/>
      </c>
      <c r="L185" s="45"/>
      <c r="M185" s="35" t="str">
        <f aca="false">IF(I185="","",IFERROR(INDEX(参数表!$G$13:$G$212,MATCH(I185,参数表!$A$13:$A$212,0)),"SKU未建档"))</f>
        <v/>
      </c>
      <c r="N185" s="40"/>
      <c r="O185" s="46"/>
      <c r="P185" s="47"/>
      <c r="Q185" s="34" t="str">
        <f aca="false">IF(OR(O185="",P185=""),"",ROUND(O185*P185,2))</f>
        <v/>
      </c>
      <c r="R185" s="48"/>
      <c r="S185" s="46"/>
      <c r="T185" s="33" t="str">
        <f aca="false">IF(I185="","",IFERROR(INDEX(参数表!$H$13:$H$212,MATCH(I185,参数表!$A$13:$A$212,0)),"SKU未建档"))</f>
        <v/>
      </c>
      <c r="U185" s="34" t="str">
        <f aca="false">IF(A185="","",IF(参数表!$B$6="外贸企业",IF(S185="","",S185),IF(Q185="","",Q185)))</f>
        <v/>
      </c>
      <c r="V185" s="34" t="str">
        <f aca="false">IF(OR(U185="",NOT(ISNUMBER(T185))),"",ROUND(U185*T185,2))</f>
        <v/>
      </c>
      <c r="W185" s="43"/>
      <c r="X185" s="48"/>
      <c r="Y185" s="45"/>
      <c r="Z185" s="41"/>
      <c r="AA185" s="32" t="str">
        <f aca="false">IF(OR(L185="",Y185=""),"",Y185-L185)</f>
        <v/>
      </c>
      <c r="AB185" s="43"/>
      <c r="AC185" s="43"/>
    </row>
    <row r="186" customFormat="false" ht="21.75" hidden="false" customHeight="true" outlineLevel="0" collapsed="false">
      <c r="A186" s="29" t="str">
        <f aca="false">IF(OR(B186="",C186=""),"",B186&amp;"-"&amp;C186)</f>
        <v/>
      </c>
      <c r="B186" s="48"/>
      <c r="C186" s="40"/>
      <c r="D186" s="41"/>
      <c r="E186" s="42"/>
      <c r="F186" s="48"/>
      <c r="G186" s="43"/>
      <c r="H186" s="43"/>
      <c r="I186" s="44"/>
      <c r="J186" s="36" t="str">
        <f aca="false">IF(I186="","",IFERROR(INDEX(参数表!$D$13:$D$212,MATCH(I186,参数表!$A$13:$A$212,0)),"SKU未建档"))</f>
        <v/>
      </c>
      <c r="K186" s="36" t="str">
        <f aca="false">IF(I186="","",IFERROR(INDEX(参数表!$F$13:$F$212,MATCH(I186,参数表!$A$13:$A$212,0)),"SKU未建档"))</f>
        <v/>
      </c>
      <c r="L186" s="45"/>
      <c r="M186" s="35" t="str">
        <f aca="false">IF(I186="","",IFERROR(INDEX(参数表!$G$13:$G$212,MATCH(I186,参数表!$A$13:$A$212,0)),"SKU未建档"))</f>
        <v/>
      </c>
      <c r="N186" s="40"/>
      <c r="O186" s="46"/>
      <c r="P186" s="47"/>
      <c r="Q186" s="34" t="str">
        <f aca="false">IF(OR(O186="",P186=""),"",ROUND(O186*P186,2))</f>
        <v/>
      </c>
      <c r="R186" s="48"/>
      <c r="S186" s="46"/>
      <c r="T186" s="33" t="str">
        <f aca="false">IF(I186="","",IFERROR(INDEX(参数表!$H$13:$H$212,MATCH(I186,参数表!$A$13:$A$212,0)),"SKU未建档"))</f>
        <v/>
      </c>
      <c r="U186" s="34" t="str">
        <f aca="false">IF(A186="","",IF(参数表!$B$6="外贸企业",IF(S186="","",S186),IF(Q186="","",Q186)))</f>
        <v/>
      </c>
      <c r="V186" s="34" t="str">
        <f aca="false">IF(OR(U186="",NOT(ISNUMBER(T186))),"",ROUND(U186*T186,2))</f>
        <v/>
      </c>
      <c r="W186" s="43"/>
      <c r="X186" s="48"/>
      <c r="Y186" s="45"/>
      <c r="Z186" s="41"/>
      <c r="AA186" s="32" t="str">
        <f aca="false">IF(OR(L186="",Y186=""),"",Y186-L186)</f>
        <v/>
      </c>
      <c r="AB186" s="43"/>
      <c r="AC186" s="43"/>
    </row>
    <row r="187" customFormat="false" ht="21.75" hidden="false" customHeight="true" outlineLevel="0" collapsed="false">
      <c r="A187" s="29" t="str">
        <f aca="false">IF(OR(B187="",C187=""),"",B187&amp;"-"&amp;C187)</f>
        <v/>
      </c>
      <c r="B187" s="48"/>
      <c r="C187" s="40"/>
      <c r="D187" s="41"/>
      <c r="E187" s="42"/>
      <c r="F187" s="48"/>
      <c r="G187" s="43"/>
      <c r="H187" s="43"/>
      <c r="I187" s="44"/>
      <c r="J187" s="36" t="str">
        <f aca="false">IF(I187="","",IFERROR(INDEX(参数表!$D$13:$D$212,MATCH(I187,参数表!$A$13:$A$212,0)),"SKU未建档"))</f>
        <v/>
      </c>
      <c r="K187" s="36" t="str">
        <f aca="false">IF(I187="","",IFERROR(INDEX(参数表!$F$13:$F$212,MATCH(I187,参数表!$A$13:$A$212,0)),"SKU未建档"))</f>
        <v/>
      </c>
      <c r="L187" s="45"/>
      <c r="M187" s="35" t="str">
        <f aca="false">IF(I187="","",IFERROR(INDEX(参数表!$G$13:$G$212,MATCH(I187,参数表!$A$13:$A$212,0)),"SKU未建档"))</f>
        <v/>
      </c>
      <c r="N187" s="40"/>
      <c r="O187" s="46"/>
      <c r="P187" s="47"/>
      <c r="Q187" s="34" t="str">
        <f aca="false">IF(OR(O187="",P187=""),"",ROUND(O187*P187,2))</f>
        <v/>
      </c>
      <c r="R187" s="48"/>
      <c r="S187" s="46"/>
      <c r="T187" s="33" t="str">
        <f aca="false">IF(I187="","",IFERROR(INDEX(参数表!$H$13:$H$212,MATCH(I187,参数表!$A$13:$A$212,0)),"SKU未建档"))</f>
        <v/>
      </c>
      <c r="U187" s="34" t="str">
        <f aca="false">IF(A187="","",IF(参数表!$B$6="外贸企业",IF(S187="","",S187),IF(Q187="","",Q187)))</f>
        <v/>
      </c>
      <c r="V187" s="34" t="str">
        <f aca="false">IF(OR(U187="",NOT(ISNUMBER(T187))),"",ROUND(U187*T187,2))</f>
        <v/>
      </c>
      <c r="W187" s="43"/>
      <c r="X187" s="48"/>
      <c r="Y187" s="45"/>
      <c r="Z187" s="41"/>
      <c r="AA187" s="32" t="str">
        <f aca="false">IF(OR(L187="",Y187=""),"",Y187-L187)</f>
        <v/>
      </c>
      <c r="AB187" s="43"/>
      <c r="AC187" s="43"/>
    </row>
    <row r="188" customFormat="false" ht="21.75" hidden="false" customHeight="true" outlineLevel="0" collapsed="false">
      <c r="A188" s="29" t="str">
        <f aca="false">IF(OR(B188="",C188=""),"",B188&amp;"-"&amp;C188)</f>
        <v/>
      </c>
      <c r="B188" s="48"/>
      <c r="C188" s="40"/>
      <c r="D188" s="41"/>
      <c r="E188" s="42"/>
      <c r="F188" s="48"/>
      <c r="G188" s="43"/>
      <c r="H188" s="43"/>
      <c r="I188" s="44"/>
      <c r="J188" s="36" t="str">
        <f aca="false">IF(I188="","",IFERROR(INDEX(参数表!$D$13:$D$212,MATCH(I188,参数表!$A$13:$A$212,0)),"SKU未建档"))</f>
        <v/>
      </c>
      <c r="K188" s="36" t="str">
        <f aca="false">IF(I188="","",IFERROR(INDEX(参数表!$F$13:$F$212,MATCH(I188,参数表!$A$13:$A$212,0)),"SKU未建档"))</f>
        <v/>
      </c>
      <c r="L188" s="45"/>
      <c r="M188" s="35" t="str">
        <f aca="false">IF(I188="","",IFERROR(INDEX(参数表!$G$13:$G$212,MATCH(I188,参数表!$A$13:$A$212,0)),"SKU未建档"))</f>
        <v/>
      </c>
      <c r="N188" s="40"/>
      <c r="O188" s="46"/>
      <c r="P188" s="47"/>
      <c r="Q188" s="34" t="str">
        <f aca="false">IF(OR(O188="",P188=""),"",ROUND(O188*P188,2))</f>
        <v/>
      </c>
      <c r="R188" s="48"/>
      <c r="S188" s="46"/>
      <c r="T188" s="33" t="str">
        <f aca="false">IF(I188="","",IFERROR(INDEX(参数表!$H$13:$H$212,MATCH(I188,参数表!$A$13:$A$212,0)),"SKU未建档"))</f>
        <v/>
      </c>
      <c r="U188" s="34" t="str">
        <f aca="false">IF(A188="","",IF(参数表!$B$6="外贸企业",IF(S188="","",S188),IF(Q188="","",Q188)))</f>
        <v/>
      </c>
      <c r="V188" s="34" t="str">
        <f aca="false">IF(OR(U188="",NOT(ISNUMBER(T188))),"",ROUND(U188*T188,2))</f>
        <v/>
      </c>
      <c r="W188" s="43"/>
      <c r="X188" s="48"/>
      <c r="Y188" s="45"/>
      <c r="Z188" s="41"/>
      <c r="AA188" s="32" t="str">
        <f aca="false">IF(OR(L188="",Y188=""),"",Y188-L188)</f>
        <v/>
      </c>
      <c r="AB188" s="43"/>
      <c r="AC188" s="43"/>
    </row>
    <row r="189" customFormat="false" ht="21.75" hidden="false" customHeight="true" outlineLevel="0" collapsed="false">
      <c r="A189" s="29" t="str">
        <f aca="false">IF(OR(B189="",C189=""),"",B189&amp;"-"&amp;C189)</f>
        <v/>
      </c>
      <c r="B189" s="48"/>
      <c r="C189" s="40"/>
      <c r="D189" s="41"/>
      <c r="E189" s="42"/>
      <c r="F189" s="48"/>
      <c r="G189" s="43"/>
      <c r="H189" s="43"/>
      <c r="I189" s="44"/>
      <c r="J189" s="36" t="str">
        <f aca="false">IF(I189="","",IFERROR(INDEX(参数表!$D$13:$D$212,MATCH(I189,参数表!$A$13:$A$212,0)),"SKU未建档"))</f>
        <v/>
      </c>
      <c r="K189" s="36" t="str">
        <f aca="false">IF(I189="","",IFERROR(INDEX(参数表!$F$13:$F$212,MATCH(I189,参数表!$A$13:$A$212,0)),"SKU未建档"))</f>
        <v/>
      </c>
      <c r="L189" s="45"/>
      <c r="M189" s="35" t="str">
        <f aca="false">IF(I189="","",IFERROR(INDEX(参数表!$G$13:$G$212,MATCH(I189,参数表!$A$13:$A$212,0)),"SKU未建档"))</f>
        <v/>
      </c>
      <c r="N189" s="40"/>
      <c r="O189" s="46"/>
      <c r="P189" s="47"/>
      <c r="Q189" s="34" t="str">
        <f aca="false">IF(OR(O189="",P189=""),"",ROUND(O189*P189,2))</f>
        <v/>
      </c>
      <c r="R189" s="48"/>
      <c r="S189" s="46"/>
      <c r="T189" s="33" t="str">
        <f aca="false">IF(I189="","",IFERROR(INDEX(参数表!$H$13:$H$212,MATCH(I189,参数表!$A$13:$A$212,0)),"SKU未建档"))</f>
        <v/>
      </c>
      <c r="U189" s="34" t="str">
        <f aca="false">IF(A189="","",IF(参数表!$B$6="外贸企业",IF(S189="","",S189),IF(Q189="","",Q189)))</f>
        <v/>
      </c>
      <c r="V189" s="34" t="str">
        <f aca="false">IF(OR(U189="",NOT(ISNUMBER(T189))),"",ROUND(U189*T189,2))</f>
        <v/>
      </c>
      <c r="W189" s="43"/>
      <c r="X189" s="48"/>
      <c r="Y189" s="45"/>
      <c r="Z189" s="41"/>
      <c r="AA189" s="32" t="str">
        <f aca="false">IF(OR(L189="",Y189=""),"",Y189-L189)</f>
        <v/>
      </c>
      <c r="AB189" s="43"/>
      <c r="AC189" s="43"/>
    </row>
    <row r="190" customFormat="false" ht="21.75" hidden="false" customHeight="true" outlineLevel="0" collapsed="false">
      <c r="A190" s="29" t="str">
        <f aca="false">IF(OR(B190="",C190=""),"",B190&amp;"-"&amp;C190)</f>
        <v/>
      </c>
      <c r="B190" s="48"/>
      <c r="C190" s="40"/>
      <c r="D190" s="41"/>
      <c r="E190" s="42"/>
      <c r="F190" s="48"/>
      <c r="G190" s="43"/>
      <c r="H190" s="43"/>
      <c r="I190" s="44"/>
      <c r="J190" s="36" t="str">
        <f aca="false">IF(I190="","",IFERROR(INDEX(参数表!$D$13:$D$212,MATCH(I190,参数表!$A$13:$A$212,0)),"SKU未建档"))</f>
        <v/>
      </c>
      <c r="K190" s="36" t="str">
        <f aca="false">IF(I190="","",IFERROR(INDEX(参数表!$F$13:$F$212,MATCH(I190,参数表!$A$13:$A$212,0)),"SKU未建档"))</f>
        <v/>
      </c>
      <c r="L190" s="45"/>
      <c r="M190" s="35" t="str">
        <f aca="false">IF(I190="","",IFERROR(INDEX(参数表!$G$13:$G$212,MATCH(I190,参数表!$A$13:$A$212,0)),"SKU未建档"))</f>
        <v/>
      </c>
      <c r="N190" s="40"/>
      <c r="O190" s="46"/>
      <c r="P190" s="47"/>
      <c r="Q190" s="34" t="str">
        <f aca="false">IF(OR(O190="",P190=""),"",ROUND(O190*P190,2))</f>
        <v/>
      </c>
      <c r="R190" s="48"/>
      <c r="S190" s="46"/>
      <c r="T190" s="33" t="str">
        <f aca="false">IF(I190="","",IFERROR(INDEX(参数表!$H$13:$H$212,MATCH(I190,参数表!$A$13:$A$212,0)),"SKU未建档"))</f>
        <v/>
      </c>
      <c r="U190" s="34" t="str">
        <f aca="false">IF(A190="","",IF(参数表!$B$6="外贸企业",IF(S190="","",S190),IF(Q190="","",Q190)))</f>
        <v/>
      </c>
      <c r="V190" s="34" t="str">
        <f aca="false">IF(OR(U190="",NOT(ISNUMBER(T190))),"",ROUND(U190*T190,2))</f>
        <v/>
      </c>
      <c r="W190" s="43"/>
      <c r="X190" s="48"/>
      <c r="Y190" s="45"/>
      <c r="Z190" s="41"/>
      <c r="AA190" s="32" t="str">
        <f aca="false">IF(OR(L190="",Y190=""),"",Y190-L190)</f>
        <v/>
      </c>
      <c r="AB190" s="43"/>
      <c r="AC190" s="43"/>
    </row>
    <row r="191" customFormat="false" ht="21.75" hidden="false" customHeight="true" outlineLevel="0" collapsed="false">
      <c r="A191" s="29" t="str">
        <f aca="false">IF(OR(B191="",C191=""),"",B191&amp;"-"&amp;C191)</f>
        <v/>
      </c>
      <c r="B191" s="48"/>
      <c r="C191" s="40"/>
      <c r="D191" s="41"/>
      <c r="E191" s="42"/>
      <c r="F191" s="48"/>
      <c r="G191" s="43"/>
      <c r="H191" s="43"/>
      <c r="I191" s="44"/>
      <c r="J191" s="36" t="str">
        <f aca="false">IF(I191="","",IFERROR(INDEX(参数表!$D$13:$D$212,MATCH(I191,参数表!$A$13:$A$212,0)),"SKU未建档"))</f>
        <v/>
      </c>
      <c r="K191" s="36" t="str">
        <f aca="false">IF(I191="","",IFERROR(INDEX(参数表!$F$13:$F$212,MATCH(I191,参数表!$A$13:$A$212,0)),"SKU未建档"))</f>
        <v/>
      </c>
      <c r="L191" s="45"/>
      <c r="M191" s="35" t="str">
        <f aca="false">IF(I191="","",IFERROR(INDEX(参数表!$G$13:$G$212,MATCH(I191,参数表!$A$13:$A$212,0)),"SKU未建档"))</f>
        <v/>
      </c>
      <c r="N191" s="40"/>
      <c r="O191" s="46"/>
      <c r="P191" s="47"/>
      <c r="Q191" s="34" t="str">
        <f aca="false">IF(OR(O191="",P191=""),"",ROUND(O191*P191,2))</f>
        <v/>
      </c>
      <c r="R191" s="48"/>
      <c r="S191" s="46"/>
      <c r="T191" s="33" t="str">
        <f aca="false">IF(I191="","",IFERROR(INDEX(参数表!$H$13:$H$212,MATCH(I191,参数表!$A$13:$A$212,0)),"SKU未建档"))</f>
        <v/>
      </c>
      <c r="U191" s="34" t="str">
        <f aca="false">IF(A191="","",IF(参数表!$B$6="外贸企业",IF(S191="","",S191),IF(Q191="","",Q191)))</f>
        <v/>
      </c>
      <c r="V191" s="34" t="str">
        <f aca="false">IF(OR(U191="",NOT(ISNUMBER(T191))),"",ROUND(U191*T191,2))</f>
        <v/>
      </c>
      <c r="W191" s="43"/>
      <c r="X191" s="48"/>
      <c r="Y191" s="45"/>
      <c r="Z191" s="41"/>
      <c r="AA191" s="32" t="str">
        <f aca="false">IF(OR(L191="",Y191=""),"",Y191-L191)</f>
        <v/>
      </c>
      <c r="AB191" s="43"/>
      <c r="AC191" s="43"/>
    </row>
    <row r="192" customFormat="false" ht="21.75" hidden="false" customHeight="true" outlineLevel="0" collapsed="false">
      <c r="A192" s="29" t="str">
        <f aca="false">IF(OR(B192="",C192=""),"",B192&amp;"-"&amp;C192)</f>
        <v/>
      </c>
      <c r="B192" s="48"/>
      <c r="C192" s="40"/>
      <c r="D192" s="41"/>
      <c r="E192" s="42"/>
      <c r="F192" s="48"/>
      <c r="G192" s="43"/>
      <c r="H192" s="43"/>
      <c r="I192" s="44"/>
      <c r="J192" s="36" t="str">
        <f aca="false">IF(I192="","",IFERROR(INDEX(参数表!$D$13:$D$212,MATCH(I192,参数表!$A$13:$A$212,0)),"SKU未建档"))</f>
        <v/>
      </c>
      <c r="K192" s="36" t="str">
        <f aca="false">IF(I192="","",IFERROR(INDEX(参数表!$F$13:$F$212,MATCH(I192,参数表!$A$13:$A$212,0)),"SKU未建档"))</f>
        <v/>
      </c>
      <c r="L192" s="45"/>
      <c r="M192" s="35" t="str">
        <f aca="false">IF(I192="","",IFERROR(INDEX(参数表!$G$13:$G$212,MATCH(I192,参数表!$A$13:$A$212,0)),"SKU未建档"))</f>
        <v/>
      </c>
      <c r="N192" s="40"/>
      <c r="O192" s="46"/>
      <c r="P192" s="47"/>
      <c r="Q192" s="34" t="str">
        <f aca="false">IF(OR(O192="",P192=""),"",ROUND(O192*P192,2))</f>
        <v/>
      </c>
      <c r="R192" s="48"/>
      <c r="S192" s="46"/>
      <c r="T192" s="33" t="str">
        <f aca="false">IF(I192="","",IFERROR(INDEX(参数表!$H$13:$H$212,MATCH(I192,参数表!$A$13:$A$212,0)),"SKU未建档"))</f>
        <v/>
      </c>
      <c r="U192" s="34" t="str">
        <f aca="false">IF(A192="","",IF(参数表!$B$6="外贸企业",IF(S192="","",S192),IF(Q192="","",Q192)))</f>
        <v/>
      </c>
      <c r="V192" s="34" t="str">
        <f aca="false">IF(OR(U192="",NOT(ISNUMBER(T192))),"",ROUND(U192*T192,2))</f>
        <v/>
      </c>
      <c r="W192" s="43"/>
      <c r="X192" s="48"/>
      <c r="Y192" s="45"/>
      <c r="Z192" s="41"/>
      <c r="AA192" s="32" t="str">
        <f aca="false">IF(OR(L192="",Y192=""),"",Y192-L192)</f>
        <v/>
      </c>
      <c r="AB192" s="43"/>
      <c r="AC192" s="43"/>
    </row>
    <row r="193" customFormat="false" ht="21.75" hidden="false" customHeight="true" outlineLevel="0" collapsed="false">
      <c r="A193" s="29" t="str">
        <f aca="false">IF(OR(B193="",C193=""),"",B193&amp;"-"&amp;C193)</f>
        <v/>
      </c>
      <c r="B193" s="48"/>
      <c r="C193" s="40"/>
      <c r="D193" s="41"/>
      <c r="E193" s="42"/>
      <c r="F193" s="48"/>
      <c r="G193" s="43"/>
      <c r="H193" s="43"/>
      <c r="I193" s="44"/>
      <c r="J193" s="36" t="str">
        <f aca="false">IF(I193="","",IFERROR(INDEX(参数表!$D$13:$D$212,MATCH(I193,参数表!$A$13:$A$212,0)),"SKU未建档"))</f>
        <v/>
      </c>
      <c r="K193" s="36" t="str">
        <f aca="false">IF(I193="","",IFERROR(INDEX(参数表!$F$13:$F$212,MATCH(I193,参数表!$A$13:$A$212,0)),"SKU未建档"))</f>
        <v/>
      </c>
      <c r="L193" s="45"/>
      <c r="M193" s="35" t="str">
        <f aca="false">IF(I193="","",IFERROR(INDEX(参数表!$G$13:$G$212,MATCH(I193,参数表!$A$13:$A$212,0)),"SKU未建档"))</f>
        <v/>
      </c>
      <c r="N193" s="40"/>
      <c r="O193" s="46"/>
      <c r="P193" s="47"/>
      <c r="Q193" s="34" t="str">
        <f aca="false">IF(OR(O193="",P193=""),"",ROUND(O193*P193,2))</f>
        <v/>
      </c>
      <c r="R193" s="48"/>
      <c r="S193" s="46"/>
      <c r="T193" s="33" t="str">
        <f aca="false">IF(I193="","",IFERROR(INDEX(参数表!$H$13:$H$212,MATCH(I193,参数表!$A$13:$A$212,0)),"SKU未建档"))</f>
        <v/>
      </c>
      <c r="U193" s="34" t="str">
        <f aca="false">IF(A193="","",IF(参数表!$B$6="外贸企业",IF(S193="","",S193),IF(Q193="","",Q193)))</f>
        <v/>
      </c>
      <c r="V193" s="34" t="str">
        <f aca="false">IF(OR(U193="",NOT(ISNUMBER(T193))),"",ROUND(U193*T193,2))</f>
        <v/>
      </c>
      <c r="W193" s="43"/>
      <c r="X193" s="48"/>
      <c r="Y193" s="45"/>
      <c r="Z193" s="41"/>
      <c r="AA193" s="32" t="str">
        <f aca="false">IF(OR(L193="",Y193=""),"",Y193-L193)</f>
        <v/>
      </c>
      <c r="AB193" s="43"/>
      <c r="AC193" s="43"/>
    </row>
    <row r="194" customFormat="false" ht="21.75" hidden="false" customHeight="true" outlineLevel="0" collapsed="false">
      <c r="A194" s="29" t="str">
        <f aca="false">IF(OR(B194="",C194=""),"",B194&amp;"-"&amp;C194)</f>
        <v/>
      </c>
      <c r="B194" s="48"/>
      <c r="C194" s="40"/>
      <c r="D194" s="41"/>
      <c r="E194" s="42"/>
      <c r="F194" s="48"/>
      <c r="G194" s="43"/>
      <c r="H194" s="43"/>
      <c r="I194" s="44"/>
      <c r="J194" s="36" t="str">
        <f aca="false">IF(I194="","",IFERROR(INDEX(参数表!$D$13:$D$212,MATCH(I194,参数表!$A$13:$A$212,0)),"SKU未建档"))</f>
        <v/>
      </c>
      <c r="K194" s="36" t="str">
        <f aca="false">IF(I194="","",IFERROR(INDEX(参数表!$F$13:$F$212,MATCH(I194,参数表!$A$13:$A$212,0)),"SKU未建档"))</f>
        <v/>
      </c>
      <c r="L194" s="45"/>
      <c r="M194" s="35" t="str">
        <f aca="false">IF(I194="","",IFERROR(INDEX(参数表!$G$13:$G$212,MATCH(I194,参数表!$A$13:$A$212,0)),"SKU未建档"))</f>
        <v/>
      </c>
      <c r="N194" s="40"/>
      <c r="O194" s="46"/>
      <c r="P194" s="47"/>
      <c r="Q194" s="34" t="str">
        <f aca="false">IF(OR(O194="",P194=""),"",ROUND(O194*P194,2))</f>
        <v/>
      </c>
      <c r="R194" s="48"/>
      <c r="S194" s="46"/>
      <c r="T194" s="33" t="str">
        <f aca="false">IF(I194="","",IFERROR(INDEX(参数表!$H$13:$H$212,MATCH(I194,参数表!$A$13:$A$212,0)),"SKU未建档"))</f>
        <v/>
      </c>
      <c r="U194" s="34" t="str">
        <f aca="false">IF(A194="","",IF(参数表!$B$6="外贸企业",IF(S194="","",S194),IF(Q194="","",Q194)))</f>
        <v/>
      </c>
      <c r="V194" s="34" t="str">
        <f aca="false">IF(OR(U194="",NOT(ISNUMBER(T194))),"",ROUND(U194*T194,2))</f>
        <v/>
      </c>
      <c r="W194" s="43"/>
      <c r="X194" s="48"/>
      <c r="Y194" s="45"/>
      <c r="Z194" s="41"/>
      <c r="AA194" s="32" t="str">
        <f aca="false">IF(OR(L194="",Y194=""),"",Y194-L194)</f>
        <v/>
      </c>
      <c r="AB194" s="43"/>
      <c r="AC194" s="43"/>
    </row>
    <row r="195" customFormat="false" ht="21.75" hidden="false" customHeight="true" outlineLevel="0" collapsed="false">
      <c r="A195" s="29" t="str">
        <f aca="false">IF(OR(B195="",C195=""),"",B195&amp;"-"&amp;C195)</f>
        <v/>
      </c>
      <c r="B195" s="48"/>
      <c r="C195" s="40"/>
      <c r="D195" s="41"/>
      <c r="E195" s="42"/>
      <c r="F195" s="48"/>
      <c r="G195" s="43"/>
      <c r="H195" s="43"/>
      <c r="I195" s="44"/>
      <c r="J195" s="36" t="str">
        <f aca="false">IF(I195="","",IFERROR(INDEX(参数表!$D$13:$D$212,MATCH(I195,参数表!$A$13:$A$212,0)),"SKU未建档"))</f>
        <v/>
      </c>
      <c r="K195" s="36" t="str">
        <f aca="false">IF(I195="","",IFERROR(INDEX(参数表!$F$13:$F$212,MATCH(I195,参数表!$A$13:$A$212,0)),"SKU未建档"))</f>
        <v/>
      </c>
      <c r="L195" s="45"/>
      <c r="M195" s="35" t="str">
        <f aca="false">IF(I195="","",IFERROR(INDEX(参数表!$G$13:$G$212,MATCH(I195,参数表!$A$13:$A$212,0)),"SKU未建档"))</f>
        <v/>
      </c>
      <c r="N195" s="40"/>
      <c r="O195" s="46"/>
      <c r="P195" s="47"/>
      <c r="Q195" s="34" t="str">
        <f aca="false">IF(OR(O195="",P195=""),"",ROUND(O195*P195,2))</f>
        <v/>
      </c>
      <c r="R195" s="48"/>
      <c r="S195" s="46"/>
      <c r="T195" s="33" t="str">
        <f aca="false">IF(I195="","",IFERROR(INDEX(参数表!$H$13:$H$212,MATCH(I195,参数表!$A$13:$A$212,0)),"SKU未建档"))</f>
        <v/>
      </c>
      <c r="U195" s="34" t="str">
        <f aca="false">IF(A195="","",IF(参数表!$B$6="外贸企业",IF(S195="","",S195),IF(Q195="","",Q195)))</f>
        <v/>
      </c>
      <c r="V195" s="34" t="str">
        <f aca="false">IF(OR(U195="",NOT(ISNUMBER(T195))),"",ROUND(U195*T195,2))</f>
        <v/>
      </c>
      <c r="W195" s="43"/>
      <c r="X195" s="48"/>
      <c r="Y195" s="45"/>
      <c r="Z195" s="41"/>
      <c r="AA195" s="32" t="str">
        <f aca="false">IF(OR(L195="",Y195=""),"",Y195-L195)</f>
        <v/>
      </c>
      <c r="AB195" s="43"/>
      <c r="AC195" s="43"/>
    </row>
    <row r="196" customFormat="false" ht="21.75" hidden="false" customHeight="true" outlineLevel="0" collapsed="false">
      <c r="A196" s="29" t="str">
        <f aca="false">IF(OR(B196="",C196=""),"",B196&amp;"-"&amp;C196)</f>
        <v/>
      </c>
      <c r="B196" s="48"/>
      <c r="C196" s="40"/>
      <c r="D196" s="41"/>
      <c r="E196" s="42"/>
      <c r="F196" s="48"/>
      <c r="G196" s="43"/>
      <c r="H196" s="43"/>
      <c r="I196" s="44"/>
      <c r="J196" s="36" t="str">
        <f aca="false">IF(I196="","",IFERROR(INDEX(参数表!$D$13:$D$212,MATCH(I196,参数表!$A$13:$A$212,0)),"SKU未建档"))</f>
        <v/>
      </c>
      <c r="K196" s="36" t="str">
        <f aca="false">IF(I196="","",IFERROR(INDEX(参数表!$F$13:$F$212,MATCH(I196,参数表!$A$13:$A$212,0)),"SKU未建档"))</f>
        <v/>
      </c>
      <c r="L196" s="45"/>
      <c r="M196" s="35" t="str">
        <f aca="false">IF(I196="","",IFERROR(INDEX(参数表!$G$13:$G$212,MATCH(I196,参数表!$A$13:$A$212,0)),"SKU未建档"))</f>
        <v/>
      </c>
      <c r="N196" s="40"/>
      <c r="O196" s="46"/>
      <c r="P196" s="47"/>
      <c r="Q196" s="34" t="str">
        <f aca="false">IF(OR(O196="",P196=""),"",ROUND(O196*P196,2))</f>
        <v/>
      </c>
      <c r="R196" s="48"/>
      <c r="S196" s="46"/>
      <c r="T196" s="33" t="str">
        <f aca="false">IF(I196="","",IFERROR(INDEX(参数表!$H$13:$H$212,MATCH(I196,参数表!$A$13:$A$212,0)),"SKU未建档"))</f>
        <v/>
      </c>
      <c r="U196" s="34" t="str">
        <f aca="false">IF(A196="","",IF(参数表!$B$6="外贸企业",IF(S196="","",S196),IF(Q196="","",Q196)))</f>
        <v/>
      </c>
      <c r="V196" s="34" t="str">
        <f aca="false">IF(OR(U196="",NOT(ISNUMBER(T196))),"",ROUND(U196*T196,2))</f>
        <v/>
      </c>
      <c r="W196" s="43"/>
      <c r="X196" s="48"/>
      <c r="Y196" s="45"/>
      <c r="Z196" s="41"/>
      <c r="AA196" s="32" t="str">
        <f aca="false">IF(OR(L196="",Y196=""),"",Y196-L196)</f>
        <v/>
      </c>
      <c r="AB196" s="43"/>
      <c r="AC196" s="43"/>
    </row>
    <row r="197" customFormat="false" ht="21.75" hidden="false" customHeight="true" outlineLevel="0" collapsed="false">
      <c r="A197" s="29" t="str">
        <f aca="false">IF(OR(B197="",C197=""),"",B197&amp;"-"&amp;C197)</f>
        <v/>
      </c>
      <c r="B197" s="48"/>
      <c r="C197" s="40"/>
      <c r="D197" s="41"/>
      <c r="E197" s="42"/>
      <c r="F197" s="48"/>
      <c r="G197" s="43"/>
      <c r="H197" s="43"/>
      <c r="I197" s="44"/>
      <c r="J197" s="36" t="str">
        <f aca="false">IF(I197="","",IFERROR(INDEX(参数表!$D$13:$D$212,MATCH(I197,参数表!$A$13:$A$212,0)),"SKU未建档"))</f>
        <v/>
      </c>
      <c r="K197" s="36" t="str">
        <f aca="false">IF(I197="","",IFERROR(INDEX(参数表!$F$13:$F$212,MATCH(I197,参数表!$A$13:$A$212,0)),"SKU未建档"))</f>
        <v/>
      </c>
      <c r="L197" s="45"/>
      <c r="M197" s="35" t="str">
        <f aca="false">IF(I197="","",IFERROR(INDEX(参数表!$G$13:$G$212,MATCH(I197,参数表!$A$13:$A$212,0)),"SKU未建档"))</f>
        <v/>
      </c>
      <c r="N197" s="40"/>
      <c r="O197" s="46"/>
      <c r="P197" s="47"/>
      <c r="Q197" s="34" t="str">
        <f aca="false">IF(OR(O197="",P197=""),"",ROUND(O197*P197,2))</f>
        <v/>
      </c>
      <c r="R197" s="48"/>
      <c r="S197" s="46"/>
      <c r="T197" s="33" t="str">
        <f aca="false">IF(I197="","",IFERROR(INDEX(参数表!$H$13:$H$212,MATCH(I197,参数表!$A$13:$A$212,0)),"SKU未建档"))</f>
        <v/>
      </c>
      <c r="U197" s="34" t="str">
        <f aca="false">IF(A197="","",IF(参数表!$B$6="外贸企业",IF(S197="","",S197),IF(Q197="","",Q197)))</f>
        <v/>
      </c>
      <c r="V197" s="34" t="str">
        <f aca="false">IF(OR(U197="",NOT(ISNUMBER(T197))),"",ROUND(U197*T197,2))</f>
        <v/>
      </c>
      <c r="W197" s="43"/>
      <c r="X197" s="48"/>
      <c r="Y197" s="45"/>
      <c r="Z197" s="41"/>
      <c r="AA197" s="32" t="str">
        <f aca="false">IF(OR(L197="",Y197=""),"",Y197-L197)</f>
        <v/>
      </c>
      <c r="AB197" s="43"/>
      <c r="AC197" s="43"/>
    </row>
    <row r="198" customFormat="false" ht="21.75" hidden="false" customHeight="true" outlineLevel="0" collapsed="false">
      <c r="A198" s="29" t="str">
        <f aca="false">IF(OR(B198="",C198=""),"",B198&amp;"-"&amp;C198)</f>
        <v/>
      </c>
      <c r="B198" s="48"/>
      <c r="C198" s="40"/>
      <c r="D198" s="41"/>
      <c r="E198" s="42"/>
      <c r="F198" s="48"/>
      <c r="G198" s="43"/>
      <c r="H198" s="43"/>
      <c r="I198" s="44"/>
      <c r="J198" s="36" t="str">
        <f aca="false">IF(I198="","",IFERROR(INDEX(参数表!$D$13:$D$212,MATCH(I198,参数表!$A$13:$A$212,0)),"SKU未建档"))</f>
        <v/>
      </c>
      <c r="K198" s="36" t="str">
        <f aca="false">IF(I198="","",IFERROR(INDEX(参数表!$F$13:$F$212,MATCH(I198,参数表!$A$13:$A$212,0)),"SKU未建档"))</f>
        <v/>
      </c>
      <c r="L198" s="45"/>
      <c r="M198" s="35" t="str">
        <f aca="false">IF(I198="","",IFERROR(INDEX(参数表!$G$13:$G$212,MATCH(I198,参数表!$A$13:$A$212,0)),"SKU未建档"))</f>
        <v/>
      </c>
      <c r="N198" s="40"/>
      <c r="O198" s="46"/>
      <c r="P198" s="47"/>
      <c r="Q198" s="34" t="str">
        <f aca="false">IF(OR(O198="",P198=""),"",ROUND(O198*P198,2))</f>
        <v/>
      </c>
      <c r="R198" s="48"/>
      <c r="S198" s="46"/>
      <c r="T198" s="33" t="str">
        <f aca="false">IF(I198="","",IFERROR(INDEX(参数表!$H$13:$H$212,MATCH(I198,参数表!$A$13:$A$212,0)),"SKU未建档"))</f>
        <v/>
      </c>
      <c r="U198" s="34" t="str">
        <f aca="false">IF(A198="","",IF(参数表!$B$6="外贸企业",IF(S198="","",S198),IF(Q198="","",Q198)))</f>
        <v/>
      </c>
      <c r="V198" s="34" t="str">
        <f aca="false">IF(OR(U198="",NOT(ISNUMBER(T198))),"",ROUND(U198*T198,2))</f>
        <v/>
      </c>
      <c r="W198" s="43"/>
      <c r="X198" s="48"/>
      <c r="Y198" s="45"/>
      <c r="Z198" s="41"/>
      <c r="AA198" s="32" t="str">
        <f aca="false">IF(OR(L198="",Y198=""),"",Y198-L198)</f>
        <v/>
      </c>
      <c r="AB198" s="43"/>
      <c r="AC198" s="43"/>
    </row>
    <row r="199" customFormat="false" ht="21.75" hidden="false" customHeight="true" outlineLevel="0" collapsed="false">
      <c r="A199" s="29" t="str">
        <f aca="false">IF(OR(B199="",C199=""),"",B199&amp;"-"&amp;C199)</f>
        <v/>
      </c>
      <c r="B199" s="48"/>
      <c r="C199" s="40"/>
      <c r="D199" s="41"/>
      <c r="E199" s="42"/>
      <c r="F199" s="48"/>
      <c r="G199" s="43"/>
      <c r="H199" s="43"/>
      <c r="I199" s="44"/>
      <c r="J199" s="36" t="str">
        <f aca="false">IF(I199="","",IFERROR(INDEX(参数表!$D$13:$D$212,MATCH(I199,参数表!$A$13:$A$212,0)),"SKU未建档"))</f>
        <v/>
      </c>
      <c r="K199" s="36" t="str">
        <f aca="false">IF(I199="","",IFERROR(INDEX(参数表!$F$13:$F$212,MATCH(I199,参数表!$A$13:$A$212,0)),"SKU未建档"))</f>
        <v/>
      </c>
      <c r="L199" s="45"/>
      <c r="M199" s="35" t="str">
        <f aca="false">IF(I199="","",IFERROR(INDEX(参数表!$G$13:$G$212,MATCH(I199,参数表!$A$13:$A$212,0)),"SKU未建档"))</f>
        <v/>
      </c>
      <c r="N199" s="40"/>
      <c r="O199" s="46"/>
      <c r="P199" s="47"/>
      <c r="Q199" s="34" t="str">
        <f aca="false">IF(OR(O199="",P199=""),"",ROUND(O199*P199,2))</f>
        <v/>
      </c>
      <c r="R199" s="48"/>
      <c r="S199" s="46"/>
      <c r="T199" s="33" t="str">
        <f aca="false">IF(I199="","",IFERROR(INDEX(参数表!$H$13:$H$212,MATCH(I199,参数表!$A$13:$A$212,0)),"SKU未建档"))</f>
        <v/>
      </c>
      <c r="U199" s="34" t="str">
        <f aca="false">IF(A199="","",IF(参数表!$B$6="外贸企业",IF(S199="","",S199),IF(Q199="","",Q199)))</f>
        <v/>
      </c>
      <c r="V199" s="34" t="str">
        <f aca="false">IF(OR(U199="",NOT(ISNUMBER(T199))),"",ROUND(U199*T199,2))</f>
        <v/>
      </c>
      <c r="W199" s="43"/>
      <c r="X199" s="48"/>
      <c r="Y199" s="45"/>
      <c r="Z199" s="41"/>
      <c r="AA199" s="32" t="str">
        <f aca="false">IF(OR(L199="",Y199=""),"",Y199-L199)</f>
        <v/>
      </c>
      <c r="AB199" s="43"/>
      <c r="AC199" s="43"/>
    </row>
    <row r="200" customFormat="false" ht="21.75" hidden="false" customHeight="true" outlineLevel="0" collapsed="false">
      <c r="A200" s="29" t="str">
        <f aca="false">IF(OR(B200="",C200=""),"",B200&amp;"-"&amp;C200)</f>
        <v/>
      </c>
      <c r="B200" s="48"/>
      <c r="C200" s="40"/>
      <c r="D200" s="41"/>
      <c r="E200" s="42"/>
      <c r="F200" s="48"/>
      <c r="G200" s="43"/>
      <c r="H200" s="43"/>
      <c r="I200" s="44"/>
      <c r="J200" s="36" t="str">
        <f aca="false">IF(I200="","",IFERROR(INDEX(参数表!$D$13:$D$212,MATCH(I200,参数表!$A$13:$A$212,0)),"SKU未建档"))</f>
        <v/>
      </c>
      <c r="K200" s="36" t="str">
        <f aca="false">IF(I200="","",IFERROR(INDEX(参数表!$F$13:$F$212,MATCH(I200,参数表!$A$13:$A$212,0)),"SKU未建档"))</f>
        <v/>
      </c>
      <c r="L200" s="45"/>
      <c r="M200" s="35" t="str">
        <f aca="false">IF(I200="","",IFERROR(INDEX(参数表!$G$13:$G$212,MATCH(I200,参数表!$A$13:$A$212,0)),"SKU未建档"))</f>
        <v/>
      </c>
      <c r="N200" s="40"/>
      <c r="O200" s="46"/>
      <c r="P200" s="47"/>
      <c r="Q200" s="34" t="str">
        <f aca="false">IF(OR(O200="",P200=""),"",ROUND(O200*P200,2))</f>
        <v/>
      </c>
      <c r="R200" s="48"/>
      <c r="S200" s="46"/>
      <c r="T200" s="33" t="str">
        <f aca="false">IF(I200="","",IFERROR(INDEX(参数表!$H$13:$H$212,MATCH(I200,参数表!$A$13:$A$212,0)),"SKU未建档"))</f>
        <v/>
      </c>
      <c r="U200" s="34" t="str">
        <f aca="false">IF(A200="","",IF(参数表!$B$6="外贸企业",IF(S200="","",S200),IF(Q200="","",Q200)))</f>
        <v/>
      </c>
      <c r="V200" s="34" t="str">
        <f aca="false">IF(OR(U200="",NOT(ISNUMBER(T200))),"",ROUND(U200*T200,2))</f>
        <v/>
      </c>
      <c r="W200" s="43"/>
      <c r="X200" s="48"/>
      <c r="Y200" s="45"/>
      <c r="Z200" s="41"/>
      <c r="AA200" s="32" t="str">
        <f aca="false">IF(OR(L200="",Y200=""),"",Y200-L200)</f>
        <v/>
      </c>
      <c r="AB200" s="43"/>
      <c r="AC200" s="43"/>
    </row>
    <row r="201" customFormat="false" ht="21.75" hidden="false" customHeight="true" outlineLevel="0" collapsed="false">
      <c r="A201" s="29" t="str">
        <f aca="false">IF(OR(B201="",C201=""),"",B201&amp;"-"&amp;C201)</f>
        <v/>
      </c>
      <c r="B201" s="48"/>
      <c r="C201" s="40"/>
      <c r="D201" s="41"/>
      <c r="E201" s="42"/>
      <c r="F201" s="48"/>
      <c r="G201" s="43"/>
      <c r="H201" s="43"/>
      <c r="I201" s="44"/>
      <c r="J201" s="36" t="str">
        <f aca="false">IF(I201="","",IFERROR(INDEX(参数表!$D$13:$D$212,MATCH(I201,参数表!$A$13:$A$212,0)),"SKU未建档"))</f>
        <v/>
      </c>
      <c r="K201" s="36" t="str">
        <f aca="false">IF(I201="","",IFERROR(INDEX(参数表!$F$13:$F$212,MATCH(I201,参数表!$A$13:$A$212,0)),"SKU未建档"))</f>
        <v/>
      </c>
      <c r="L201" s="45"/>
      <c r="M201" s="35" t="str">
        <f aca="false">IF(I201="","",IFERROR(INDEX(参数表!$G$13:$G$212,MATCH(I201,参数表!$A$13:$A$212,0)),"SKU未建档"))</f>
        <v/>
      </c>
      <c r="N201" s="40"/>
      <c r="O201" s="46"/>
      <c r="P201" s="47"/>
      <c r="Q201" s="34" t="str">
        <f aca="false">IF(OR(O201="",P201=""),"",ROUND(O201*P201,2))</f>
        <v/>
      </c>
      <c r="R201" s="48"/>
      <c r="S201" s="46"/>
      <c r="T201" s="33" t="str">
        <f aca="false">IF(I201="","",IFERROR(INDEX(参数表!$H$13:$H$212,MATCH(I201,参数表!$A$13:$A$212,0)),"SKU未建档"))</f>
        <v/>
      </c>
      <c r="U201" s="34" t="str">
        <f aca="false">IF(A201="","",IF(参数表!$B$6="外贸企业",IF(S201="","",S201),IF(Q201="","",Q201)))</f>
        <v/>
      </c>
      <c r="V201" s="34" t="str">
        <f aca="false">IF(OR(U201="",NOT(ISNUMBER(T201))),"",ROUND(U201*T201,2))</f>
        <v/>
      </c>
      <c r="W201" s="43"/>
      <c r="X201" s="48"/>
      <c r="Y201" s="45"/>
      <c r="Z201" s="41"/>
      <c r="AA201" s="32" t="str">
        <f aca="false">IF(OR(L201="",Y201=""),"",Y201-L201)</f>
        <v/>
      </c>
      <c r="AB201" s="43"/>
      <c r="AC201" s="43"/>
    </row>
    <row r="202" customFormat="false" ht="21.75" hidden="false" customHeight="true" outlineLevel="0" collapsed="false">
      <c r="A202" s="29" t="str">
        <f aca="false">IF(OR(B202="",C202=""),"",B202&amp;"-"&amp;C202)</f>
        <v/>
      </c>
      <c r="B202" s="48"/>
      <c r="C202" s="40"/>
      <c r="D202" s="41"/>
      <c r="E202" s="42"/>
      <c r="F202" s="48"/>
      <c r="G202" s="43"/>
      <c r="H202" s="43"/>
      <c r="I202" s="44"/>
      <c r="J202" s="36" t="str">
        <f aca="false">IF(I202="","",IFERROR(INDEX(参数表!$D$13:$D$212,MATCH(I202,参数表!$A$13:$A$212,0)),"SKU未建档"))</f>
        <v/>
      </c>
      <c r="K202" s="36" t="str">
        <f aca="false">IF(I202="","",IFERROR(INDEX(参数表!$F$13:$F$212,MATCH(I202,参数表!$A$13:$A$212,0)),"SKU未建档"))</f>
        <v/>
      </c>
      <c r="L202" s="45"/>
      <c r="M202" s="35" t="str">
        <f aca="false">IF(I202="","",IFERROR(INDEX(参数表!$G$13:$G$212,MATCH(I202,参数表!$A$13:$A$212,0)),"SKU未建档"))</f>
        <v/>
      </c>
      <c r="N202" s="40"/>
      <c r="O202" s="46"/>
      <c r="P202" s="47"/>
      <c r="Q202" s="34" t="str">
        <f aca="false">IF(OR(O202="",P202=""),"",ROUND(O202*P202,2))</f>
        <v/>
      </c>
      <c r="R202" s="48"/>
      <c r="S202" s="46"/>
      <c r="T202" s="33" t="str">
        <f aca="false">IF(I202="","",IFERROR(INDEX(参数表!$H$13:$H$212,MATCH(I202,参数表!$A$13:$A$212,0)),"SKU未建档"))</f>
        <v/>
      </c>
      <c r="U202" s="34" t="str">
        <f aca="false">IF(A202="","",IF(参数表!$B$6="外贸企业",IF(S202="","",S202),IF(Q202="","",Q202)))</f>
        <v/>
      </c>
      <c r="V202" s="34" t="str">
        <f aca="false">IF(OR(U202="",NOT(ISNUMBER(T202))),"",ROUND(U202*T202,2))</f>
        <v/>
      </c>
      <c r="W202" s="43"/>
      <c r="X202" s="48"/>
      <c r="Y202" s="45"/>
      <c r="Z202" s="41"/>
      <c r="AA202" s="32" t="str">
        <f aca="false">IF(OR(L202="",Y202=""),"",Y202-L202)</f>
        <v/>
      </c>
      <c r="AB202" s="43"/>
      <c r="AC202" s="43"/>
    </row>
    <row r="203" customFormat="false" ht="21.75" hidden="false" customHeight="true" outlineLevel="0" collapsed="false">
      <c r="A203" s="29" t="str">
        <f aca="false">IF(OR(B203="",C203=""),"",B203&amp;"-"&amp;C203)</f>
        <v/>
      </c>
      <c r="B203" s="48"/>
      <c r="C203" s="40"/>
      <c r="D203" s="41"/>
      <c r="E203" s="42"/>
      <c r="F203" s="48"/>
      <c r="G203" s="43"/>
      <c r="H203" s="43"/>
      <c r="I203" s="44"/>
      <c r="J203" s="36" t="str">
        <f aca="false">IF(I203="","",IFERROR(INDEX(参数表!$D$13:$D$212,MATCH(I203,参数表!$A$13:$A$212,0)),"SKU未建档"))</f>
        <v/>
      </c>
      <c r="K203" s="36" t="str">
        <f aca="false">IF(I203="","",IFERROR(INDEX(参数表!$F$13:$F$212,MATCH(I203,参数表!$A$13:$A$212,0)),"SKU未建档"))</f>
        <v/>
      </c>
      <c r="L203" s="45"/>
      <c r="M203" s="35" t="str">
        <f aca="false">IF(I203="","",IFERROR(INDEX(参数表!$G$13:$G$212,MATCH(I203,参数表!$A$13:$A$212,0)),"SKU未建档"))</f>
        <v/>
      </c>
      <c r="N203" s="40"/>
      <c r="O203" s="46"/>
      <c r="P203" s="47"/>
      <c r="Q203" s="34" t="str">
        <f aca="false">IF(OR(O203="",P203=""),"",ROUND(O203*P203,2))</f>
        <v/>
      </c>
      <c r="R203" s="48"/>
      <c r="S203" s="46"/>
      <c r="T203" s="33" t="str">
        <f aca="false">IF(I203="","",IFERROR(INDEX(参数表!$H$13:$H$212,MATCH(I203,参数表!$A$13:$A$212,0)),"SKU未建档"))</f>
        <v/>
      </c>
      <c r="U203" s="34" t="str">
        <f aca="false">IF(A203="","",IF(参数表!$B$6="外贸企业",IF(S203="","",S203),IF(Q203="","",Q203)))</f>
        <v/>
      </c>
      <c r="V203" s="34" t="str">
        <f aca="false">IF(OR(U203="",NOT(ISNUMBER(T203))),"",ROUND(U203*T203,2))</f>
        <v/>
      </c>
      <c r="W203" s="43"/>
      <c r="X203" s="48"/>
      <c r="Y203" s="45"/>
      <c r="Z203" s="41"/>
      <c r="AA203" s="32" t="str">
        <f aca="false">IF(OR(L203="",Y203=""),"",Y203-L203)</f>
        <v/>
      </c>
      <c r="AB203" s="43"/>
      <c r="AC203" s="43"/>
    </row>
    <row r="204" customFormat="false" ht="21.75" hidden="false" customHeight="true" outlineLevel="0" collapsed="false">
      <c r="A204" s="29" t="str">
        <f aca="false">IF(OR(B204="",C204=""),"",B204&amp;"-"&amp;C204)</f>
        <v/>
      </c>
      <c r="B204" s="48"/>
      <c r="C204" s="40"/>
      <c r="D204" s="41"/>
      <c r="E204" s="42"/>
      <c r="F204" s="48"/>
      <c r="G204" s="43"/>
      <c r="H204" s="43"/>
      <c r="I204" s="44"/>
      <c r="J204" s="36" t="str">
        <f aca="false">IF(I204="","",IFERROR(INDEX(参数表!$D$13:$D$212,MATCH(I204,参数表!$A$13:$A$212,0)),"SKU未建档"))</f>
        <v/>
      </c>
      <c r="K204" s="36" t="str">
        <f aca="false">IF(I204="","",IFERROR(INDEX(参数表!$F$13:$F$212,MATCH(I204,参数表!$A$13:$A$212,0)),"SKU未建档"))</f>
        <v/>
      </c>
      <c r="L204" s="45"/>
      <c r="M204" s="35" t="str">
        <f aca="false">IF(I204="","",IFERROR(INDEX(参数表!$G$13:$G$212,MATCH(I204,参数表!$A$13:$A$212,0)),"SKU未建档"))</f>
        <v/>
      </c>
      <c r="N204" s="40"/>
      <c r="O204" s="46"/>
      <c r="P204" s="47"/>
      <c r="Q204" s="34" t="str">
        <f aca="false">IF(OR(O204="",P204=""),"",ROUND(O204*P204,2))</f>
        <v/>
      </c>
      <c r="R204" s="48"/>
      <c r="S204" s="46"/>
      <c r="T204" s="33" t="str">
        <f aca="false">IF(I204="","",IFERROR(INDEX(参数表!$H$13:$H$212,MATCH(I204,参数表!$A$13:$A$212,0)),"SKU未建档"))</f>
        <v/>
      </c>
      <c r="U204" s="34" t="str">
        <f aca="false">IF(A204="","",IF(参数表!$B$6="外贸企业",IF(S204="","",S204),IF(Q204="","",Q204)))</f>
        <v/>
      </c>
      <c r="V204" s="34" t="str">
        <f aca="false">IF(OR(U204="",NOT(ISNUMBER(T204))),"",ROUND(U204*T204,2))</f>
        <v/>
      </c>
      <c r="W204" s="43"/>
      <c r="X204" s="48"/>
      <c r="Y204" s="45"/>
      <c r="Z204" s="41"/>
      <c r="AA204" s="32" t="str">
        <f aca="false">IF(OR(L204="",Y204=""),"",Y204-L204)</f>
        <v/>
      </c>
      <c r="AB204" s="43"/>
      <c r="AC204" s="43"/>
    </row>
    <row r="205" customFormat="false" ht="21.75" hidden="false" customHeight="true" outlineLevel="0" collapsed="false">
      <c r="A205" s="29" t="str">
        <f aca="false">IF(OR(B205="",C205=""),"",B205&amp;"-"&amp;C205)</f>
        <v/>
      </c>
      <c r="B205" s="48"/>
      <c r="C205" s="40"/>
      <c r="D205" s="41"/>
      <c r="E205" s="42"/>
      <c r="F205" s="48"/>
      <c r="G205" s="43"/>
      <c r="H205" s="43"/>
      <c r="I205" s="44"/>
      <c r="J205" s="36" t="str">
        <f aca="false">IF(I205="","",IFERROR(INDEX(参数表!$D$13:$D$212,MATCH(I205,参数表!$A$13:$A$212,0)),"SKU未建档"))</f>
        <v/>
      </c>
      <c r="K205" s="36" t="str">
        <f aca="false">IF(I205="","",IFERROR(INDEX(参数表!$F$13:$F$212,MATCH(I205,参数表!$A$13:$A$212,0)),"SKU未建档"))</f>
        <v/>
      </c>
      <c r="L205" s="45"/>
      <c r="M205" s="35" t="str">
        <f aca="false">IF(I205="","",IFERROR(INDEX(参数表!$G$13:$G$212,MATCH(I205,参数表!$A$13:$A$212,0)),"SKU未建档"))</f>
        <v/>
      </c>
      <c r="N205" s="40"/>
      <c r="O205" s="46"/>
      <c r="P205" s="47"/>
      <c r="Q205" s="34" t="str">
        <f aca="false">IF(OR(O205="",P205=""),"",ROUND(O205*P205,2))</f>
        <v/>
      </c>
      <c r="R205" s="48"/>
      <c r="S205" s="46"/>
      <c r="T205" s="33" t="str">
        <f aca="false">IF(I205="","",IFERROR(INDEX(参数表!$H$13:$H$212,MATCH(I205,参数表!$A$13:$A$212,0)),"SKU未建档"))</f>
        <v/>
      </c>
      <c r="U205" s="34" t="str">
        <f aca="false">IF(A205="","",IF(参数表!$B$6="外贸企业",IF(S205="","",S205),IF(Q205="","",Q205)))</f>
        <v/>
      </c>
      <c r="V205" s="34" t="str">
        <f aca="false">IF(OR(U205="",NOT(ISNUMBER(T205))),"",ROUND(U205*T205,2))</f>
        <v/>
      </c>
      <c r="W205" s="43"/>
      <c r="X205" s="48"/>
      <c r="Y205" s="45"/>
      <c r="Z205" s="41"/>
      <c r="AA205" s="32" t="str">
        <f aca="false">IF(OR(L205="",Y205=""),"",Y205-L205)</f>
        <v/>
      </c>
      <c r="AB205" s="43"/>
      <c r="AC205" s="43"/>
    </row>
    <row r="206" customFormat="false" ht="21.75" hidden="false" customHeight="true" outlineLevel="0" collapsed="false">
      <c r="A206" s="29" t="str">
        <f aca="false">IF(OR(B206="",C206=""),"",B206&amp;"-"&amp;C206)</f>
        <v/>
      </c>
      <c r="B206" s="48"/>
      <c r="C206" s="40"/>
      <c r="D206" s="41"/>
      <c r="E206" s="42"/>
      <c r="F206" s="48"/>
      <c r="G206" s="43"/>
      <c r="H206" s="43"/>
      <c r="I206" s="44"/>
      <c r="J206" s="36" t="str">
        <f aca="false">IF(I206="","",IFERROR(INDEX(参数表!$D$13:$D$212,MATCH(I206,参数表!$A$13:$A$212,0)),"SKU未建档"))</f>
        <v/>
      </c>
      <c r="K206" s="36" t="str">
        <f aca="false">IF(I206="","",IFERROR(INDEX(参数表!$F$13:$F$212,MATCH(I206,参数表!$A$13:$A$212,0)),"SKU未建档"))</f>
        <v/>
      </c>
      <c r="L206" s="45"/>
      <c r="M206" s="35" t="str">
        <f aca="false">IF(I206="","",IFERROR(INDEX(参数表!$G$13:$G$212,MATCH(I206,参数表!$A$13:$A$212,0)),"SKU未建档"))</f>
        <v/>
      </c>
      <c r="N206" s="40"/>
      <c r="O206" s="46"/>
      <c r="P206" s="47"/>
      <c r="Q206" s="34" t="str">
        <f aca="false">IF(OR(O206="",P206=""),"",ROUND(O206*P206,2))</f>
        <v/>
      </c>
      <c r="R206" s="48"/>
      <c r="S206" s="46"/>
      <c r="T206" s="33" t="str">
        <f aca="false">IF(I206="","",IFERROR(INDEX(参数表!$H$13:$H$212,MATCH(I206,参数表!$A$13:$A$212,0)),"SKU未建档"))</f>
        <v/>
      </c>
      <c r="U206" s="34" t="str">
        <f aca="false">IF(A206="","",IF(参数表!$B$6="外贸企业",IF(S206="","",S206),IF(Q206="","",Q206)))</f>
        <v/>
      </c>
      <c r="V206" s="34" t="str">
        <f aca="false">IF(OR(U206="",NOT(ISNUMBER(T206))),"",ROUND(U206*T206,2))</f>
        <v/>
      </c>
      <c r="W206" s="43"/>
      <c r="X206" s="48"/>
      <c r="Y206" s="45"/>
      <c r="Z206" s="41"/>
      <c r="AA206" s="32" t="str">
        <f aca="false">IF(OR(L206="",Y206=""),"",Y206-L206)</f>
        <v/>
      </c>
      <c r="AB206" s="43"/>
      <c r="AC206" s="43"/>
    </row>
    <row r="207" customFormat="false" ht="21.75" hidden="false" customHeight="true" outlineLevel="0" collapsed="false">
      <c r="A207" s="29" t="str">
        <f aca="false">IF(OR(B207="",C207=""),"",B207&amp;"-"&amp;C207)</f>
        <v/>
      </c>
      <c r="B207" s="48"/>
      <c r="C207" s="40"/>
      <c r="D207" s="41"/>
      <c r="E207" s="42"/>
      <c r="F207" s="48"/>
      <c r="G207" s="43"/>
      <c r="H207" s="43"/>
      <c r="I207" s="44"/>
      <c r="J207" s="36" t="str">
        <f aca="false">IF(I207="","",IFERROR(INDEX(参数表!$D$13:$D$212,MATCH(I207,参数表!$A$13:$A$212,0)),"SKU未建档"))</f>
        <v/>
      </c>
      <c r="K207" s="36" t="str">
        <f aca="false">IF(I207="","",IFERROR(INDEX(参数表!$F$13:$F$212,MATCH(I207,参数表!$A$13:$A$212,0)),"SKU未建档"))</f>
        <v/>
      </c>
      <c r="L207" s="45"/>
      <c r="M207" s="35" t="str">
        <f aca="false">IF(I207="","",IFERROR(INDEX(参数表!$G$13:$G$212,MATCH(I207,参数表!$A$13:$A$212,0)),"SKU未建档"))</f>
        <v/>
      </c>
      <c r="N207" s="40"/>
      <c r="O207" s="46"/>
      <c r="P207" s="47"/>
      <c r="Q207" s="34" t="str">
        <f aca="false">IF(OR(O207="",P207=""),"",ROUND(O207*P207,2))</f>
        <v/>
      </c>
      <c r="R207" s="48"/>
      <c r="S207" s="46"/>
      <c r="T207" s="33" t="str">
        <f aca="false">IF(I207="","",IFERROR(INDEX(参数表!$H$13:$H$212,MATCH(I207,参数表!$A$13:$A$212,0)),"SKU未建档"))</f>
        <v/>
      </c>
      <c r="U207" s="34" t="str">
        <f aca="false">IF(A207="","",IF(参数表!$B$6="外贸企业",IF(S207="","",S207),IF(Q207="","",Q207)))</f>
        <v/>
      </c>
      <c r="V207" s="34" t="str">
        <f aca="false">IF(OR(U207="",NOT(ISNUMBER(T207))),"",ROUND(U207*T207,2))</f>
        <v/>
      </c>
      <c r="W207" s="43"/>
      <c r="X207" s="48"/>
      <c r="Y207" s="45"/>
      <c r="Z207" s="41"/>
      <c r="AA207" s="32" t="str">
        <f aca="false">IF(OR(L207="",Y207=""),"",Y207-L207)</f>
        <v/>
      </c>
      <c r="AB207" s="43"/>
      <c r="AC207" s="43"/>
    </row>
    <row r="208" customFormat="false" ht="21.75" hidden="false" customHeight="true" outlineLevel="0" collapsed="false">
      <c r="A208" s="29" t="str">
        <f aca="false">IF(OR(B208="",C208=""),"",B208&amp;"-"&amp;C208)</f>
        <v/>
      </c>
      <c r="B208" s="48"/>
      <c r="C208" s="40"/>
      <c r="D208" s="41"/>
      <c r="E208" s="42"/>
      <c r="F208" s="48"/>
      <c r="G208" s="43"/>
      <c r="H208" s="43"/>
      <c r="I208" s="44"/>
      <c r="J208" s="36" t="str">
        <f aca="false">IF(I208="","",IFERROR(INDEX(参数表!$D$13:$D$212,MATCH(I208,参数表!$A$13:$A$212,0)),"SKU未建档"))</f>
        <v/>
      </c>
      <c r="K208" s="36" t="str">
        <f aca="false">IF(I208="","",IFERROR(INDEX(参数表!$F$13:$F$212,MATCH(I208,参数表!$A$13:$A$212,0)),"SKU未建档"))</f>
        <v/>
      </c>
      <c r="L208" s="45"/>
      <c r="M208" s="35" t="str">
        <f aca="false">IF(I208="","",IFERROR(INDEX(参数表!$G$13:$G$212,MATCH(I208,参数表!$A$13:$A$212,0)),"SKU未建档"))</f>
        <v/>
      </c>
      <c r="N208" s="40"/>
      <c r="O208" s="46"/>
      <c r="P208" s="47"/>
      <c r="Q208" s="34" t="str">
        <f aca="false">IF(OR(O208="",P208=""),"",ROUND(O208*P208,2))</f>
        <v/>
      </c>
      <c r="R208" s="48"/>
      <c r="S208" s="46"/>
      <c r="T208" s="33" t="str">
        <f aca="false">IF(I208="","",IFERROR(INDEX(参数表!$H$13:$H$212,MATCH(I208,参数表!$A$13:$A$212,0)),"SKU未建档"))</f>
        <v/>
      </c>
      <c r="U208" s="34" t="str">
        <f aca="false">IF(A208="","",IF(参数表!$B$6="外贸企业",IF(S208="","",S208),IF(Q208="","",Q208)))</f>
        <v/>
      </c>
      <c r="V208" s="34" t="str">
        <f aca="false">IF(OR(U208="",NOT(ISNUMBER(T208))),"",ROUND(U208*T208,2))</f>
        <v/>
      </c>
      <c r="W208" s="43"/>
      <c r="X208" s="48"/>
      <c r="Y208" s="45"/>
      <c r="Z208" s="41"/>
      <c r="AA208" s="32" t="str">
        <f aca="false">IF(OR(L208="",Y208=""),"",Y208-L208)</f>
        <v/>
      </c>
      <c r="AB208" s="43"/>
      <c r="AC208" s="43"/>
    </row>
    <row r="209" customFormat="false" ht="21.75" hidden="false" customHeight="true" outlineLevel="0" collapsed="false">
      <c r="A209" s="29" t="str">
        <f aca="false">IF(OR(B209="",C209=""),"",B209&amp;"-"&amp;C209)</f>
        <v/>
      </c>
      <c r="B209" s="48"/>
      <c r="C209" s="40"/>
      <c r="D209" s="41"/>
      <c r="E209" s="42"/>
      <c r="F209" s="48"/>
      <c r="G209" s="43"/>
      <c r="H209" s="43"/>
      <c r="I209" s="44"/>
      <c r="J209" s="36" t="str">
        <f aca="false">IF(I209="","",IFERROR(INDEX(参数表!$D$13:$D$212,MATCH(I209,参数表!$A$13:$A$212,0)),"SKU未建档"))</f>
        <v/>
      </c>
      <c r="K209" s="36" t="str">
        <f aca="false">IF(I209="","",IFERROR(INDEX(参数表!$F$13:$F$212,MATCH(I209,参数表!$A$13:$A$212,0)),"SKU未建档"))</f>
        <v/>
      </c>
      <c r="L209" s="45"/>
      <c r="M209" s="35" t="str">
        <f aca="false">IF(I209="","",IFERROR(INDEX(参数表!$G$13:$G$212,MATCH(I209,参数表!$A$13:$A$212,0)),"SKU未建档"))</f>
        <v/>
      </c>
      <c r="N209" s="40"/>
      <c r="O209" s="46"/>
      <c r="P209" s="47"/>
      <c r="Q209" s="34" t="str">
        <f aca="false">IF(OR(O209="",P209=""),"",ROUND(O209*P209,2))</f>
        <v/>
      </c>
      <c r="R209" s="48"/>
      <c r="S209" s="46"/>
      <c r="T209" s="33" t="str">
        <f aca="false">IF(I209="","",IFERROR(INDEX(参数表!$H$13:$H$212,MATCH(I209,参数表!$A$13:$A$212,0)),"SKU未建档"))</f>
        <v/>
      </c>
      <c r="U209" s="34" t="str">
        <f aca="false">IF(A209="","",IF(参数表!$B$6="外贸企业",IF(S209="","",S209),IF(Q209="","",Q209)))</f>
        <v/>
      </c>
      <c r="V209" s="34" t="str">
        <f aca="false">IF(OR(U209="",NOT(ISNUMBER(T209))),"",ROUND(U209*T209,2))</f>
        <v/>
      </c>
      <c r="W209" s="43"/>
      <c r="X209" s="48"/>
      <c r="Y209" s="45"/>
      <c r="Z209" s="41"/>
      <c r="AA209" s="32" t="str">
        <f aca="false">IF(OR(L209="",Y209=""),"",Y209-L209)</f>
        <v/>
      </c>
      <c r="AB209" s="43"/>
      <c r="AC209" s="43"/>
    </row>
    <row r="210" customFormat="false" ht="21.75" hidden="false" customHeight="true" outlineLevel="0" collapsed="false">
      <c r="A210" s="29" t="str">
        <f aca="false">IF(OR(B210="",C210=""),"",B210&amp;"-"&amp;C210)</f>
        <v/>
      </c>
      <c r="B210" s="48"/>
      <c r="C210" s="40"/>
      <c r="D210" s="41"/>
      <c r="E210" s="42"/>
      <c r="F210" s="48"/>
      <c r="G210" s="43"/>
      <c r="H210" s="43"/>
      <c r="I210" s="44"/>
      <c r="J210" s="36" t="str">
        <f aca="false">IF(I210="","",IFERROR(INDEX(参数表!$D$13:$D$212,MATCH(I210,参数表!$A$13:$A$212,0)),"SKU未建档"))</f>
        <v/>
      </c>
      <c r="K210" s="36" t="str">
        <f aca="false">IF(I210="","",IFERROR(INDEX(参数表!$F$13:$F$212,MATCH(I210,参数表!$A$13:$A$212,0)),"SKU未建档"))</f>
        <v/>
      </c>
      <c r="L210" s="45"/>
      <c r="M210" s="35" t="str">
        <f aca="false">IF(I210="","",IFERROR(INDEX(参数表!$G$13:$G$212,MATCH(I210,参数表!$A$13:$A$212,0)),"SKU未建档"))</f>
        <v/>
      </c>
      <c r="N210" s="40"/>
      <c r="O210" s="46"/>
      <c r="P210" s="47"/>
      <c r="Q210" s="34" t="str">
        <f aca="false">IF(OR(O210="",P210=""),"",ROUND(O210*P210,2))</f>
        <v/>
      </c>
      <c r="R210" s="48"/>
      <c r="S210" s="46"/>
      <c r="T210" s="33" t="str">
        <f aca="false">IF(I210="","",IFERROR(INDEX(参数表!$H$13:$H$212,MATCH(I210,参数表!$A$13:$A$212,0)),"SKU未建档"))</f>
        <v/>
      </c>
      <c r="U210" s="34" t="str">
        <f aca="false">IF(A210="","",IF(参数表!$B$6="外贸企业",IF(S210="","",S210),IF(Q210="","",Q210)))</f>
        <v/>
      </c>
      <c r="V210" s="34" t="str">
        <f aca="false">IF(OR(U210="",NOT(ISNUMBER(T210))),"",ROUND(U210*T210,2))</f>
        <v/>
      </c>
      <c r="W210" s="43"/>
      <c r="X210" s="48"/>
      <c r="Y210" s="45"/>
      <c r="Z210" s="41"/>
      <c r="AA210" s="32" t="str">
        <f aca="false">IF(OR(L210="",Y210=""),"",Y210-L210)</f>
        <v/>
      </c>
      <c r="AB210" s="43"/>
      <c r="AC210" s="43"/>
    </row>
    <row r="211" customFormat="false" ht="21.75" hidden="false" customHeight="true" outlineLevel="0" collapsed="false">
      <c r="A211" s="29" t="str">
        <f aca="false">IF(OR(B211="",C211=""),"",B211&amp;"-"&amp;C211)</f>
        <v/>
      </c>
      <c r="B211" s="48"/>
      <c r="C211" s="40"/>
      <c r="D211" s="41"/>
      <c r="E211" s="42"/>
      <c r="F211" s="48"/>
      <c r="G211" s="43"/>
      <c r="H211" s="43"/>
      <c r="I211" s="44"/>
      <c r="J211" s="36" t="str">
        <f aca="false">IF(I211="","",IFERROR(INDEX(参数表!$D$13:$D$212,MATCH(I211,参数表!$A$13:$A$212,0)),"SKU未建档"))</f>
        <v/>
      </c>
      <c r="K211" s="36" t="str">
        <f aca="false">IF(I211="","",IFERROR(INDEX(参数表!$F$13:$F$212,MATCH(I211,参数表!$A$13:$A$212,0)),"SKU未建档"))</f>
        <v/>
      </c>
      <c r="L211" s="45"/>
      <c r="M211" s="35" t="str">
        <f aca="false">IF(I211="","",IFERROR(INDEX(参数表!$G$13:$G$212,MATCH(I211,参数表!$A$13:$A$212,0)),"SKU未建档"))</f>
        <v/>
      </c>
      <c r="N211" s="40"/>
      <c r="O211" s="46"/>
      <c r="P211" s="47"/>
      <c r="Q211" s="34" t="str">
        <f aca="false">IF(OR(O211="",P211=""),"",ROUND(O211*P211,2))</f>
        <v/>
      </c>
      <c r="R211" s="48"/>
      <c r="S211" s="46"/>
      <c r="T211" s="33" t="str">
        <f aca="false">IF(I211="","",IFERROR(INDEX(参数表!$H$13:$H$212,MATCH(I211,参数表!$A$13:$A$212,0)),"SKU未建档"))</f>
        <v/>
      </c>
      <c r="U211" s="34" t="str">
        <f aca="false">IF(A211="","",IF(参数表!$B$6="外贸企业",IF(S211="","",S211),IF(Q211="","",Q211)))</f>
        <v/>
      </c>
      <c r="V211" s="34" t="str">
        <f aca="false">IF(OR(U211="",NOT(ISNUMBER(T211))),"",ROUND(U211*T211,2))</f>
        <v/>
      </c>
      <c r="W211" s="43"/>
      <c r="X211" s="48"/>
      <c r="Y211" s="45"/>
      <c r="Z211" s="41"/>
      <c r="AA211" s="32" t="str">
        <f aca="false">IF(OR(L211="",Y211=""),"",Y211-L211)</f>
        <v/>
      </c>
      <c r="AB211" s="43"/>
      <c r="AC211" s="43"/>
    </row>
    <row r="212" customFormat="false" ht="21.75" hidden="false" customHeight="true" outlineLevel="0" collapsed="false">
      <c r="A212" s="29" t="str">
        <f aca="false">IF(OR(B212="",C212=""),"",B212&amp;"-"&amp;C212)</f>
        <v/>
      </c>
      <c r="B212" s="48"/>
      <c r="C212" s="40"/>
      <c r="D212" s="41"/>
      <c r="E212" s="42"/>
      <c r="F212" s="48"/>
      <c r="G212" s="43"/>
      <c r="H212" s="43"/>
      <c r="I212" s="44"/>
      <c r="J212" s="36" t="str">
        <f aca="false">IF(I212="","",IFERROR(INDEX(参数表!$D$13:$D$212,MATCH(I212,参数表!$A$13:$A$212,0)),"SKU未建档"))</f>
        <v/>
      </c>
      <c r="K212" s="36" t="str">
        <f aca="false">IF(I212="","",IFERROR(INDEX(参数表!$F$13:$F$212,MATCH(I212,参数表!$A$13:$A$212,0)),"SKU未建档"))</f>
        <v/>
      </c>
      <c r="L212" s="45"/>
      <c r="M212" s="35" t="str">
        <f aca="false">IF(I212="","",IFERROR(INDEX(参数表!$G$13:$G$212,MATCH(I212,参数表!$A$13:$A$212,0)),"SKU未建档"))</f>
        <v/>
      </c>
      <c r="N212" s="40"/>
      <c r="O212" s="46"/>
      <c r="P212" s="47"/>
      <c r="Q212" s="34" t="str">
        <f aca="false">IF(OR(O212="",P212=""),"",ROUND(O212*P212,2))</f>
        <v/>
      </c>
      <c r="R212" s="48"/>
      <c r="S212" s="46"/>
      <c r="T212" s="33" t="str">
        <f aca="false">IF(I212="","",IFERROR(INDEX(参数表!$H$13:$H$212,MATCH(I212,参数表!$A$13:$A$212,0)),"SKU未建档"))</f>
        <v/>
      </c>
      <c r="U212" s="34" t="str">
        <f aca="false">IF(A212="","",IF(参数表!$B$6="外贸企业",IF(S212="","",S212),IF(Q212="","",Q212)))</f>
        <v/>
      </c>
      <c r="V212" s="34" t="str">
        <f aca="false">IF(OR(U212="",NOT(ISNUMBER(T212))),"",ROUND(U212*T212,2))</f>
        <v/>
      </c>
      <c r="W212" s="43"/>
      <c r="X212" s="48"/>
      <c r="Y212" s="45"/>
      <c r="Z212" s="41"/>
      <c r="AA212" s="32" t="str">
        <f aca="false">IF(OR(L212="",Y212=""),"",Y212-L212)</f>
        <v/>
      </c>
      <c r="AB212" s="43"/>
      <c r="AC212" s="43"/>
    </row>
    <row r="213" customFormat="false" ht="21.75" hidden="false" customHeight="true" outlineLevel="0" collapsed="false">
      <c r="A213" s="29" t="str">
        <f aca="false">IF(OR(B213="",C213=""),"",B213&amp;"-"&amp;C213)</f>
        <v/>
      </c>
      <c r="B213" s="48"/>
      <c r="C213" s="40"/>
      <c r="D213" s="41"/>
      <c r="E213" s="42"/>
      <c r="F213" s="48"/>
      <c r="G213" s="43"/>
      <c r="H213" s="43"/>
      <c r="I213" s="44"/>
      <c r="J213" s="36" t="str">
        <f aca="false">IF(I213="","",IFERROR(INDEX(参数表!$D$13:$D$212,MATCH(I213,参数表!$A$13:$A$212,0)),"SKU未建档"))</f>
        <v/>
      </c>
      <c r="K213" s="36" t="str">
        <f aca="false">IF(I213="","",IFERROR(INDEX(参数表!$F$13:$F$212,MATCH(I213,参数表!$A$13:$A$212,0)),"SKU未建档"))</f>
        <v/>
      </c>
      <c r="L213" s="45"/>
      <c r="M213" s="35" t="str">
        <f aca="false">IF(I213="","",IFERROR(INDEX(参数表!$G$13:$G$212,MATCH(I213,参数表!$A$13:$A$212,0)),"SKU未建档"))</f>
        <v/>
      </c>
      <c r="N213" s="40"/>
      <c r="O213" s="46"/>
      <c r="P213" s="47"/>
      <c r="Q213" s="34" t="str">
        <f aca="false">IF(OR(O213="",P213=""),"",ROUND(O213*P213,2))</f>
        <v/>
      </c>
      <c r="R213" s="48"/>
      <c r="S213" s="46"/>
      <c r="T213" s="33" t="str">
        <f aca="false">IF(I213="","",IFERROR(INDEX(参数表!$H$13:$H$212,MATCH(I213,参数表!$A$13:$A$212,0)),"SKU未建档"))</f>
        <v/>
      </c>
      <c r="U213" s="34" t="str">
        <f aca="false">IF(A213="","",IF(参数表!$B$6="外贸企业",IF(S213="","",S213),IF(Q213="","",Q213)))</f>
        <v/>
      </c>
      <c r="V213" s="34" t="str">
        <f aca="false">IF(OR(U213="",NOT(ISNUMBER(T213))),"",ROUND(U213*T213,2))</f>
        <v/>
      </c>
      <c r="W213" s="43"/>
      <c r="X213" s="48"/>
      <c r="Y213" s="45"/>
      <c r="Z213" s="41"/>
      <c r="AA213" s="32" t="str">
        <f aca="false">IF(OR(L213="",Y213=""),"",Y213-L213)</f>
        <v/>
      </c>
      <c r="AB213" s="43"/>
      <c r="AC213" s="43"/>
    </row>
    <row r="214" customFormat="false" ht="21.75" hidden="false" customHeight="true" outlineLevel="0" collapsed="false">
      <c r="A214" s="29" t="str">
        <f aca="false">IF(OR(B214="",C214=""),"",B214&amp;"-"&amp;C214)</f>
        <v/>
      </c>
      <c r="B214" s="48"/>
      <c r="C214" s="40"/>
      <c r="D214" s="41"/>
      <c r="E214" s="42"/>
      <c r="F214" s="48"/>
      <c r="G214" s="43"/>
      <c r="H214" s="43"/>
      <c r="I214" s="44"/>
      <c r="J214" s="36" t="str">
        <f aca="false">IF(I214="","",IFERROR(INDEX(参数表!$D$13:$D$212,MATCH(I214,参数表!$A$13:$A$212,0)),"SKU未建档"))</f>
        <v/>
      </c>
      <c r="K214" s="36" t="str">
        <f aca="false">IF(I214="","",IFERROR(INDEX(参数表!$F$13:$F$212,MATCH(I214,参数表!$A$13:$A$212,0)),"SKU未建档"))</f>
        <v/>
      </c>
      <c r="L214" s="45"/>
      <c r="M214" s="35" t="str">
        <f aca="false">IF(I214="","",IFERROR(INDEX(参数表!$G$13:$G$212,MATCH(I214,参数表!$A$13:$A$212,0)),"SKU未建档"))</f>
        <v/>
      </c>
      <c r="N214" s="40"/>
      <c r="O214" s="46"/>
      <c r="P214" s="47"/>
      <c r="Q214" s="34" t="str">
        <f aca="false">IF(OR(O214="",P214=""),"",ROUND(O214*P214,2))</f>
        <v/>
      </c>
      <c r="R214" s="48"/>
      <c r="S214" s="46"/>
      <c r="T214" s="33" t="str">
        <f aca="false">IF(I214="","",IFERROR(INDEX(参数表!$H$13:$H$212,MATCH(I214,参数表!$A$13:$A$212,0)),"SKU未建档"))</f>
        <v/>
      </c>
      <c r="U214" s="34" t="str">
        <f aca="false">IF(A214="","",IF(参数表!$B$6="外贸企业",IF(S214="","",S214),IF(Q214="","",Q214)))</f>
        <v/>
      </c>
      <c r="V214" s="34" t="str">
        <f aca="false">IF(OR(U214="",NOT(ISNUMBER(T214))),"",ROUND(U214*T214,2))</f>
        <v/>
      </c>
      <c r="W214" s="43"/>
      <c r="X214" s="48"/>
      <c r="Y214" s="45"/>
      <c r="Z214" s="41"/>
      <c r="AA214" s="32" t="str">
        <f aca="false">IF(OR(L214="",Y214=""),"",Y214-L214)</f>
        <v/>
      </c>
      <c r="AB214" s="43"/>
      <c r="AC214" s="43"/>
    </row>
    <row r="215" customFormat="false" ht="21.75" hidden="false" customHeight="true" outlineLevel="0" collapsed="false">
      <c r="A215" s="29" t="str">
        <f aca="false">IF(OR(B215="",C215=""),"",B215&amp;"-"&amp;C215)</f>
        <v/>
      </c>
      <c r="B215" s="48"/>
      <c r="C215" s="40"/>
      <c r="D215" s="41"/>
      <c r="E215" s="42"/>
      <c r="F215" s="48"/>
      <c r="G215" s="43"/>
      <c r="H215" s="43"/>
      <c r="I215" s="44"/>
      <c r="J215" s="36" t="str">
        <f aca="false">IF(I215="","",IFERROR(INDEX(参数表!$D$13:$D$212,MATCH(I215,参数表!$A$13:$A$212,0)),"SKU未建档"))</f>
        <v/>
      </c>
      <c r="K215" s="36" t="str">
        <f aca="false">IF(I215="","",IFERROR(INDEX(参数表!$F$13:$F$212,MATCH(I215,参数表!$A$13:$A$212,0)),"SKU未建档"))</f>
        <v/>
      </c>
      <c r="L215" s="45"/>
      <c r="M215" s="35" t="str">
        <f aca="false">IF(I215="","",IFERROR(INDEX(参数表!$G$13:$G$212,MATCH(I215,参数表!$A$13:$A$212,0)),"SKU未建档"))</f>
        <v/>
      </c>
      <c r="N215" s="40"/>
      <c r="O215" s="46"/>
      <c r="P215" s="47"/>
      <c r="Q215" s="34" t="str">
        <f aca="false">IF(OR(O215="",P215=""),"",ROUND(O215*P215,2))</f>
        <v/>
      </c>
      <c r="R215" s="48"/>
      <c r="S215" s="46"/>
      <c r="T215" s="33" t="str">
        <f aca="false">IF(I215="","",IFERROR(INDEX(参数表!$H$13:$H$212,MATCH(I215,参数表!$A$13:$A$212,0)),"SKU未建档"))</f>
        <v/>
      </c>
      <c r="U215" s="34" t="str">
        <f aca="false">IF(A215="","",IF(参数表!$B$6="外贸企业",IF(S215="","",S215),IF(Q215="","",Q215)))</f>
        <v/>
      </c>
      <c r="V215" s="34" t="str">
        <f aca="false">IF(OR(U215="",NOT(ISNUMBER(T215))),"",ROUND(U215*T215,2))</f>
        <v/>
      </c>
      <c r="W215" s="43"/>
      <c r="X215" s="48"/>
      <c r="Y215" s="45"/>
      <c r="Z215" s="41"/>
      <c r="AA215" s="32" t="str">
        <f aca="false">IF(OR(L215="",Y215=""),"",Y215-L215)</f>
        <v/>
      </c>
      <c r="AB215" s="43"/>
      <c r="AC215" s="43"/>
    </row>
    <row r="216" customFormat="false" ht="21.75" hidden="false" customHeight="true" outlineLevel="0" collapsed="false">
      <c r="A216" s="29" t="str">
        <f aca="false">IF(OR(B216="",C216=""),"",B216&amp;"-"&amp;C216)</f>
        <v/>
      </c>
      <c r="B216" s="48"/>
      <c r="C216" s="40"/>
      <c r="D216" s="41"/>
      <c r="E216" s="42"/>
      <c r="F216" s="48"/>
      <c r="G216" s="43"/>
      <c r="H216" s="43"/>
      <c r="I216" s="44"/>
      <c r="J216" s="36" t="str">
        <f aca="false">IF(I216="","",IFERROR(INDEX(参数表!$D$13:$D$212,MATCH(I216,参数表!$A$13:$A$212,0)),"SKU未建档"))</f>
        <v/>
      </c>
      <c r="K216" s="36" t="str">
        <f aca="false">IF(I216="","",IFERROR(INDEX(参数表!$F$13:$F$212,MATCH(I216,参数表!$A$13:$A$212,0)),"SKU未建档"))</f>
        <v/>
      </c>
      <c r="L216" s="45"/>
      <c r="M216" s="35" t="str">
        <f aca="false">IF(I216="","",IFERROR(INDEX(参数表!$G$13:$G$212,MATCH(I216,参数表!$A$13:$A$212,0)),"SKU未建档"))</f>
        <v/>
      </c>
      <c r="N216" s="40"/>
      <c r="O216" s="46"/>
      <c r="P216" s="47"/>
      <c r="Q216" s="34" t="str">
        <f aca="false">IF(OR(O216="",P216=""),"",ROUND(O216*P216,2))</f>
        <v/>
      </c>
      <c r="R216" s="48"/>
      <c r="S216" s="46"/>
      <c r="T216" s="33" t="str">
        <f aca="false">IF(I216="","",IFERROR(INDEX(参数表!$H$13:$H$212,MATCH(I216,参数表!$A$13:$A$212,0)),"SKU未建档"))</f>
        <v/>
      </c>
      <c r="U216" s="34" t="str">
        <f aca="false">IF(A216="","",IF(参数表!$B$6="外贸企业",IF(S216="","",S216),IF(Q216="","",Q216)))</f>
        <v/>
      </c>
      <c r="V216" s="34" t="str">
        <f aca="false">IF(OR(U216="",NOT(ISNUMBER(T216))),"",ROUND(U216*T216,2))</f>
        <v/>
      </c>
      <c r="W216" s="43"/>
      <c r="X216" s="48"/>
      <c r="Y216" s="45"/>
      <c r="Z216" s="41"/>
      <c r="AA216" s="32" t="str">
        <f aca="false">IF(OR(L216="",Y216=""),"",Y216-L216)</f>
        <v/>
      </c>
      <c r="AB216" s="43"/>
      <c r="AC216" s="43"/>
    </row>
    <row r="217" customFormat="false" ht="21.75" hidden="false" customHeight="true" outlineLevel="0" collapsed="false">
      <c r="A217" s="29" t="str">
        <f aca="false">IF(OR(B217="",C217=""),"",B217&amp;"-"&amp;C217)</f>
        <v/>
      </c>
      <c r="B217" s="48"/>
      <c r="C217" s="40"/>
      <c r="D217" s="41"/>
      <c r="E217" s="42"/>
      <c r="F217" s="48"/>
      <c r="G217" s="43"/>
      <c r="H217" s="43"/>
      <c r="I217" s="44"/>
      <c r="J217" s="36" t="str">
        <f aca="false">IF(I217="","",IFERROR(INDEX(参数表!$D$13:$D$212,MATCH(I217,参数表!$A$13:$A$212,0)),"SKU未建档"))</f>
        <v/>
      </c>
      <c r="K217" s="36" t="str">
        <f aca="false">IF(I217="","",IFERROR(INDEX(参数表!$F$13:$F$212,MATCH(I217,参数表!$A$13:$A$212,0)),"SKU未建档"))</f>
        <v/>
      </c>
      <c r="L217" s="45"/>
      <c r="M217" s="35" t="str">
        <f aca="false">IF(I217="","",IFERROR(INDEX(参数表!$G$13:$G$212,MATCH(I217,参数表!$A$13:$A$212,0)),"SKU未建档"))</f>
        <v/>
      </c>
      <c r="N217" s="40"/>
      <c r="O217" s="46"/>
      <c r="P217" s="47"/>
      <c r="Q217" s="34" t="str">
        <f aca="false">IF(OR(O217="",P217=""),"",ROUND(O217*P217,2))</f>
        <v/>
      </c>
      <c r="R217" s="48"/>
      <c r="S217" s="46"/>
      <c r="T217" s="33" t="str">
        <f aca="false">IF(I217="","",IFERROR(INDEX(参数表!$H$13:$H$212,MATCH(I217,参数表!$A$13:$A$212,0)),"SKU未建档"))</f>
        <v/>
      </c>
      <c r="U217" s="34" t="str">
        <f aca="false">IF(A217="","",IF(参数表!$B$6="外贸企业",IF(S217="","",S217),IF(Q217="","",Q217)))</f>
        <v/>
      </c>
      <c r="V217" s="34" t="str">
        <f aca="false">IF(OR(U217="",NOT(ISNUMBER(T217))),"",ROUND(U217*T217,2))</f>
        <v/>
      </c>
      <c r="W217" s="43"/>
      <c r="X217" s="48"/>
      <c r="Y217" s="45"/>
      <c r="Z217" s="41"/>
      <c r="AA217" s="32" t="str">
        <f aca="false">IF(OR(L217="",Y217=""),"",Y217-L217)</f>
        <v/>
      </c>
      <c r="AB217" s="43"/>
      <c r="AC217" s="43"/>
    </row>
    <row r="218" customFormat="false" ht="21.75" hidden="false" customHeight="true" outlineLevel="0" collapsed="false">
      <c r="A218" s="29" t="str">
        <f aca="false">IF(OR(B218="",C218=""),"",B218&amp;"-"&amp;C218)</f>
        <v/>
      </c>
      <c r="B218" s="48"/>
      <c r="C218" s="40"/>
      <c r="D218" s="41"/>
      <c r="E218" s="42"/>
      <c r="F218" s="48"/>
      <c r="G218" s="43"/>
      <c r="H218" s="43"/>
      <c r="I218" s="44"/>
      <c r="J218" s="36" t="str">
        <f aca="false">IF(I218="","",IFERROR(INDEX(参数表!$D$13:$D$212,MATCH(I218,参数表!$A$13:$A$212,0)),"SKU未建档"))</f>
        <v/>
      </c>
      <c r="K218" s="36" t="str">
        <f aca="false">IF(I218="","",IFERROR(INDEX(参数表!$F$13:$F$212,MATCH(I218,参数表!$A$13:$A$212,0)),"SKU未建档"))</f>
        <v/>
      </c>
      <c r="L218" s="45"/>
      <c r="M218" s="35" t="str">
        <f aca="false">IF(I218="","",IFERROR(INDEX(参数表!$G$13:$G$212,MATCH(I218,参数表!$A$13:$A$212,0)),"SKU未建档"))</f>
        <v/>
      </c>
      <c r="N218" s="40"/>
      <c r="O218" s="46"/>
      <c r="P218" s="47"/>
      <c r="Q218" s="34" t="str">
        <f aca="false">IF(OR(O218="",P218=""),"",ROUND(O218*P218,2))</f>
        <v/>
      </c>
      <c r="R218" s="48"/>
      <c r="S218" s="46"/>
      <c r="T218" s="33" t="str">
        <f aca="false">IF(I218="","",IFERROR(INDEX(参数表!$H$13:$H$212,MATCH(I218,参数表!$A$13:$A$212,0)),"SKU未建档"))</f>
        <v/>
      </c>
      <c r="U218" s="34" t="str">
        <f aca="false">IF(A218="","",IF(参数表!$B$6="外贸企业",IF(S218="","",S218),IF(Q218="","",Q218)))</f>
        <v/>
      </c>
      <c r="V218" s="34" t="str">
        <f aca="false">IF(OR(U218="",NOT(ISNUMBER(T218))),"",ROUND(U218*T218,2))</f>
        <v/>
      </c>
      <c r="W218" s="43"/>
      <c r="X218" s="48"/>
      <c r="Y218" s="45"/>
      <c r="Z218" s="41"/>
      <c r="AA218" s="32" t="str">
        <f aca="false">IF(OR(L218="",Y218=""),"",Y218-L218)</f>
        <v/>
      </c>
      <c r="AB218" s="43"/>
      <c r="AC218" s="43"/>
    </row>
    <row r="219" customFormat="false" ht="21.75" hidden="false" customHeight="true" outlineLevel="0" collapsed="false">
      <c r="A219" s="29" t="str">
        <f aca="false">IF(OR(B219="",C219=""),"",B219&amp;"-"&amp;C219)</f>
        <v/>
      </c>
      <c r="B219" s="48"/>
      <c r="C219" s="40"/>
      <c r="D219" s="41"/>
      <c r="E219" s="42"/>
      <c r="F219" s="48"/>
      <c r="G219" s="43"/>
      <c r="H219" s="43"/>
      <c r="I219" s="44"/>
      <c r="J219" s="36" t="str">
        <f aca="false">IF(I219="","",IFERROR(INDEX(参数表!$D$13:$D$212,MATCH(I219,参数表!$A$13:$A$212,0)),"SKU未建档"))</f>
        <v/>
      </c>
      <c r="K219" s="36" t="str">
        <f aca="false">IF(I219="","",IFERROR(INDEX(参数表!$F$13:$F$212,MATCH(I219,参数表!$A$13:$A$212,0)),"SKU未建档"))</f>
        <v/>
      </c>
      <c r="L219" s="45"/>
      <c r="M219" s="35" t="str">
        <f aca="false">IF(I219="","",IFERROR(INDEX(参数表!$G$13:$G$212,MATCH(I219,参数表!$A$13:$A$212,0)),"SKU未建档"))</f>
        <v/>
      </c>
      <c r="N219" s="40"/>
      <c r="O219" s="46"/>
      <c r="P219" s="47"/>
      <c r="Q219" s="34" t="str">
        <f aca="false">IF(OR(O219="",P219=""),"",ROUND(O219*P219,2))</f>
        <v/>
      </c>
      <c r="R219" s="48"/>
      <c r="S219" s="46"/>
      <c r="T219" s="33" t="str">
        <f aca="false">IF(I219="","",IFERROR(INDEX(参数表!$H$13:$H$212,MATCH(I219,参数表!$A$13:$A$212,0)),"SKU未建档"))</f>
        <v/>
      </c>
      <c r="U219" s="34" t="str">
        <f aca="false">IF(A219="","",IF(参数表!$B$6="外贸企业",IF(S219="","",S219),IF(Q219="","",Q219)))</f>
        <v/>
      </c>
      <c r="V219" s="34" t="str">
        <f aca="false">IF(OR(U219="",NOT(ISNUMBER(T219))),"",ROUND(U219*T219,2))</f>
        <v/>
      </c>
      <c r="W219" s="43"/>
      <c r="X219" s="48"/>
      <c r="Y219" s="45"/>
      <c r="Z219" s="41"/>
      <c r="AA219" s="32" t="str">
        <f aca="false">IF(OR(L219="",Y219=""),"",Y219-L219)</f>
        <v/>
      </c>
      <c r="AB219" s="43"/>
      <c r="AC219" s="43"/>
    </row>
    <row r="220" customFormat="false" ht="21.75" hidden="false" customHeight="true" outlineLevel="0" collapsed="false">
      <c r="A220" s="29" t="str">
        <f aca="false">IF(OR(B220="",C220=""),"",B220&amp;"-"&amp;C220)</f>
        <v/>
      </c>
      <c r="B220" s="48"/>
      <c r="C220" s="40"/>
      <c r="D220" s="41"/>
      <c r="E220" s="42"/>
      <c r="F220" s="48"/>
      <c r="G220" s="43"/>
      <c r="H220" s="43"/>
      <c r="I220" s="44"/>
      <c r="J220" s="36" t="str">
        <f aca="false">IF(I220="","",IFERROR(INDEX(参数表!$D$13:$D$212,MATCH(I220,参数表!$A$13:$A$212,0)),"SKU未建档"))</f>
        <v/>
      </c>
      <c r="K220" s="36" t="str">
        <f aca="false">IF(I220="","",IFERROR(INDEX(参数表!$F$13:$F$212,MATCH(I220,参数表!$A$13:$A$212,0)),"SKU未建档"))</f>
        <v/>
      </c>
      <c r="L220" s="45"/>
      <c r="M220" s="35" t="str">
        <f aca="false">IF(I220="","",IFERROR(INDEX(参数表!$G$13:$G$212,MATCH(I220,参数表!$A$13:$A$212,0)),"SKU未建档"))</f>
        <v/>
      </c>
      <c r="N220" s="40"/>
      <c r="O220" s="46"/>
      <c r="P220" s="47"/>
      <c r="Q220" s="34" t="str">
        <f aca="false">IF(OR(O220="",P220=""),"",ROUND(O220*P220,2))</f>
        <v/>
      </c>
      <c r="R220" s="48"/>
      <c r="S220" s="46"/>
      <c r="T220" s="33" t="str">
        <f aca="false">IF(I220="","",IFERROR(INDEX(参数表!$H$13:$H$212,MATCH(I220,参数表!$A$13:$A$212,0)),"SKU未建档"))</f>
        <v/>
      </c>
      <c r="U220" s="34" t="str">
        <f aca="false">IF(A220="","",IF(参数表!$B$6="外贸企业",IF(S220="","",S220),IF(Q220="","",Q220)))</f>
        <v/>
      </c>
      <c r="V220" s="34" t="str">
        <f aca="false">IF(OR(U220="",NOT(ISNUMBER(T220))),"",ROUND(U220*T220,2))</f>
        <v/>
      </c>
      <c r="W220" s="43"/>
      <c r="X220" s="48"/>
      <c r="Y220" s="45"/>
      <c r="Z220" s="41"/>
      <c r="AA220" s="32" t="str">
        <f aca="false">IF(OR(L220="",Y220=""),"",Y220-L220)</f>
        <v/>
      </c>
      <c r="AB220" s="43"/>
      <c r="AC220" s="43"/>
    </row>
    <row r="221" customFormat="false" ht="21.75" hidden="false" customHeight="true" outlineLevel="0" collapsed="false">
      <c r="A221" s="29" t="str">
        <f aca="false">IF(OR(B221="",C221=""),"",B221&amp;"-"&amp;C221)</f>
        <v/>
      </c>
      <c r="B221" s="48"/>
      <c r="C221" s="40"/>
      <c r="D221" s="41"/>
      <c r="E221" s="42"/>
      <c r="F221" s="48"/>
      <c r="G221" s="43"/>
      <c r="H221" s="43"/>
      <c r="I221" s="44"/>
      <c r="J221" s="36" t="str">
        <f aca="false">IF(I221="","",IFERROR(INDEX(参数表!$D$13:$D$212,MATCH(I221,参数表!$A$13:$A$212,0)),"SKU未建档"))</f>
        <v/>
      </c>
      <c r="K221" s="36" t="str">
        <f aca="false">IF(I221="","",IFERROR(INDEX(参数表!$F$13:$F$212,MATCH(I221,参数表!$A$13:$A$212,0)),"SKU未建档"))</f>
        <v/>
      </c>
      <c r="L221" s="45"/>
      <c r="M221" s="35" t="str">
        <f aca="false">IF(I221="","",IFERROR(INDEX(参数表!$G$13:$G$212,MATCH(I221,参数表!$A$13:$A$212,0)),"SKU未建档"))</f>
        <v/>
      </c>
      <c r="N221" s="40"/>
      <c r="O221" s="46"/>
      <c r="P221" s="47"/>
      <c r="Q221" s="34" t="str">
        <f aca="false">IF(OR(O221="",P221=""),"",ROUND(O221*P221,2))</f>
        <v/>
      </c>
      <c r="R221" s="48"/>
      <c r="S221" s="46"/>
      <c r="T221" s="33" t="str">
        <f aca="false">IF(I221="","",IFERROR(INDEX(参数表!$H$13:$H$212,MATCH(I221,参数表!$A$13:$A$212,0)),"SKU未建档"))</f>
        <v/>
      </c>
      <c r="U221" s="34" t="str">
        <f aca="false">IF(A221="","",IF(参数表!$B$6="外贸企业",IF(S221="","",S221),IF(Q221="","",Q221)))</f>
        <v/>
      </c>
      <c r="V221" s="34" t="str">
        <f aca="false">IF(OR(U221="",NOT(ISNUMBER(T221))),"",ROUND(U221*T221,2))</f>
        <v/>
      </c>
      <c r="W221" s="43"/>
      <c r="X221" s="48"/>
      <c r="Y221" s="45"/>
      <c r="Z221" s="41"/>
      <c r="AA221" s="32" t="str">
        <f aca="false">IF(OR(L221="",Y221=""),"",Y221-L221)</f>
        <v/>
      </c>
      <c r="AB221" s="43"/>
      <c r="AC221" s="43"/>
    </row>
    <row r="222" customFormat="false" ht="21.75" hidden="false" customHeight="true" outlineLevel="0" collapsed="false">
      <c r="A222" s="29" t="str">
        <f aca="false">IF(OR(B222="",C222=""),"",B222&amp;"-"&amp;C222)</f>
        <v/>
      </c>
      <c r="B222" s="48"/>
      <c r="C222" s="40"/>
      <c r="D222" s="41"/>
      <c r="E222" s="42"/>
      <c r="F222" s="48"/>
      <c r="G222" s="43"/>
      <c r="H222" s="43"/>
      <c r="I222" s="44"/>
      <c r="J222" s="36" t="str">
        <f aca="false">IF(I222="","",IFERROR(INDEX(参数表!$D$13:$D$212,MATCH(I222,参数表!$A$13:$A$212,0)),"SKU未建档"))</f>
        <v/>
      </c>
      <c r="K222" s="36" t="str">
        <f aca="false">IF(I222="","",IFERROR(INDEX(参数表!$F$13:$F$212,MATCH(I222,参数表!$A$13:$A$212,0)),"SKU未建档"))</f>
        <v/>
      </c>
      <c r="L222" s="45"/>
      <c r="M222" s="35" t="str">
        <f aca="false">IF(I222="","",IFERROR(INDEX(参数表!$G$13:$G$212,MATCH(I222,参数表!$A$13:$A$212,0)),"SKU未建档"))</f>
        <v/>
      </c>
      <c r="N222" s="40"/>
      <c r="O222" s="46"/>
      <c r="P222" s="47"/>
      <c r="Q222" s="34" t="str">
        <f aca="false">IF(OR(O222="",P222=""),"",ROUND(O222*P222,2))</f>
        <v/>
      </c>
      <c r="R222" s="48"/>
      <c r="S222" s="46"/>
      <c r="T222" s="33" t="str">
        <f aca="false">IF(I222="","",IFERROR(INDEX(参数表!$H$13:$H$212,MATCH(I222,参数表!$A$13:$A$212,0)),"SKU未建档"))</f>
        <v/>
      </c>
      <c r="U222" s="34" t="str">
        <f aca="false">IF(A222="","",IF(参数表!$B$6="外贸企业",IF(S222="","",S222),IF(Q222="","",Q222)))</f>
        <v/>
      </c>
      <c r="V222" s="34" t="str">
        <f aca="false">IF(OR(U222="",NOT(ISNUMBER(T222))),"",ROUND(U222*T222,2))</f>
        <v/>
      </c>
      <c r="W222" s="43"/>
      <c r="X222" s="48"/>
      <c r="Y222" s="45"/>
      <c r="Z222" s="41"/>
      <c r="AA222" s="32" t="str">
        <f aca="false">IF(OR(L222="",Y222=""),"",Y222-L222)</f>
        <v/>
      </c>
      <c r="AB222" s="43"/>
      <c r="AC222" s="43"/>
    </row>
    <row r="223" customFormat="false" ht="21.75" hidden="false" customHeight="true" outlineLevel="0" collapsed="false">
      <c r="A223" s="29" t="str">
        <f aca="false">IF(OR(B223="",C223=""),"",B223&amp;"-"&amp;C223)</f>
        <v/>
      </c>
      <c r="B223" s="48"/>
      <c r="C223" s="40"/>
      <c r="D223" s="41"/>
      <c r="E223" s="42"/>
      <c r="F223" s="48"/>
      <c r="G223" s="43"/>
      <c r="H223" s="43"/>
      <c r="I223" s="44"/>
      <c r="J223" s="36" t="str">
        <f aca="false">IF(I223="","",IFERROR(INDEX(参数表!$D$13:$D$212,MATCH(I223,参数表!$A$13:$A$212,0)),"SKU未建档"))</f>
        <v/>
      </c>
      <c r="K223" s="36" t="str">
        <f aca="false">IF(I223="","",IFERROR(INDEX(参数表!$F$13:$F$212,MATCH(I223,参数表!$A$13:$A$212,0)),"SKU未建档"))</f>
        <v/>
      </c>
      <c r="L223" s="45"/>
      <c r="M223" s="35" t="str">
        <f aca="false">IF(I223="","",IFERROR(INDEX(参数表!$G$13:$G$212,MATCH(I223,参数表!$A$13:$A$212,0)),"SKU未建档"))</f>
        <v/>
      </c>
      <c r="N223" s="40"/>
      <c r="O223" s="46"/>
      <c r="P223" s="47"/>
      <c r="Q223" s="34" t="str">
        <f aca="false">IF(OR(O223="",P223=""),"",ROUND(O223*P223,2))</f>
        <v/>
      </c>
      <c r="R223" s="48"/>
      <c r="S223" s="46"/>
      <c r="T223" s="33" t="str">
        <f aca="false">IF(I223="","",IFERROR(INDEX(参数表!$H$13:$H$212,MATCH(I223,参数表!$A$13:$A$212,0)),"SKU未建档"))</f>
        <v/>
      </c>
      <c r="U223" s="34" t="str">
        <f aca="false">IF(A223="","",IF(参数表!$B$6="外贸企业",IF(S223="","",S223),IF(Q223="","",Q223)))</f>
        <v/>
      </c>
      <c r="V223" s="34" t="str">
        <f aca="false">IF(OR(U223="",NOT(ISNUMBER(T223))),"",ROUND(U223*T223,2))</f>
        <v/>
      </c>
      <c r="W223" s="43"/>
      <c r="X223" s="48"/>
      <c r="Y223" s="45"/>
      <c r="Z223" s="41"/>
      <c r="AA223" s="32" t="str">
        <f aca="false">IF(OR(L223="",Y223=""),"",Y223-L223)</f>
        <v/>
      </c>
      <c r="AB223" s="43"/>
      <c r="AC223" s="43"/>
    </row>
    <row r="224" customFormat="false" ht="21.75" hidden="false" customHeight="true" outlineLevel="0" collapsed="false">
      <c r="A224" s="29" t="str">
        <f aca="false">IF(OR(B224="",C224=""),"",B224&amp;"-"&amp;C224)</f>
        <v/>
      </c>
      <c r="B224" s="48"/>
      <c r="C224" s="40"/>
      <c r="D224" s="41"/>
      <c r="E224" s="42"/>
      <c r="F224" s="48"/>
      <c r="G224" s="43"/>
      <c r="H224" s="43"/>
      <c r="I224" s="44"/>
      <c r="J224" s="36" t="str">
        <f aca="false">IF(I224="","",IFERROR(INDEX(参数表!$D$13:$D$212,MATCH(I224,参数表!$A$13:$A$212,0)),"SKU未建档"))</f>
        <v/>
      </c>
      <c r="K224" s="36" t="str">
        <f aca="false">IF(I224="","",IFERROR(INDEX(参数表!$F$13:$F$212,MATCH(I224,参数表!$A$13:$A$212,0)),"SKU未建档"))</f>
        <v/>
      </c>
      <c r="L224" s="45"/>
      <c r="M224" s="35" t="str">
        <f aca="false">IF(I224="","",IFERROR(INDEX(参数表!$G$13:$G$212,MATCH(I224,参数表!$A$13:$A$212,0)),"SKU未建档"))</f>
        <v/>
      </c>
      <c r="N224" s="40"/>
      <c r="O224" s="46"/>
      <c r="P224" s="47"/>
      <c r="Q224" s="34" t="str">
        <f aca="false">IF(OR(O224="",P224=""),"",ROUND(O224*P224,2))</f>
        <v/>
      </c>
      <c r="R224" s="48"/>
      <c r="S224" s="46"/>
      <c r="T224" s="33" t="str">
        <f aca="false">IF(I224="","",IFERROR(INDEX(参数表!$H$13:$H$212,MATCH(I224,参数表!$A$13:$A$212,0)),"SKU未建档"))</f>
        <v/>
      </c>
      <c r="U224" s="34" t="str">
        <f aca="false">IF(A224="","",IF(参数表!$B$6="外贸企业",IF(S224="","",S224),IF(Q224="","",Q224)))</f>
        <v/>
      </c>
      <c r="V224" s="34" t="str">
        <f aca="false">IF(OR(U224="",NOT(ISNUMBER(T224))),"",ROUND(U224*T224,2))</f>
        <v/>
      </c>
      <c r="W224" s="43"/>
      <c r="X224" s="48"/>
      <c r="Y224" s="45"/>
      <c r="Z224" s="41"/>
      <c r="AA224" s="32" t="str">
        <f aca="false">IF(OR(L224="",Y224=""),"",Y224-L224)</f>
        <v/>
      </c>
      <c r="AB224" s="43"/>
      <c r="AC224" s="43"/>
    </row>
    <row r="225" customFormat="false" ht="21.75" hidden="false" customHeight="true" outlineLevel="0" collapsed="false">
      <c r="A225" s="29" t="str">
        <f aca="false">IF(OR(B225="",C225=""),"",B225&amp;"-"&amp;C225)</f>
        <v/>
      </c>
      <c r="B225" s="48"/>
      <c r="C225" s="40"/>
      <c r="D225" s="41"/>
      <c r="E225" s="42"/>
      <c r="F225" s="48"/>
      <c r="G225" s="43"/>
      <c r="H225" s="43"/>
      <c r="I225" s="44"/>
      <c r="J225" s="36" t="str">
        <f aca="false">IF(I225="","",IFERROR(INDEX(参数表!$D$13:$D$212,MATCH(I225,参数表!$A$13:$A$212,0)),"SKU未建档"))</f>
        <v/>
      </c>
      <c r="K225" s="36" t="str">
        <f aca="false">IF(I225="","",IFERROR(INDEX(参数表!$F$13:$F$212,MATCH(I225,参数表!$A$13:$A$212,0)),"SKU未建档"))</f>
        <v/>
      </c>
      <c r="L225" s="45"/>
      <c r="M225" s="35" t="str">
        <f aca="false">IF(I225="","",IFERROR(INDEX(参数表!$G$13:$G$212,MATCH(I225,参数表!$A$13:$A$212,0)),"SKU未建档"))</f>
        <v/>
      </c>
      <c r="N225" s="40"/>
      <c r="O225" s="46"/>
      <c r="P225" s="47"/>
      <c r="Q225" s="34" t="str">
        <f aca="false">IF(OR(O225="",P225=""),"",ROUND(O225*P225,2))</f>
        <v/>
      </c>
      <c r="R225" s="48"/>
      <c r="S225" s="46"/>
      <c r="T225" s="33" t="str">
        <f aca="false">IF(I225="","",IFERROR(INDEX(参数表!$H$13:$H$212,MATCH(I225,参数表!$A$13:$A$212,0)),"SKU未建档"))</f>
        <v/>
      </c>
      <c r="U225" s="34" t="str">
        <f aca="false">IF(A225="","",IF(参数表!$B$6="外贸企业",IF(S225="","",S225),IF(Q225="","",Q225)))</f>
        <v/>
      </c>
      <c r="V225" s="34" t="str">
        <f aca="false">IF(OR(U225="",NOT(ISNUMBER(T225))),"",ROUND(U225*T225,2))</f>
        <v/>
      </c>
      <c r="W225" s="43"/>
      <c r="X225" s="48"/>
      <c r="Y225" s="45"/>
      <c r="Z225" s="41"/>
      <c r="AA225" s="32" t="str">
        <f aca="false">IF(OR(L225="",Y225=""),"",Y225-L225)</f>
        <v/>
      </c>
      <c r="AB225" s="43"/>
      <c r="AC225" s="43"/>
    </row>
    <row r="226" customFormat="false" ht="21.75" hidden="false" customHeight="true" outlineLevel="0" collapsed="false">
      <c r="A226" s="29" t="str">
        <f aca="false">IF(OR(B226="",C226=""),"",B226&amp;"-"&amp;C226)</f>
        <v/>
      </c>
      <c r="B226" s="48"/>
      <c r="C226" s="40"/>
      <c r="D226" s="41"/>
      <c r="E226" s="42"/>
      <c r="F226" s="48"/>
      <c r="G226" s="43"/>
      <c r="H226" s="43"/>
      <c r="I226" s="44"/>
      <c r="J226" s="36" t="str">
        <f aca="false">IF(I226="","",IFERROR(INDEX(参数表!$D$13:$D$212,MATCH(I226,参数表!$A$13:$A$212,0)),"SKU未建档"))</f>
        <v/>
      </c>
      <c r="K226" s="36" t="str">
        <f aca="false">IF(I226="","",IFERROR(INDEX(参数表!$F$13:$F$212,MATCH(I226,参数表!$A$13:$A$212,0)),"SKU未建档"))</f>
        <v/>
      </c>
      <c r="L226" s="45"/>
      <c r="M226" s="35" t="str">
        <f aca="false">IF(I226="","",IFERROR(INDEX(参数表!$G$13:$G$212,MATCH(I226,参数表!$A$13:$A$212,0)),"SKU未建档"))</f>
        <v/>
      </c>
      <c r="N226" s="40"/>
      <c r="O226" s="46"/>
      <c r="P226" s="47"/>
      <c r="Q226" s="34" t="str">
        <f aca="false">IF(OR(O226="",P226=""),"",ROUND(O226*P226,2))</f>
        <v/>
      </c>
      <c r="R226" s="48"/>
      <c r="S226" s="46"/>
      <c r="T226" s="33" t="str">
        <f aca="false">IF(I226="","",IFERROR(INDEX(参数表!$H$13:$H$212,MATCH(I226,参数表!$A$13:$A$212,0)),"SKU未建档"))</f>
        <v/>
      </c>
      <c r="U226" s="34" t="str">
        <f aca="false">IF(A226="","",IF(参数表!$B$6="外贸企业",IF(S226="","",S226),IF(Q226="","",Q226)))</f>
        <v/>
      </c>
      <c r="V226" s="34" t="str">
        <f aca="false">IF(OR(U226="",NOT(ISNUMBER(T226))),"",ROUND(U226*T226,2))</f>
        <v/>
      </c>
      <c r="W226" s="43"/>
      <c r="X226" s="48"/>
      <c r="Y226" s="45"/>
      <c r="Z226" s="41"/>
      <c r="AA226" s="32" t="str">
        <f aca="false">IF(OR(L226="",Y226=""),"",Y226-L226)</f>
        <v/>
      </c>
      <c r="AB226" s="43"/>
      <c r="AC226" s="43"/>
    </row>
    <row r="227" customFormat="false" ht="21.75" hidden="false" customHeight="true" outlineLevel="0" collapsed="false">
      <c r="A227" s="29" t="str">
        <f aca="false">IF(OR(B227="",C227=""),"",B227&amp;"-"&amp;C227)</f>
        <v/>
      </c>
      <c r="B227" s="48"/>
      <c r="C227" s="40"/>
      <c r="D227" s="41"/>
      <c r="E227" s="42"/>
      <c r="F227" s="48"/>
      <c r="G227" s="43"/>
      <c r="H227" s="43"/>
      <c r="I227" s="44"/>
      <c r="J227" s="36" t="str">
        <f aca="false">IF(I227="","",IFERROR(INDEX(参数表!$D$13:$D$212,MATCH(I227,参数表!$A$13:$A$212,0)),"SKU未建档"))</f>
        <v/>
      </c>
      <c r="K227" s="36" t="str">
        <f aca="false">IF(I227="","",IFERROR(INDEX(参数表!$F$13:$F$212,MATCH(I227,参数表!$A$13:$A$212,0)),"SKU未建档"))</f>
        <v/>
      </c>
      <c r="L227" s="45"/>
      <c r="M227" s="35" t="str">
        <f aca="false">IF(I227="","",IFERROR(INDEX(参数表!$G$13:$G$212,MATCH(I227,参数表!$A$13:$A$212,0)),"SKU未建档"))</f>
        <v/>
      </c>
      <c r="N227" s="40"/>
      <c r="O227" s="46"/>
      <c r="P227" s="47"/>
      <c r="Q227" s="34" t="str">
        <f aca="false">IF(OR(O227="",P227=""),"",ROUND(O227*P227,2))</f>
        <v/>
      </c>
      <c r="R227" s="48"/>
      <c r="S227" s="46"/>
      <c r="T227" s="33" t="str">
        <f aca="false">IF(I227="","",IFERROR(INDEX(参数表!$H$13:$H$212,MATCH(I227,参数表!$A$13:$A$212,0)),"SKU未建档"))</f>
        <v/>
      </c>
      <c r="U227" s="34" t="str">
        <f aca="false">IF(A227="","",IF(参数表!$B$6="外贸企业",IF(S227="","",S227),IF(Q227="","",Q227)))</f>
        <v/>
      </c>
      <c r="V227" s="34" t="str">
        <f aca="false">IF(OR(U227="",NOT(ISNUMBER(T227))),"",ROUND(U227*T227,2))</f>
        <v/>
      </c>
      <c r="W227" s="43"/>
      <c r="X227" s="48"/>
      <c r="Y227" s="45"/>
      <c r="Z227" s="41"/>
      <c r="AA227" s="32" t="str">
        <f aca="false">IF(OR(L227="",Y227=""),"",Y227-L227)</f>
        <v/>
      </c>
      <c r="AB227" s="43"/>
      <c r="AC227" s="43"/>
    </row>
    <row r="228" customFormat="false" ht="21.75" hidden="false" customHeight="true" outlineLevel="0" collapsed="false">
      <c r="A228" s="29" t="str">
        <f aca="false">IF(OR(B228="",C228=""),"",B228&amp;"-"&amp;C228)</f>
        <v/>
      </c>
      <c r="B228" s="48"/>
      <c r="C228" s="40"/>
      <c r="D228" s="41"/>
      <c r="E228" s="42"/>
      <c r="F228" s="48"/>
      <c r="G228" s="43"/>
      <c r="H228" s="43"/>
      <c r="I228" s="44"/>
      <c r="J228" s="36" t="str">
        <f aca="false">IF(I228="","",IFERROR(INDEX(参数表!$D$13:$D$212,MATCH(I228,参数表!$A$13:$A$212,0)),"SKU未建档"))</f>
        <v/>
      </c>
      <c r="K228" s="36" t="str">
        <f aca="false">IF(I228="","",IFERROR(INDEX(参数表!$F$13:$F$212,MATCH(I228,参数表!$A$13:$A$212,0)),"SKU未建档"))</f>
        <v/>
      </c>
      <c r="L228" s="45"/>
      <c r="M228" s="35" t="str">
        <f aca="false">IF(I228="","",IFERROR(INDEX(参数表!$G$13:$G$212,MATCH(I228,参数表!$A$13:$A$212,0)),"SKU未建档"))</f>
        <v/>
      </c>
      <c r="N228" s="40"/>
      <c r="O228" s="46"/>
      <c r="P228" s="47"/>
      <c r="Q228" s="34" t="str">
        <f aca="false">IF(OR(O228="",P228=""),"",ROUND(O228*P228,2))</f>
        <v/>
      </c>
      <c r="R228" s="48"/>
      <c r="S228" s="46"/>
      <c r="T228" s="33" t="str">
        <f aca="false">IF(I228="","",IFERROR(INDEX(参数表!$H$13:$H$212,MATCH(I228,参数表!$A$13:$A$212,0)),"SKU未建档"))</f>
        <v/>
      </c>
      <c r="U228" s="34" t="str">
        <f aca="false">IF(A228="","",IF(参数表!$B$6="外贸企业",IF(S228="","",S228),IF(Q228="","",Q228)))</f>
        <v/>
      </c>
      <c r="V228" s="34" t="str">
        <f aca="false">IF(OR(U228="",NOT(ISNUMBER(T228))),"",ROUND(U228*T228,2))</f>
        <v/>
      </c>
      <c r="W228" s="43"/>
      <c r="X228" s="48"/>
      <c r="Y228" s="45"/>
      <c r="Z228" s="41"/>
      <c r="AA228" s="32" t="str">
        <f aca="false">IF(OR(L228="",Y228=""),"",Y228-L228)</f>
        <v/>
      </c>
      <c r="AB228" s="43"/>
      <c r="AC228" s="43"/>
    </row>
    <row r="229" customFormat="false" ht="21.75" hidden="false" customHeight="true" outlineLevel="0" collapsed="false">
      <c r="A229" s="29" t="str">
        <f aca="false">IF(OR(B229="",C229=""),"",B229&amp;"-"&amp;C229)</f>
        <v/>
      </c>
      <c r="B229" s="48"/>
      <c r="C229" s="40"/>
      <c r="D229" s="41"/>
      <c r="E229" s="42"/>
      <c r="F229" s="48"/>
      <c r="G229" s="43"/>
      <c r="H229" s="43"/>
      <c r="I229" s="44"/>
      <c r="J229" s="36" t="str">
        <f aca="false">IF(I229="","",IFERROR(INDEX(参数表!$D$13:$D$212,MATCH(I229,参数表!$A$13:$A$212,0)),"SKU未建档"))</f>
        <v/>
      </c>
      <c r="K229" s="36" t="str">
        <f aca="false">IF(I229="","",IFERROR(INDEX(参数表!$F$13:$F$212,MATCH(I229,参数表!$A$13:$A$212,0)),"SKU未建档"))</f>
        <v/>
      </c>
      <c r="L229" s="45"/>
      <c r="M229" s="35" t="str">
        <f aca="false">IF(I229="","",IFERROR(INDEX(参数表!$G$13:$G$212,MATCH(I229,参数表!$A$13:$A$212,0)),"SKU未建档"))</f>
        <v/>
      </c>
      <c r="N229" s="40"/>
      <c r="O229" s="46"/>
      <c r="P229" s="47"/>
      <c r="Q229" s="34" t="str">
        <f aca="false">IF(OR(O229="",P229=""),"",ROUND(O229*P229,2))</f>
        <v/>
      </c>
      <c r="R229" s="48"/>
      <c r="S229" s="46"/>
      <c r="T229" s="33" t="str">
        <f aca="false">IF(I229="","",IFERROR(INDEX(参数表!$H$13:$H$212,MATCH(I229,参数表!$A$13:$A$212,0)),"SKU未建档"))</f>
        <v/>
      </c>
      <c r="U229" s="34" t="str">
        <f aca="false">IF(A229="","",IF(参数表!$B$6="外贸企业",IF(S229="","",S229),IF(Q229="","",Q229)))</f>
        <v/>
      </c>
      <c r="V229" s="34" t="str">
        <f aca="false">IF(OR(U229="",NOT(ISNUMBER(T229))),"",ROUND(U229*T229,2))</f>
        <v/>
      </c>
      <c r="W229" s="43"/>
      <c r="X229" s="48"/>
      <c r="Y229" s="45"/>
      <c r="Z229" s="41"/>
      <c r="AA229" s="32" t="str">
        <f aca="false">IF(OR(L229="",Y229=""),"",Y229-L229)</f>
        <v/>
      </c>
      <c r="AB229" s="43"/>
      <c r="AC229" s="43"/>
    </row>
    <row r="230" customFormat="false" ht="21.75" hidden="false" customHeight="true" outlineLevel="0" collapsed="false">
      <c r="A230" s="29" t="str">
        <f aca="false">IF(OR(B230="",C230=""),"",B230&amp;"-"&amp;C230)</f>
        <v/>
      </c>
      <c r="B230" s="48"/>
      <c r="C230" s="40"/>
      <c r="D230" s="41"/>
      <c r="E230" s="42"/>
      <c r="F230" s="48"/>
      <c r="G230" s="43"/>
      <c r="H230" s="43"/>
      <c r="I230" s="44"/>
      <c r="J230" s="36" t="str">
        <f aca="false">IF(I230="","",IFERROR(INDEX(参数表!$D$13:$D$212,MATCH(I230,参数表!$A$13:$A$212,0)),"SKU未建档"))</f>
        <v/>
      </c>
      <c r="K230" s="36" t="str">
        <f aca="false">IF(I230="","",IFERROR(INDEX(参数表!$F$13:$F$212,MATCH(I230,参数表!$A$13:$A$212,0)),"SKU未建档"))</f>
        <v/>
      </c>
      <c r="L230" s="45"/>
      <c r="M230" s="35" t="str">
        <f aca="false">IF(I230="","",IFERROR(INDEX(参数表!$G$13:$G$212,MATCH(I230,参数表!$A$13:$A$212,0)),"SKU未建档"))</f>
        <v/>
      </c>
      <c r="N230" s="40"/>
      <c r="O230" s="46"/>
      <c r="P230" s="47"/>
      <c r="Q230" s="34" t="str">
        <f aca="false">IF(OR(O230="",P230=""),"",ROUND(O230*P230,2))</f>
        <v/>
      </c>
      <c r="R230" s="48"/>
      <c r="S230" s="46"/>
      <c r="T230" s="33" t="str">
        <f aca="false">IF(I230="","",IFERROR(INDEX(参数表!$H$13:$H$212,MATCH(I230,参数表!$A$13:$A$212,0)),"SKU未建档"))</f>
        <v/>
      </c>
      <c r="U230" s="34" t="str">
        <f aca="false">IF(A230="","",IF(参数表!$B$6="外贸企业",IF(S230="","",S230),IF(Q230="","",Q230)))</f>
        <v/>
      </c>
      <c r="V230" s="34" t="str">
        <f aca="false">IF(OR(U230="",NOT(ISNUMBER(T230))),"",ROUND(U230*T230,2))</f>
        <v/>
      </c>
      <c r="W230" s="43"/>
      <c r="X230" s="48"/>
      <c r="Y230" s="45"/>
      <c r="Z230" s="41"/>
      <c r="AA230" s="32" t="str">
        <f aca="false">IF(OR(L230="",Y230=""),"",Y230-L230)</f>
        <v/>
      </c>
      <c r="AB230" s="43"/>
      <c r="AC230" s="43"/>
    </row>
    <row r="231" customFormat="false" ht="21.75" hidden="false" customHeight="true" outlineLevel="0" collapsed="false">
      <c r="A231" s="29" t="str">
        <f aca="false">IF(OR(B231="",C231=""),"",B231&amp;"-"&amp;C231)</f>
        <v/>
      </c>
      <c r="B231" s="48"/>
      <c r="C231" s="40"/>
      <c r="D231" s="41"/>
      <c r="E231" s="42"/>
      <c r="F231" s="48"/>
      <c r="G231" s="43"/>
      <c r="H231" s="43"/>
      <c r="I231" s="44"/>
      <c r="J231" s="36" t="str">
        <f aca="false">IF(I231="","",IFERROR(INDEX(参数表!$D$13:$D$212,MATCH(I231,参数表!$A$13:$A$212,0)),"SKU未建档"))</f>
        <v/>
      </c>
      <c r="K231" s="36" t="str">
        <f aca="false">IF(I231="","",IFERROR(INDEX(参数表!$F$13:$F$212,MATCH(I231,参数表!$A$13:$A$212,0)),"SKU未建档"))</f>
        <v/>
      </c>
      <c r="L231" s="45"/>
      <c r="M231" s="35" t="str">
        <f aca="false">IF(I231="","",IFERROR(INDEX(参数表!$G$13:$G$212,MATCH(I231,参数表!$A$13:$A$212,0)),"SKU未建档"))</f>
        <v/>
      </c>
      <c r="N231" s="40"/>
      <c r="O231" s="46"/>
      <c r="P231" s="47"/>
      <c r="Q231" s="34" t="str">
        <f aca="false">IF(OR(O231="",P231=""),"",ROUND(O231*P231,2))</f>
        <v/>
      </c>
      <c r="R231" s="48"/>
      <c r="S231" s="46"/>
      <c r="T231" s="33" t="str">
        <f aca="false">IF(I231="","",IFERROR(INDEX(参数表!$H$13:$H$212,MATCH(I231,参数表!$A$13:$A$212,0)),"SKU未建档"))</f>
        <v/>
      </c>
      <c r="U231" s="34" t="str">
        <f aca="false">IF(A231="","",IF(参数表!$B$6="外贸企业",IF(S231="","",S231),IF(Q231="","",Q231)))</f>
        <v/>
      </c>
      <c r="V231" s="34" t="str">
        <f aca="false">IF(OR(U231="",NOT(ISNUMBER(T231))),"",ROUND(U231*T231,2))</f>
        <v/>
      </c>
      <c r="W231" s="43"/>
      <c r="X231" s="48"/>
      <c r="Y231" s="45"/>
      <c r="Z231" s="41"/>
      <c r="AA231" s="32" t="str">
        <f aca="false">IF(OR(L231="",Y231=""),"",Y231-L231)</f>
        <v/>
      </c>
      <c r="AB231" s="43"/>
      <c r="AC231" s="43"/>
    </row>
    <row r="232" customFormat="false" ht="21.75" hidden="false" customHeight="true" outlineLevel="0" collapsed="false">
      <c r="A232" s="29" t="str">
        <f aca="false">IF(OR(B232="",C232=""),"",B232&amp;"-"&amp;C232)</f>
        <v/>
      </c>
      <c r="B232" s="48"/>
      <c r="C232" s="40"/>
      <c r="D232" s="41"/>
      <c r="E232" s="42"/>
      <c r="F232" s="48"/>
      <c r="G232" s="43"/>
      <c r="H232" s="43"/>
      <c r="I232" s="44"/>
      <c r="J232" s="36" t="str">
        <f aca="false">IF(I232="","",IFERROR(INDEX(参数表!$D$13:$D$212,MATCH(I232,参数表!$A$13:$A$212,0)),"SKU未建档"))</f>
        <v/>
      </c>
      <c r="K232" s="36" t="str">
        <f aca="false">IF(I232="","",IFERROR(INDEX(参数表!$F$13:$F$212,MATCH(I232,参数表!$A$13:$A$212,0)),"SKU未建档"))</f>
        <v/>
      </c>
      <c r="L232" s="45"/>
      <c r="M232" s="35" t="str">
        <f aca="false">IF(I232="","",IFERROR(INDEX(参数表!$G$13:$G$212,MATCH(I232,参数表!$A$13:$A$212,0)),"SKU未建档"))</f>
        <v/>
      </c>
      <c r="N232" s="40"/>
      <c r="O232" s="46"/>
      <c r="P232" s="47"/>
      <c r="Q232" s="34" t="str">
        <f aca="false">IF(OR(O232="",P232=""),"",ROUND(O232*P232,2))</f>
        <v/>
      </c>
      <c r="R232" s="48"/>
      <c r="S232" s="46"/>
      <c r="T232" s="33" t="str">
        <f aca="false">IF(I232="","",IFERROR(INDEX(参数表!$H$13:$H$212,MATCH(I232,参数表!$A$13:$A$212,0)),"SKU未建档"))</f>
        <v/>
      </c>
      <c r="U232" s="34" t="str">
        <f aca="false">IF(A232="","",IF(参数表!$B$6="外贸企业",IF(S232="","",S232),IF(Q232="","",Q232)))</f>
        <v/>
      </c>
      <c r="V232" s="34" t="str">
        <f aca="false">IF(OR(U232="",NOT(ISNUMBER(T232))),"",ROUND(U232*T232,2))</f>
        <v/>
      </c>
      <c r="W232" s="43"/>
      <c r="X232" s="48"/>
      <c r="Y232" s="45"/>
      <c r="Z232" s="41"/>
      <c r="AA232" s="32" t="str">
        <f aca="false">IF(OR(L232="",Y232=""),"",Y232-L232)</f>
        <v/>
      </c>
      <c r="AB232" s="43"/>
      <c r="AC232" s="43"/>
    </row>
    <row r="233" customFormat="false" ht="21.75" hidden="false" customHeight="true" outlineLevel="0" collapsed="false">
      <c r="A233" s="29" t="str">
        <f aca="false">IF(OR(B233="",C233=""),"",B233&amp;"-"&amp;C233)</f>
        <v/>
      </c>
      <c r="B233" s="48"/>
      <c r="C233" s="40"/>
      <c r="D233" s="41"/>
      <c r="E233" s="42"/>
      <c r="F233" s="48"/>
      <c r="G233" s="43"/>
      <c r="H233" s="43"/>
      <c r="I233" s="44"/>
      <c r="J233" s="36" t="str">
        <f aca="false">IF(I233="","",IFERROR(INDEX(参数表!$D$13:$D$212,MATCH(I233,参数表!$A$13:$A$212,0)),"SKU未建档"))</f>
        <v/>
      </c>
      <c r="K233" s="36" t="str">
        <f aca="false">IF(I233="","",IFERROR(INDEX(参数表!$F$13:$F$212,MATCH(I233,参数表!$A$13:$A$212,0)),"SKU未建档"))</f>
        <v/>
      </c>
      <c r="L233" s="45"/>
      <c r="M233" s="35" t="str">
        <f aca="false">IF(I233="","",IFERROR(INDEX(参数表!$G$13:$G$212,MATCH(I233,参数表!$A$13:$A$212,0)),"SKU未建档"))</f>
        <v/>
      </c>
      <c r="N233" s="40"/>
      <c r="O233" s="46"/>
      <c r="P233" s="47"/>
      <c r="Q233" s="34" t="str">
        <f aca="false">IF(OR(O233="",P233=""),"",ROUND(O233*P233,2))</f>
        <v/>
      </c>
      <c r="R233" s="48"/>
      <c r="S233" s="46"/>
      <c r="T233" s="33" t="str">
        <f aca="false">IF(I233="","",IFERROR(INDEX(参数表!$H$13:$H$212,MATCH(I233,参数表!$A$13:$A$212,0)),"SKU未建档"))</f>
        <v/>
      </c>
      <c r="U233" s="34" t="str">
        <f aca="false">IF(A233="","",IF(参数表!$B$6="外贸企业",IF(S233="","",S233),IF(Q233="","",Q233)))</f>
        <v/>
      </c>
      <c r="V233" s="34" t="str">
        <f aca="false">IF(OR(U233="",NOT(ISNUMBER(T233))),"",ROUND(U233*T233,2))</f>
        <v/>
      </c>
      <c r="W233" s="43"/>
      <c r="X233" s="48"/>
      <c r="Y233" s="45"/>
      <c r="Z233" s="41"/>
      <c r="AA233" s="32" t="str">
        <f aca="false">IF(OR(L233="",Y233=""),"",Y233-L233)</f>
        <v/>
      </c>
      <c r="AB233" s="43"/>
      <c r="AC233" s="43"/>
    </row>
    <row r="234" customFormat="false" ht="21.75" hidden="false" customHeight="true" outlineLevel="0" collapsed="false">
      <c r="A234" s="29" t="str">
        <f aca="false">IF(OR(B234="",C234=""),"",B234&amp;"-"&amp;C234)</f>
        <v/>
      </c>
      <c r="B234" s="48"/>
      <c r="C234" s="40"/>
      <c r="D234" s="41"/>
      <c r="E234" s="42"/>
      <c r="F234" s="48"/>
      <c r="G234" s="43"/>
      <c r="H234" s="43"/>
      <c r="I234" s="44"/>
      <c r="J234" s="36" t="str">
        <f aca="false">IF(I234="","",IFERROR(INDEX(参数表!$D$13:$D$212,MATCH(I234,参数表!$A$13:$A$212,0)),"SKU未建档"))</f>
        <v/>
      </c>
      <c r="K234" s="36" t="str">
        <f aca="false">IF(I234="","",IFERROR(INDEX(参数表!$F$13:$F$212,MATCH(I234,参数表!$A$13:$A$212,0)),"SKU未建档"))</f>
        <v/>
      </c>
      <c r="L234" s="45"/>
      <c r="M234" s="35" t="str">
        <f aca="false">IF(I234="","",IFERROR(INDEX(参数表!$G$13:$G$212,MATCH(I234,参数表!$A$13:$A$212,0)),"SKU未建档"))</f>
        <v/>
      </c>
      <c r="N234" s="40"/>
      <c r="O234" s="46"/>
      <c r="P234" s="47"/>
      <c r="Q234" s="34" t="str">
        <f aca="false">IF(OR(O234="",P234=""),"",ROUND(O234*P234,2))</f>
        <v/>
      </c>
      <c r="R234" s="48"/>
      <c r="S234" s="46"/>
      <c r="T234" s="33" t="str">
        <f aca="false">IF(I234="","",IFERROR(INDEX(参数表!$H$13:$H$212,MATCH(I234,参数表!$A$13:$A$212,0)),"SKU未建档"))</f>
        <v/>
      </c>
      <c r="U234" s="34" t="str">
        <f aca="false">IF(A234="","",IF(参数表!$B$6="外贸企业",IF(S234="","",S234),IF(Q234="","",Q234)))</f>
        <v/>
      </c>
      <c r="V234" s="34" t="str">
        <f aca="false">IF(OR(U234="",NOT(ISNUMBER(T234))),"",ROUND(U234*T234,2))</f>
        <v/>
      </c>
      <c r="W234" s="43"/>
      <c r="X234" s="48"/>
      <c r="Y234" s="45"/>
      <c r="Z234" s="41"/>
      <c r="AA234" s="32" t="str">
        <f aca="false">IF(OR(L234="",Y234=""),"",Y234-L234)</f>
        <v/>
      </c>
      <c r="AB234" s="43"/>
      <c r="AC234" s="43"/>
    </row>
    <row r="235" customFormat="false" ht="21.75" hidden="false" customHeight="true" outlineLevel="0" collapsed="false">
      <c r="A235" s="29" t="str">
        <f aca="false">IF(OR(B235="",C235=""),"",B235&amp;"-"&amp;C235)</f>
        <v/>
      </c>
      <c r="B235" s="48"/>
      <c r="C235" s="40"/>
      <c r="D235" s="41"/>
      <c r="E235" s="42"/>
      <c r="F235" s="48"/>
      <c r="G235" s="43"/>
      <c r="H235" s="43"/>
      <c r="I235" s="44"/>
      <c r="J235" s="36" t="str">
        <f aca="false">IF(I235="","",IFERROR(INDEX(参数表!$D$13:$D$212,MATCH(I235,参数表!$A$13:$A$212,0)),"SKU未建档"))</f>
        <v/>
      </c>
      <c r="K235" s="36" t="str">
        <f aca="false">IF(I235="","",IFERROR(INDEX(参数表!$F$13:$F$212,MATCH(I235,参数表!$A$13:$A$212,0)),"SKU未建档"))</f>
        <v/>
      </c>
      <c r="L235" s="45"/>
      <c r="M235" s="35" t="str">
        <f aca="false">IF(I235="","",IFERROR(INDEX(参数表!$G$13:$G$212,MATCH(I235,参数表!$A$13:$A$212,0)),"SKU未建档"))</f>
        <v/>
      </c>
      <c r="N235" s="40"/>
      <c r="O235" s="46"/>
      <c r="P235" s="47"/>
      <c r="Q235" s="34" t="str">
        <f aca="false">IF(OR(O235="",P235=""),"",ROUND(O235*P235,2))</f>
        <v/>
      </c>
      <c r="R235" s="48"/>
      <c r="S235" s="46"/>
      <c r="T235" s="33" t="str">
        <f aca="false">IF(I235="","",IFERROR(INDEX(参数表!$H$13:$H$212,MATCH(I235,参数表!$A$13:$A$212,0)),"SKU未建档"))</f>
        <v/>
      </c>
      <c r="U235" s="34" t="str">
        <f aca="false">IF(A235="","",IF(参数表!$B$6="外贸企业",IF(S235="","",S235),IF(Q235="","",Q235)))</f>
        <v/>
      </c>
      <c r="V235" s="34" t="str">
        <f aca="false">IF(OR(U235="",NOT(ISNUMBER(T235))),"",ROUND(U235*T235,2))</f>
        <v/>
      </c>
      <c r="W235" s="43"/>
      <c r="X235" s="48"/>
      <c r="Y235" s="45"/>
      <c r="Z235" s="41"/>
      <c r="AA235" s="32" t="str">
        <f aca="false">IF(OR(L235="",Y235=""),"",Y235-L235)</f>
        <v/>
      </c>
      <c r="AB235" s="43"/>
      <c r="AC235" s="43"/>
    </row>
    <row r="236" customFormat="false" ht="21.75" hidden="false" customHeight="true" outlineLevel="0" collapsed="false">
      <c r="A236" s="29" t="str">
        <f aca="false">IF(OR(B236="",C236=""),"",B236&amp;"-"&amp;C236)</f>
        <v/>
      </c>
      <c r="B236" s="48"/>
      <c r="C236" s="40"/>
      <c r="D236" s="41"/>
      <c r="E236" s="42"/>
      <c r="F236" s="48"/>
      <c r="G236" s="43"/>
      <c r="H236" s="43"/>
      <c r="I236" s="44"/>
      <c r="J236" s="36" t="str">
        <f aca="false">IF(I236="","",IFERROR(INDEX(参数表!$D$13:$D$212,MATCH(I236,参数表!$A$13:$A$212,0)),"SKU未建档"))</f>
        <v/>
      </c>
      <c r="K236" s="36" t="str">
        <f aca="false">IF(I236="","",IFERROR(INDEX(参数表!$F$13:$F$212,MATCH(I236,参数表!$A$13:$A$212,0)),"SKU未建档"))</f>
        <v/>
      </c>
      <c r="L236" s="45"/>
      <c r="M236" s="35" t="str">
        <f aca="false">IF(I236="","",IFERROR(INDEX(参数表!$G$13:$G$212,MATCH(I236,参数表!$A$13:$A$212,0)),"SKU未建档"))</f>
        <v/>
      </c>
      <c r="N236" s="40"/>
      <c r="O236" s="46"/>
      <c r="P236" s="47"/>
      <c r="Q236" s="34" t="str">
        <f aca="false">IF(OR(O236="",P236=""),"",ROUND(O236*P236,2))</f>
        <v/>
      </c>
      <c r="R236" s="48"/>
      <c r="S236" s="46"/>
      <c r="T236" s="33" t="str">
        <f aca="false">IF(I236="","",IFERROR(INDEX(参数表!$H$13:$H$212,MATCH(I236,参数表!$A$13:$A$212,0)),"SKU未建档"))</f>
        <v/>
      </c>
      <c r="U236" s="34" t="str">
        <f aca="false">IF(A236="","",IF(参数表!$B$6="外贸企业",IF(S236="","",S236),IF(Q236="","",Q236)))</f>
        <v/>
      </c>
      <c r="V236" s="34" t="str">
        <f aca="false">IF(OR(U236="",NOT(ISNUMBER(T236))),"",ROUND(U236*T236,2))</f>
        <v/>
      </c>
      <c r="W236" s="43"/>
      <c r="X236" s="48"/>
      <c r="Y236" s="45"/>
      <c r="Z236" s="41"/>
      <c r="AA236" s="32" t="str">
        <f aca="false">IF(OR(L236="",Y236=""),"",Y236-L236)</f>
        <v/>
      </c>
      <c r="AB236" s="43"/>
      <c r="AC236" s="43"/>
    </row>
    <row r="237" customFormat="false" ht="21.75" hidden="false" customHeight="true" outlineLevel="0" collapsed="false">
      <c r="A237" s="29" t="str">
        <f aca="false">IF(OR(B237="",C237=""),"",B237&amp;"-"&amp;C237)</f>
        <v/>
      </c>
      <c r="B237" s="48"/>
      <c r="C237" s="40"/>
      <c r="D237" s="41"/>
      <c r="E237" s="42"/>
      <c r="F237" s="48"/>
      <c r="G237" s="43"/>
      <c r="H237" s="43"/>
      <c r="I237" s="44"/>
      <c r="J237" s="36" t="str">
        <f aca="false">IF(I237="","",IFERROR(INDEX(参数表!$D$13:$D$212,MATCH(I237,参数表!$A$13:$A$212,0)),"SKU未建档"))</f>
        <v/>
      </c>
      <c r="K237" s="36" t="str">
        <f aca="false">IF(I237="","",IFERROR(INDEX(参数表!$F$13:$F$212,MATCH(I237,参数表!$A$13:$A$212,0)),"SKU未建档"))</f>
        <v/>
      </c>
      <c r="L237" s="45"/>
      <c r="M237" s="35" t="str">
        <f aca="false">IF(I237="","",IFERROR(INDEX(参数表!$G$13:$G$212,MATCH(I237,参数表!$A$13:$A$212,0)),"SKU未建档"))</f>
        <v/>
      </c>
      <c r="N237" s="40"/>
      <c r="O237" s="46"/>
      <c r="P237" s="47"/>
      <c r="Q237" s="34" t="str">
        <f aca="false">IF(OR(O237="",P237=""),"",ROUND(O237*P237,2))</f>
        <v/>
      </c>
      <c r="R237" s="48"/>
      <c r="S237" s="46"/>
      <c r="T237" s="33" t="str">
        <f aca="false">IF(I237="","",IFERROR(INDEX(参数表!$H$13:$H$212,MATCH(I237,参数表!$A$13:$A$212,0)),"SKU未建档"))</f>
        <v/>
      </c>
      <c r="U237" s="34" t="str">
        <f aca="false">IF(A237="","",IF(参数表!$B$6="外贸企业",IF(S237="","",S237),IF(Q237="","",Q237)))</f>
        <v/>
      </c>
      <c r="V237" s="34" t="str">
        <f aca="false">IF(OR(U237="",NOT(ISNUMBER(T237))),"",ROUND(U237*T237,2))</f>
        <v/>
      </c>
      <c r="W237" s="43"/>
      <c r="X237" s="48"/>
      <c r="Y237" s="45"/>
      <c r="Z237" s="41"/>
      <c r="AA237" s="32" t="str">
        <f aca="false">IF(OR(L237="",Y237=""),"",Y237-L237)</f>
        <v/>
      </c>
      <c r="AB237" s="43"/>
      <c r="AC237" s="43"/>
    </row>
    <row r="238" customFormat="false" ht="21.75" hidden="false" customHeight="true" outlineLevel="0" collapsed="false">
      <c r="A238" s="29" t="str">
        <f aca="false">IF(OR(B238="",C238=""),"",B238&amp;"-"&amp;C238)</f>
        <v/>
      </c>
      <c r="B238" s="48"/>
      <c r="C238" s="40"/>
      <c r="D238" s="41"/>
      <c r="E238" s="42"/>
      <c r="F238" s="48"/>
      <c r="G238" s="43"/>
      <c r="H238" s="43"/>
      <c r="I238" s="44"/>
      <c r="J238" s="36" t="str">
        <f aca="false">IF(I238="","",IFERROR(INDEX(参数表!$D$13:$D$212,MATCH(I238,参数表!$A$13:$A$212,0)),"SKU未建档"))</f>
        <v/>
      </c>
      <c r="K238" s="36" t="str">
        <f aca="false">IF(I238="","",IFERROR(INDEX(参数表!$F$13:$F$212,MATCH(I238,参数表!$A$13:$A$212,0)),"SKU未建档"))</f>
        <v/>
      </c>
      <c r="L238" s="45"/>
      <c r="M238" s="35" t="str">
        <f aca="false">IF(I238="","",IFERROR(INDEX(参数表!$G$13:$G$212,MATCH(I238,参数表!$A$13:$A$212,0)),"SKU未建档"))</f>
        <v/>
      </c>
      <c r="N238" s="40"/>
      <c r="O238" s="46"/>
      <c r="P238" s="47"/>
      <c r="Q238" s="34" t="str">
        <f aca="false">IF(OR(O238="",P238=""),"",ROUND(O238*P238,2))</f>
        <v/>
      </c>
      <c r="R238" s="48"/>
      <c r="S238" s="46"/>
      <c r="T238" s="33" t="str">
        <f aca="false">IF(I238="","",IFERROR(INDEX(参数表!$H$13:$H$212,MATCH(I238,参数表!$A$13:$A$212,0)),"SKU未建档"))</f>
        <v/>
      </c>
      <c r="U238" s="34" t="str">
        <f aca="false">IF(A238="","",IF(参数表!$B$6="外贸企业",IF(S238="","",S238),IF(Q238="","",Q238)))</f>
        <v/>
      </c>
      <c r="V238" s="34" t="str">
        <f aca="false">IF(OR(U238="",NOT(ISNUMBER(T238))),"",ROUND(U238*T238,2))</f>
        <v/>
      </c>
      <c r="W238" s="43"/>
      <c r="X238" s="48"/>
      <c r="Y238" s="45"/>
      <c r="Z238" s="41"/>
      <c r="AA238" s="32" t="str">
        <f aca="false">IF(OR(L238="",Y238=""),"",Y238-L238)</f>
        <v/>
      </c>
      <c r="AB238" s="43"/>
      <c r="AC238" s="43"/>
    </row>
    <row r="239" customFormat="false" ht="21.75" hidden="false" customHeight="true" outlineLevel="0" collapsed="false">
      <c r="A239" s="29" t="str">
        <f aca="false">IF(OR(B239="",C239=""),"",B239&amp;"-"&amp;C239)</f>
        <v/>
      </c>
      <c r="B239" s="48"/>
      <c r="C239" s="40"/>
      <c r="D239" s="41"/>
      <c r="E239" s="42"/>
      <c r="F239" s="48"/>
      <c r="G239" s="43"/>
      <c r="H239" s="43"/>
      <c r="I239" s="44"/>
      <c r="J239" s="36" t="str">
        <f aca="false">IF(I239="","",IFERROR(INDEX(参数表!$D$13:$D$212,MATCH(I239,参数表!$A$13:$A$212,0)),"SKU未建档"))</f>
        <v/>
      </c>
      <c r="K239" s="36" t="str">
        <f aca="false">IF(I239="","",IFERROR(INDEX(参数表!$F$13:$F$212,MATCH(I239,参数表!$A$13:$A$212,0)),"SKU未建档"))</f>
        <v/>
      </c>
      <c r="L239" s="45"/>
      <c r="M239" s="35" t="str">
        <f aca="false">IF(I239="","",IFERROR(INDEX(参数表!$G$13:$G$212,MATCH(I239,参数表!$A$13:$A$212,0)),"SKU未建档"))</f>
        <v/>
      </c>
      <c r="N239" s="40"/>
      <c r="O239" s="46"/>
      <c r="P239" s="47"/>
      <c r="Q239" s="34" t="str">
        <f aca="false">IF(OR(O239="",P239=""),"",ROUND(O239*P239,2))</f>
        <v/>
      </c>
      <c r="R239" s="48"/>
      <c r="S239" s="46"/>
      <c r="T239" s="33" t="str">
        <f aca="false">IF(I239="","",IFERROR(INDEX(参数表!$H$13:$H$212,MATCH(I239,参数表!$A$13:$A$212,0)),"SKU未建档"))</f>
        <v/>
      </c>
      <c r="U239" s="34" t="str">
        <f aca="false">IF(A239="","",IF(参数表!$B$6="外贸企业",IF(S239="","",S239),IF(Q239="","",Q239)))</f>
        <v/>
      </c>
      <c r="V239" s="34" t="str">
        <f aca="false">IF(OR(U239="",NOT(ISNUMBER(T239))),"",ROUND(U239*T239,2))</f>
        <v/>
      </c>
      <c r="W239" s="43"/>
      <c r="X239" s="48"/>
      <c r="Y239" s="45"/>
      <c r="Z239" s="41"/>
      <c r="AA239" s="32" t="str">
        <f aca="false">IF(OR(L239="",Y239=""),"",Y239-L239)</f>
        <v/>
      </c>
      <c r="AB239" s="43"/>
      <c r="AC239" s="43"/>
    </row>
    <row r="240" customFormat="false" ht="21.75" hidden="false" customHeight="true" outlineLevel="0" collapsed="false">
      <c r="A240" s="29" t="str">
        <f aca="false">IF(OR(B240="",C240=""),"",B240&amp;"-"&amp;C240)</f>
        <v/>
      </c>
      <c r="B240" s="48"/>
      <c r="C240" s="40"/>
      <c r="D240" s="41"/>
      <c r="E240" s="42"/>
      <c r="F240" s="48"/>
      <c r="G240" s="43"/>
      <c r="H240" s="43"/>
      <c r="I240" s="44"/>
      <c r="J240" s="36" t="str">
        <f aca="false">IF(I240="","",IFERROR(INDEX(参数表!$D$13:$D$212,MATCH(I240,参数表!$A$13:$A$212,0)),"SKU未建档"))</f>
        <v/>
      </c>
      <c r="K240" s="36" t="str">
        <f aca="false">IF(I240="","",IFERROR(INDEX(参数表!$F$13:$F$212,MATCH(I240,参数表!$A$13:$A$212,0)),"SKU未建档"))</f>
        <v/>
      </c>
      <c r="L240" s="45"/>
      <c r="M240" s="35" t="str">
        <f aca="false">IF(I240="","",IFERROR(INDEX(参数表!$G$13:$G$212,MATCH(I240,参数表!$A$13:$A$212,0)),"SKU未建档"))</f>
        <v/>
      </c>
      <c r="N240" s="40"/>
      <c r="O240" s="46"/>
      <c r="P240" s="47"/>
      <c r="Q240" s="34" t="str">
        <f aca="false">IF(OR(O240="",P240=""),"",ROUND(O240*P240,2))</f>
        <v/>
      </c>
      <c r="R240" s="48"/>
      <c r="S240" s="46"/>
      <c r="T240" s="33" t="str">
        <f aca="false">IF(I240="","",IFERROR(INDEX(参数表!$H$13:$H$212,MATCH(I240,参数表!$A$13:$A$212,0)),"SKU未建档"))</f>
        <v/>
      </c>
      <c r="U240" s="34" t="str">
        <f aca="false">IF(A240="","",IF(参数表!$B$6="外贸企业",IF(S240="","",S240),IF(Q240="","",Q240)))</f>
        <v/>
      </c>
      <c r="V240" s="34" t="str">
        <f aca="false">IF(OR(U240="",NOT(ISNUMBER(T240))),"",ROUND(U240*T240,2))</f>
        <v/>
      </c>
      <c r="W240" s="43"/>
      <c r="X240" s="48"/>
      <c r="Y240" s="45"/>
      <c r="Z240" s="41"/>
      <c r="AA240" s="32" t="str">
        <f aca="false">IF(OR(L240="",Y240=""),"",Y240-L240)</f>
        <v/>
      </c>
      <c r="AB240" s="43"/>
      <c r="AC240" s="43"/>
    </row>
    <row r="241" customFormat="false" ht="21.75" hidden="false" customHeight="true" outlineLevel="0" collapsed="false">
      <c r="A241" s="29" t="str">
        <f aca="false">IF(OR(B241="",C241=""),"",B241&amp;"-"&amp;C241)</f>
        <v/>
      </c>
      <c r="B241" s="48"/>
      <c r="C241" s="40"/>
      <c r="D241" s="41"/>
      <c r="E241" s="42"/>
      <c r="F241" s="48"/>
      <c r="G241" s="43"/>
      <c r="H241" s="43"/>
      <c r="I241" s="44"/>
      <c r="J241" s="36" t="str">
        <f aca="false">IF(I241="","",IFERROR(INDEX(参数表!$D$13:$D$212,MATCH(I241,参数表!$A$13:$A$212,0)),"SKU未建档"))</f>
        <v/>
      </c>
      <c r="K241" s="36" t="str">
        <f aca="false">IF(I241="","",IFERROR(INDEX(参数表!$F$13:$F$212,MATCH(I241,参数表!$A$13:$A$212,0)),"SKU未建档"))</f>
        <v/>
      </c>
      <c r="L241" s="45"/>
      <c r="M241" s="35" t="str">
        <f aca="false">IF(I241="","",IFERROR(INDEX(参数表!$G$13:$G$212,MATCH(I241,参数表!$A$13:$A$212,0)),"SKU未建档"))</f>
        <v/>
      </c>
      <c r="N241" s="40"/>
      <c r="O241" s="46"/>
      <c r="P241" s="47"/>
      <c r="Q241" s="34" t="str">
        <f aca="false">IF(OR(O241="",P241=""),"",ROUND(O241*P241,2))</f>
        <v/>
      </c>
      <c r="R241" s="48"/>
      <c r="S241" s="46"/>
      <c r="T241" s="33" t="str">
        <f aca="false">IF(I241="","",IFERROR(INDEX(参数表!$H$13:$H$212,MATCH(I241,参数表!$A$13:$A$212,0)),"SKU未建档"))</f>
        <v/>
      </c>
      <c r="U241" s="34" t="str">
        <f aca="false">IF(A241="","",IF(参数表!$B$6="外贸企业",IF(S241="","",S241),IF(Q241="","",Q241)))</f>
        <v/>
      </c>
      <c r="V241" s="34" t="str">
        <f aca="false">IF(OR(U241="",NOT(ISNUMBER(T241))),"",ROUND(U241*T241,2))</f>
        <v/>
      </c>
      <c r="W241" s="43"/>
      <c r="X241" s="48"/>
      <c r="Y241" s="45"/>
      <c r="Z241" s="41"/>
      <c r="AA241" s="32" t="str">
        <f aca="false">IF(OR(L241="",Y241=""),"",Y241-L241)</f>
        <v/>
      </c>
      <c r="AB241" s="43"/>
      <c r="AC241" s="43"/>
    </row>
    <row r="242" customFormat="false" ht="21.75" hidden="false" customHeight="true" outlineLevel="0" collapsed="false">
      <c r="A242" s="29" t="str">
        <f aca="false">IF(OR(B242="",C242=""),"",B242&amp;"-"&amp;C242)</f>
        <v/>
      </c>
      <c r="B242" s="48"/>
      <c r="C242" s="40"/>
      <c r="D242" s="41"/>
      <c r="E242" s="42"/>
      <c r="F242" s="48"/>
      <c r="G242" s="43"/>
      <c r="H242" s="43"/>
      <c r="I242" s="44"/>
      <c r="J242" s="36" t="str">
        <f aca="false">IF(I242="","",IFERROR(INDEX(参数表!$D$13:$D$212,MATCH(I242,参数表!$A$13:$A$212,0)),"SKU未建档"))</f>
        <v/>
      </c>
      <c r="K242" s="36" t="str">
        <f aca="false">IF(I242="","",IFERROR(INDEX(参数表!$F$13:$F$212,MATCH(I242,参数表!$A$13:$A$212,0)),"SKU未建档"))</f>
        <v/>
      </c>
      <c r="L242" s="45"/>
      <c r="M242" s="35" t="str">
        <f aca="false">IF(I242="","",IFERROR(INDEX(参数表!$G$13:$G$212,MATCH(I242,参数表!$A$13:$A$212,0)),"SKU未建档"))</f>
        <v/>
      </c>
      <c r="N242" s="40"/>
      <c r="O242" s="46"/>
      <c r="P242" s="47"/>
      <c r="Q242" s="34" t="str">
        <f aca="false">IF(OR(O242="",P242=""),"",ROUND(O242*P242,2))</f>
        <v/>
      </c>
      <c r="R242" s="48"/>
      <c r="S242" s="46"/>
      <c r="T242" s="33" t="str">
        <f aca="false">IF(I242="","",IFERROR(INDEX(参数表!$H$13:$H$212,MATCH(I242,参数表!$A$13:$A$212,0)),"SKU未建档"))</f>
        <v/>
      </c>
      <c r="U242" s="34" t="str">
        <f aca="false">IF(A242="","",IF(参数表!$B$6="外贸企业",IF(S242="","",S242),IF(Q242="","",Q242)))</f>
        <v/>
      </c>
      <c r="V242" s="34" t="str">
        <f aca="false">IF(OR(U242="",NOT(ISNUMBER(T242))),"",ROUND(U242*T242,2))</f>
        <v/>
      </c>
      <c r="W242" s="43"/>
      <c r="X242" s="48"/>
      <c r="Y242" s="45"/>
      <c r="Z242" s="41"/>
      <c r="AA242" s="32" t="str">
        <f aca="false">IF(OR(L242="",Y242=""),"",Y242-L242)</f>
        <v/>
      </c>
      <c r="AB242" s="43"/>
      <c r="AC242" s="43"/>
    </row>
    <row r="243" customFormat="false" ht="21.75" hidden="false" customHeight="true" outlineLevel="0" collapsed="false">
      <c r="A243" s="29" t="str">
        <f aca="false">IF(OR(B243="",C243=""),"",B243&amp;"-"&amp;C243)</f>
        <v/>
      </c>
      <c r="B243" s="48"/>
      <c r="C243" s="40"/>
      <c r="D243" s="41"/>
      <c r="E243" s="42"/>
      <c r="F243" s="48"/>
      <c r="G243" s="43"/>
      <c r="H243" s="43"/>
      <c r="I243" s="44"/>
      <c r="J243" s="36" t="str">
        <f aca="false">IF(I243="","",IFERROR(INDEX(参数表!$D$13:$D$212,MATCH(I243,参数表!$A$13:$A$212,0)),"SKU未建档"))</f>
        <v/>
      </c>
      <c r="K243" s="36" t="str">
        <f aca="false">IF(I243="","",IFERROR(INDEX(参数表!$F$13:$F$212,MATCH(I243,参数表!$A$13:$A$212,0)),"SKU未建档"))</f>
        <v/>
      </c>
      <c r="L243" s="45"/>
      <c r="M243" s="35" t="str">
        <f aca="false">IF(I243="","",IFERROR(INDEX(参数表!$G$13:$G$212,MATCH(I243,参数表!$A$13:$A$212,0)),"SKU未建档"))</f>
        <v/>
      </c>
      <c r="N243" s="40"/>
      <c r="O243" s="46"/>
      <c r="P243" s="47"/>
      <c r="Q243" s="34" t="str">
        <f aca="false">IF(OR(O243="",P243=""),"",ROUND(O243*P243,2))</f>
        <v/>
      </c>
      <c r="R243" s="48"/>
      <c r="S243" s="46"/>
      <c r="T243" s="33" t="str">
        <f aca="false">IF(I243="","",IFERROR(INDEX(参数表!$H$13:$H$212,MATCH(I243,参数表!$A$13:$A$212,0)),"SKU未建档"))</f>
        <v/>
      </c>
      <c r="U243" s="34" t="str">
        <f aca="false">IF(A243="","",IF(参数表!$B$6="外贸企业",IF(S243="","",S243),IF(Q243="","",Q243)))</f>
        <v/>
      </c>
      <c r="V243" s="34" t="str">
        <f aca="false">IF(OR(U243="",NOT(ISNUMBER(T243))),"",ROUND(U243*T243,2))</f>
        <v/>
      </c>
      <c r="W243" s="43"/>
      <c r="X243" s="48"/>
      <c r="Y243" s="45"/>
      <c r="Z243" s="41"/>
      <c r="AA243" s="32" t="str">
        <f aca="false">IF(OR(L243="",Y243=""),"",Y243-L243)</f>
        <v/>
      </c>
      <c r="AB243" s="43"/>
      <c r="AC243" s="43"/>
    </row>
    <row r="244" customFormat="false" ht="21.75" hidden="false" customHeight="true" outlineLevel="0" collapsed="false">
      <c r="A244" s="29" t="str">
        <f aca="false">IF(OR(B244="",C244=""),"",B244&amp;"-"&amp;C244)</f>
        <v/>
      </c>
      <c r="B244" s="48"/>
      <c r="C244" s="40"/>
      <c r="D244" s="41"/>
      <c r="E244" s="42"/>
      <c r="F244" s="48"/>
      <c r="G244" s="43"/>
      <c r="H244" s="43"/>
      <c r="I244" s="44"/>
      <c r="J244" s="36" t="str">
        <f aca="false">IF(I244="","",IFERROR(INDEX(参数表!$D$13:$D$212,MATCH(I244,参数表!$A$13:$A$212,0)),"SKU未建档"))</f>
        <v/>
      </c>
      <c r="K244" s="36" t="str">
        <f aca="false">IF(I244="","",IFERROR(INDEX(参数表!$F$13:$F$212,MATCH(I244,参数表!$A$13:$A$212,0)),"SKU未建档"))</f>
        <v/>
      </c>
      <c r="L244" s="45"/>
      <c r="M244" s="35" t="str">
        <f aca="false">IF(I244="","",IFERROR(INDEX(参数表!$G$13:$G$212,MATCH(I244,参数表!$A$13:$A$212,0)),"SKU未建档"))</f>
        <v/>
      </c>
      <c r="N244" s="40"/>
      <c r="O244" s="46"/>
      <c r="P244" s="47"/>
      <c r="Q244" s="34" t="str">
        <f aca="false">IF(OR(O244="",P244=""),"",ROUND(O244*P244,2))</f>
        <v/>
      </c>
      <c r="R244" s="48"/>
      <c r="S244" s="46"/>
      <c r="T244" s="33" t="str">
        <f aca="false">IF(I244="","",IFERROR(INDEX(参数表!$H$13:$H$212,MATCH(I244,参数表!$A$13:$A$212,0)),"SKU未建档"))</f>
        <v/>
      </c>
      <c r="U244" s="34" t="str">
        <f aca="false">IF(A244="","",IF(参数表!$B$6="外贸企业",IF(S244="","",S244),IF(Q244="","",Q244)))</f>
        <v/>
      </c>
      <c r="V244" s="34" t="str">
        <f aca="false">IF(OR(U244="",NOT(ISNUMBER(T244))),"",ROUND(U244*T244,2))</f>
        <v/>
      </c>
      <c r="W244" s="43"/>
      <c r="X244" s="48"/>
      <c r="Y244" s="45"/>
      <c r="Z244" s="41"/>
      <c r="AA244" s="32" t="str">
        <f aca="false">IF(OR(L244="",Y244=""),"",Y244-L244)</f>
        <v/>
      </c>
      <c r="AB244" s="43"/>
      <c r="AC244" s="43"/>
    </row>
    <row r="245" customFormat="false" ht="21.75" hidden="false" customHeight="true" outlineLevel="0" collapsed="false">
      <c r="A245" s="29" t="str">
        <f aca="false">IF(OR(B245="",C245=""),"",B245&amp;"-"&amp;C245)</f>
        <v/>
      </c>
      <c r="B245" s="48"/>
      <c r="C245" s="40"/>
      <c r="D245" s="41"/>
      <c r="E245" s="42"/>
      <c r="F245" s="48"/>
      <c r="G245" s="43"/>
      <c r="H245" s="43"/>
      <c r="I245" s="44"/>
      <c r="J245" s="36" t="str">
        <f aca="false">IF(I245="","",IFERROR(INDEX(参数表!$D$13:$D$212,MATCH(I245,参数表!$A$13:$A$212,0)),"SKU未建档"))</f>
        <v/>
      </c>
      <c r="K245" s="36" t="str">
        <f aca="false">IF(I245="","",IFERROR(INDEX(参数表!$F$13:$F$212,MATCH(I245,参数表!$A$13:$A$212,0)),"SKU未建档"))</f>
        <v/>
      </c>
      <c r="L245" s="45"/>
      <c r="M245" s="35" t="str">
        <f aca="false">IF(I245="","",IFERROR(INDEX(参数表!$G$13:$G$212,MATCH(I245,参数表!$A$13:$A$212,0)),"SKU未建档"))</f>
        <v/>
      </c>
      <c r="N245" s="40"/>
      <c r="O245" s="46"/>
      <c r="P245" s="47"/>
      <c r="Q245" s="34" t="str">
        <f aca="false">IF(OR(O245="",P245=""),"",ROUND(O245*P245,2))</f>
        <v/>
      </c>
      <c r="R245" s="48"/>
      <c r="S245" s="46"/>
      <c r="T245" s="33" t="str">
        <f aca="false">IF(I245="","",IFERROR(INDEX(参数表!$H$13:$H$212,MATCH(I245,参数表!$A$13:$A$212,0)),"SKU未建档"))</f>
        <v/>
      </c>
      <c r="U245" s="34" t="str">
        <f aca="false">IF(A245="","",IF(参数表!$B$6="外贸企业",IF(S245="","",S245),IF(Q245="","",Q245)))</f>
        <v/>
      </c>
      <c r="V245" s="34" t="str">
        <f aca="false">IF(OR(U245="",NOT(ISNUMBER(T245))),"",ROUND(U245*T245,2))</f>
        <v/>
      </c>
      <c r="W245" s="43"/>
      <c r="X245" s="48"/>
      <c r="Y245" s="45"/>
      <c r="Z245" s="41"/>
      <c r="AA245" s="32" t="str">
        <f aca="false">IF(OR(L245="",Y245=""),"",Y245-L245)</f>
        <v/>
      </c>
      <c r="AB245" s="43"/>
      <c r="AC245" s="43"/>
    </row>
    <row r="246" customFormat="false" ht="21.75" hidden="false" customHeight="true" outlineLevel="0" collapsed="false">
      <c r="A246" s="29" t="str">
        <f aca="false">IF(OR(B246="",C246=""),"",B246&amp;"-"&amp;C246)</f>
        <v/>
      </c>
      <c r="B246" s="48"/>
      <c r="C246" s="40"/>
      <c r="D246" s="41"/>
      <c r="E246" s="42"/>
      <c r="F246" s="48"/>
      <c r="G246" s="43"/>
      <c r="H246" s="43"/>
      <c r="I246" s="44"/>
      <c r="J246" s="36" t="str">
        <f aca="false">IF(I246="","",IFERROR(INDEX(参数表!$D$13:$D$212,MATCH(I246,参数表!$A$13:$A$212,0)),"SKU未建档"))</f>
        <v/>
      </c>
      <c r="K246" s="36" t="str">
        <f aca="false">IF(I246="","",IFERROR(INDEX(参数表!$F$13:$F$212,MATCH(I246,参数表!$A$13:$A$212,0)),"SKU未建档"))</f>
        <v/>
      </c>
      <c r="L246" s="45"/>
      <c r="M246" s="35" t="str">
        <f aca="false">IF(I246="","",IFERROR(INDEX(参数表!$G$13:$G$212,MATCH(I246,参数表!$A$13:$A$212,0)),"SKU未建档"))</f>
        <v/>
      </c>
      <c r="N246" s="40"/>
      <c r="O246" s="46"/>
      <c r="P246" s="47"/>
      <c r="Q246" s="34" t="str">
        <f aca="false">IF(OR(O246="",P246=""),"",ROUND(O246*P246,2))</f>
        <v/>
      </c>
      <c r="R246" s="48"/>
      <c r="S246" s="46"/>
      <c r="T246" s="33" t="str">
        <f aca="false">IF(I246="","",IFERROR(INDEX(参数表!$H$13:$H$212,MATCH(I246,参数表!$A$13:$A$212,0)),"SKU未建档"))</f>
        <v/>
      </c>
      <c r="U246" s="34" t="str">
        <f aca="false">IF(A246="","",IF(参数表!$B$6="外贸企业",IF(S246="","",S246),IF(Q246="","",Q246)))</f>
        <v/>
      </c>
      <c r="V246" s="34" t="str">
        <f aca="false">IF(OR(U246="",NOT(ISNUMBER(T246))),"",ROUND(U246*T246,2))</f>
        <v/>
      </c>
      <c r="W246" s="43"/>
      <c r="X246" s="48"/>
      <c r="Y246" s="45"/>
      <c r="Z246" s="41"/>
      <c r="AA246" s="32" t="str">
        <f aca="false">IF(OR(L246="",Y246=""),"",Y246-L246)</f>
        <v/>
      </c>
      <c r="AB246" s="43"/>
      <c r="AC246" s="43"/>
    </row>
    <row r="247" customFormat="false" ht="21.75" hidden="false" customHeight="true" outlineLevel="0" collapsed="false">
      <c r="A247" s="29" t="str">
        <f aca="false">IF(OR(B247="",C247=""),"",B247&amp;"-"&amp;C247)</f>
        <v/>
      </c>
      <c r="B247" s="48"/>
      <c r="C247" s="40"/>
      <c r="D247" s="41"/>
      <c r="E247" s="42"/>
      <c r="F247" s="48"/>
      <c r="G247" s="43"/>
      <c r="H247" s="43"/>
      <c r="I247" s="44"/>
      <c r="J247" s="36" t="str">
        <f aca="false">IF(I247="","",IFERROR(INDEX(参数表!$D$13:$D$212,MATCH(I247,参数表!$A$13:$A$212,0)),"SKU未建档"))</f>
        <v/>
      </c>
      <c r="K247" s="36" t="str">
        <f aca="false">IF(I247="","",IFERROR(INDEX(参数表!$F$13:$F$212,MATCH(I247,参数表!$A$13:$A$212,0)),"SKU未建档"))</f>
        <v/>
      </c>
      <c r="L247" s="45"/>
      <c r="M247" s="35" t="str">
        <f aca="false">IF(I247="","",IFERROR(INDEX(参数表!$G$13:$G$212,MATCH(I247,参数表!$A$13:$A$212,0)),"SKU未建档"))</f>
        <v/>
      </c>
      <c r="N247" s="40"/>
      <c r="O247" s="46"/>
      <c r="P247" s="47"/>
      <c r="Q247" s="34" t="str">
        <f aca="false">IF(OR(O247="",P247=""),"",ROUND(O247*P247,2))</f>
        <v/>
      </c>
      <c r="R247" s="48"/>
      <c r="S247" s="46"/>
      <c r="T247" s="33" t="str">
        <f aca="false">IF(I247="","",IFERROR(INDEX(参数表!$H$13:$H$212,MATCH(I247,参数表!$A$13:$A$212,0)),"SKU未建档"))</f>
        <v/>
      </c>
      <c r="U247" s="34" t="str">
        <f aca="false">IF(A247="","",IF(参数表!$B$6="外贸企业",IF(S247="","",S247),IF(Q247="","",Q247)))</f>
        <v/>
      </c>
      <c r="V247" s="34" t="str">
        <f aca="false">IF(OR(U247="",NOT(ISNUMBER(T247))),"",ROUND(U247*T247,2))</f>
        <v/>
      </c>
      <c r="W247" s="43"/>
      <c r="X247" s="48"/>
      <c r="Y247" s="45"/>
      <c r="Z247" s="41"/>
      <c r="AA247" s="32" t="str">
        <f aca="false">IF(OR(L247="",Y247=""),"",Y247-L247)</f>
        <v/>
      </c>
      <c r="AB247" s="43"/>
      <c r="AC247" s="43"/>
    </row>
    <row r="248" customFormat="false" ht="21.75" hidden="false" customHeight="true" outlineLevel="0" collapsed="false">
      <c r="A248" s="29" t="str">
        <f aca="false">IF(OR(B248="",C248=""),"",B248&amp;"-"&amp;C248)</f>
        <v/>
      </c>
      <c r="B248" s="48"/>
      <c r="C248" s="40"/>
      <c r="D248" s="41"/>
      <c r="E248" s="42"/>
      <c r="F248" s="48"/>
      <c r="G248" s="43"/>
      <c r="H248" s="43"/>
      <c r="I248" s="44"/>
      <c r="J248" s="36" t="str">
        <f aca="false">IF(I248="","",IFERROR(INDEX(参数表!$D$13:$D$212,MATCH(I248,参数表!$A$13:$A$212,0)),"SKU未建档"))</f>
        <v/>
      </c>
      <c r="K248" s="36" t="str">
        <f aca="false">IF(I248="","",IFERROR(INDEX(参数表!$F$13:$F$212,MATCH(I248,参数表!$A$13:$A$212,0)),"SKU未建档"))</f>
        <v/>
      </c>
      <c r="L248" s="45"/>
      <c r="M248" s="35" t="str">
        <f aca="false">IF(I248="","",IFERROR(INDEX(参数表!$G$13:$G$212,MATCH(I248,参数表!$A$13:$A$212,0)),"SKU未建档"))</f>
        <v/>
      </c>
      <c r="N248" s="40"/>
      <c r="O248" s="46"/>
      <c r="P248" s="47"/>
      <c r="Q248" s="34" t="str">
        <f aca="false">IF(OR(O248="",P248=""),"",ROUND(O248*P248,2))</f>
        <v/>
      </c>
      <c r="R248" s="48"/>
      <c r="S248" s="46"/>
      <c r="T248" s="33" t="str">
        <f aca="false">IF(I248="","",IFERROR(INDEX(参数表!$H$13:$H$212,MATCH(I248,参数表!$A$13:$A$212,0)),"SKU未建档"))</f>
        <v/>
      </c>
      <c r="U248" s="34" t="str">
        <f aca="false">IF(A248="","",IF(参数表!$B$6="外贸企业",IF(S248="","",S248),IF(Q248="","",Q248)))</f>
        <v/>
      </c>
      <c r="V248" s="34" t="str">
        <f aca="false">IF(OR(U248="",NOT(ISNUMBER(T248))),"",ROUND(U248*T248,2))</f>
        <v/>
      </c>
      <c r="W248" s="43"/>
      <c r="X248" s="48"/>
      <c r="Y248" s="45"/>
      <c r="Z248" s="41"/>
      <c r="AA248" s="32" t="str">
        <f aca="false">IF(OR(L248="",Y248=""),"",Y248-L248)</f>
        <v/>
      </c>
      <c r="AB248" s="43"/>
      <c r="AC248" s="43"/>
    </row>
    <row r="249" customFormat="false" ht="21.75" hidden="false" customHeight="true" outlineLevel="0" collapsed="false">
      <c r="A249" s="29" t="str">
        <f aca="false">IF(OR(B249="",C249=""),"",B249&amp;"-"&amp;C249)</f>
        <v/>
      </c>
      <c r="B249" s="48"/>
      <c r="C249" s="40"/>
      <c r="D249" s="41"/>
      <c r="E249" s="42"/>
      <c r="F249" s="48"/>
      <c r="G249" s="43"/>
      <c r="H249" s="43"/>
      <c r="I249" s="44"/>
      <c r="J249" s="36" t="str">
        <f aca="false">IF(I249="","",IFERROR(INDEX(参数表!$D$13:$D$212,MATCH(I249,参数表!$A$13:$A$212,0)),"SKU未建档"))</f>
        <v/>
      </c>
      <c r="K249" s="36" t="str">
        <f aca="false">IF(I249="","",IFERROR(INDEX(参数表!$F$13:$F$212,MATCH(I249,参数表!$A$13:$A$212,0)),"SKU未建档"))</f>
        <v/>
      </c>
      <c r="L249" s="45"/>
      <c r="M249" s="35" t="str">
        <f aca="false">IF(I249="","",IFERROR(INDEX(参数表!$G$13:$G$212,MATCH(I249,参数表!$A$13:$A$212,0)),"SKU未建档"))</f>
        <v/>
      </c>
      <c r="N249" s="40"/>
      <c r="O249" s="46"/>
      <c r="P249" s="47"/>
      <c r="Q249" s="34" t="str">
        <f aca="false">IF(OR(O249="",P249=""),"",ROUND(O249*P249,2))</f>
        <v/>
      </c>
      <c r="R249" s="48"/>
      <c r="S249" s="46"/>
      <c r="T249" s="33" t="str">
        <f aca="false">IF(I249="","",IFERROR(INDEX(参数表!$H$13:$H$212,MATCH(I249,参数表!$A$13:$A$212,0)),"SKU未建档"))</f>
        <v/>
      </c>
      <c r="U249" s="34" t="str">
        <f aca="false">IF(A249="","",IF(参数表!$B$6="外贸企业",IF(S249="","",S249),IF(Q249="","",Q249)))</f>
        <v/>
      </c>
      <c r="V249" s="34" t="str">
        <f aca="false">IF(OR(U249="",NOT(ISNUMBER(T249))),"",ROUND(U249*T249,2))</f>
        <v/>
      </c>
      <c r="W249" s="43"/>
      <c r="X249" s="48"/>
      <c r="Y249" s="45"/>
      <c r="Z249" s="41"/>
      <c r="AA249" s="32" t="str">
        <f aca="false">IF(OR(L249="",Y249=""),"",Y249-L249)</f>
        <v/>
      </c>
      <c r="AB249" s="43"/>
      <c r="AC249" s="43"/>
    </row>
    <row r="250" customFormat="false" ht="21.75" hidden="false" customHeight="true" outlineLevel="0" collapsed="false">
      <c r="A250" s="29" t="str">
        <f aca="false">IF(OR(B250="",C250=""),"",B250&amp;"-"&amp;C250)</f>
        <v/>
      </c>
      <c r="B250" s="48"/>
      <c r="C250" s="40"/>
      <c r="D250" s="41"/>
      <c r="E250" s="42"/>
      <c r="F250" s="48"/>
      <c r="G250" s="43"/>
      <c r="H250" s="43"/>
      <c r="I250" s="44"/>
      <c r="J250" s="36" t="str">
        <f aca="false">IF(I250="","",IFERROR(INDEX(参数表!$D$13:$D$212,MATCH(I250,参数表!$A$13:$A$212,0)),"SKU未建档"))</f>
        <v/>
      </c>
      <c r="K250" s="36" t="str">
        <f aca="false">IF(I250="","",IFERROR(INDEX(参数表!$F$13:$F$212,MATCH(I250,参数表!$A$13:$A$212,0)),"SKU未建档"))</f>
        <v/>
      </c>
      <c r="L250" s="45"/>
      <c r="M250" s="35" t="str">
        <f aca="false">IF(I250="","",IFERROR(INDEX(参数表!$G$13:$G$212,MATCH(I250,参数表!$A$13:$A$212,0)),"SKU未建档"))</f>
        <v/>
      </c>
      <c r="N250" s="40"/>
      <c r="O250" s="46"/>
      <c r="P250" s="47"/>
      <c r="Q250" s="34" t="str">
        <f aca="false">IF(OR(O250="",P250=""),"",ROUND(O250*P250,2))</f>
        <v/>
      </c>
      <c r="R250" s="48"/>
      <c r="S250" s="46"/>
      <c r="T250" s="33" t="str">
        <f aca="false">IF(I250="","",IFERROR(INDEX(参数表!$H$13:$H$212,MATCH(I250,参数表!$A$13:$A$212,0)),"SKU未建档"))</f>
        <v/>
      </c>
      <c r="U250" s="34" t="str">
        <f aca="false">IF(A250="","",IF(参数表!$B$6="外贸企业",IF(S250="","",S250),IF(Q250="","",Q250)))</f>
        <v/>
      </c>
      <c r="V250" s="34" t="str">
        <f aca="false">IF(OR(U250="",NOT(ISNUMBER(T250))),"",ROUND(U250*T250,2))</f>
        <v/>
      </c>
      <c r="W250" s="43"/>
      <c r="X250" s="48"/>
      <c r="Y250" s="45"/>
      <c r="Z250" s="41"/>
      <c r="AA250" s="32" t="str">
        <f aca="false">IF(OR(L250="",Y250=""),"",Y250-L250)</f>
        <v/>
      </c>
      <c r="AB250" s="43"/>
      <c r="AC250" s="43"/>
    </row>
    <row r="251" customFormat="false" ht="21.75" hidden="false" customHeight="true" outlineLevel="0" collapsed="false">
      <c r="A251" s="29" t="str">
        <f aca="false">IF(OR(B251="",C251=""),"",B251&amp;"-"&amp;C251)</f>
        <v/>
      </c>
      <c r="B251" s="48"/>
      <c r="C251" s="40"/>
      <c r="D251" s="41"/>
      <c r="E251" s="42"/>
      <c r="F251" s="48"/>
      <c r="G251" s="43"/>
      <c r="H251" s="43"/>
      <c r="I251" s="44"/>
      <c r="J251" s="36" t="str">
        <f aca="false">IF(I251="","",IFERROR(INDEX(参数表!$D$13:$D$212,MATCH(I251,参数表!$A$13:$A$212,0)),"SKU未建档"))</f>
        <v/>
      </c>
      <c r="K251" s="36" t="str">
        <f aca="false">IF(I251="","",IFERROR(INDEX(参数表!$F$13:$F$212,MATCH(I251,参数表!$A$13:$A$212,0)),"SKU未建档"))</f>
        <v/>
      </c>
      <c r="L251" s="45"/>
      <c r="M251" s="35" t="str">
        <f aca="false">IF(I251="","",IFERROR(INDEX(参数表!$G$13:$G$212,MATCH(I251,参数表!$A$13:$A$212,0)),"SKU未建档"))</f>
        <v/>
      </c>
      <c r="N251" s="40"/>
      <c r="O251" s="46"/>
      <c r="P251" s="47"/>
      <c r="Q251" s="34" t="str">
        <f aca="false">IF(OR(O251="",P251=""),"",ROUND(O251*P251,2))</f>
        <v/>
      </c>
      <c r="R251" s="48"/>
      <c r="S251" s="46"/>
      <c r="T251" s="33" t="str">
        <f aca="false">IF(I251="","",IFERROR(INDEX(参数表!$H$13:$H$212,MATCH(I251,参数表!$A$13:$A$212,0)),"SKU未建档"))</f>
        <v/>
      </c>
      <c r="U251" s="34" t="str">
        <f aca="false">IF(A251="","",IF(参数表!$B$6="外贸企业",IF(S251="","",S251),IF(Q251="","",Q251)))</f>
        <v/>
      </c>
      <c r="V251" s="34" t="str">
        <f aca="false">IF(OR(U251="",NOT(ISNUMBER(T251))),"",ROUND(U251*T251,2))</f>
        <v/>
      </c>
      <c r="W251" s="43"/>
      <c r="X251" s="48"/>
      <c r="Y251" s="45"/>
      <c r="Z251" s="41"/>
      <c r="AA251" s="32" t="str">
        <f aca="false">IF(OR(L251="",Y251=""),"",Y251-L251)</f>
        <v/>
      </c>
      <c r="AB251" s="43"/>
      <c r="AC251" s="43"/>
    </row>
    <row r="252" customFormat="false" ht="21.75" hidden="false" customHeight="true" outlineLevel="0" collapsed="false">
      <c r="A252" s="29" t="str">
        <f aca="false">IF(OR(B252="",C252=""),"",B252&amp;"-"&amp;C252)</f>
        <v/>
      </c>
      <c r="B252" s="48"/>
      <c r="C252" s="40"/>
      <c r="D252" s="41"/>
      <c r="E252" s="42"/>
      <c r="F252" s="48"/>
      <c r="G252" s="43"/>
      <c r="H252" s="43"/>
      <c r="I252" s="44"/>
      <c r="J252" s="36" t="str">
        <f aca="false">IF(I252="","",IFERROR(INDEX(参数表!$D$13:$D$212,MATCH(I252,参数表!$A$13:$A$212,0)),"SKU未建档"))</f>
        <v/>
      </c>
      <c r="K252" s="36" t="str">
        <f aca="false">IF(I252="","",IFERROR(INDEX(参数表!$F$13:$F$212,MATCH(I252,参数表!$A$13:$A$212,0)),"SKU未建档"))</f>
        <v/>
      </c>
      <c r="L252" s="45"/>
      <c r="M252" s="35" t="str">
        <f aca="false">IF(I252="","",IFERROR(INDEX(参数表!$G$13:$G$212,MATCH(I252,参数表!$A$13:$A$212,0)),"SKU未建档"))</f>
        <v/>
      </c>
      <c r="N252" s="40"/>
      <c r="O252" s="46"/>
      <c r="P252" s="47"/>
      <c r="Q252" s="34" t="str">
        <f aca="false">IF(OR(O252="",P252=""),"",ROUND(O252*P252,2))</f>
        <v/>
      </c>
      <c r="R252" s="48"/>
      <c r="S252" s="46"/>
      <c r="T252" s="33" t="str">
        <f aca="false">IF(I252="","",IFERROR(INDEX(参数表!$H$13:$H$212,MATCH(I252,参数表!$A$13:$A$212,0)),"SKU未建档"))</f>
        <v/>
      </c>
      <c r="U252" s="34" t="str">
        <f aca="false">IF(A252="","",IF(参数表!$B$6="外贸企业",IF(S252="","",S252),IF(Q252="","",Q252)))</f>
        <v/>
      </c>
      <c r="V252" s="34" t="str">
        <f aca="false">IF(OR(U252="",NOT(ISNUMBER(T252))),"",ROUND(U252*T252,2))</f>
        <v/>
      </c>
      <c r="W252" s="43"/>
      <c r="X252" s="48"/>
      <c r="Y252" s="45"/>
      <c r="Z252" s="41"/>
      <c r="AA252" s="32" t="str">
        <f aca="false">IF(OR(L252="",Y252=""),"",Y252-L252)</f>
        <v/>
      </c>
      <c r="AB252" s="43"/>
      <c r="AC252" s="43"/>
    </row>
    <row r="253" customFormat="false" ht="21.75" hidden="false" customHeight="true" outlineLevel="0" collapsed="false">
      <c r="A253" s="29" t="str">
        <f aca="false">IF(OR(B253="",C253=""),"",B253&amp;"-"&amp;C253)</f>
        <v/>
      </c>
      <c r="B253" s="48"/>
      <c r="C253" s="40"/>
      <c r="D253" s="41"/>
      <c r="E253" s="42"/>
      <c r="F253" s="48"/>
      <c r="G253" s="43"/>
      <c r="H253" s="43"/>
      <c r="I253" s="44"/>
      <c r="J253" s="36" t="str">
        <f aca="false">IF(I253="","",IFERROR(INDEX(参数表!$D$13:$D$212,MATCH(I253,参数表!$A$13:$A$212,0)),"SKU未建档"))</f>
        <v/>
      </c>
      <c r="K253" s="36" t="str">
        <f aca="false">IF(I253="","",IFERROR(INDEX(参数表!$F$13:$F$212,MATCH(I253,参数表!$A$13:$A$212,0)),"SKU未建档"))</f>
        <v/>
      </c>
      <c r="L253" s="45"/>
      <c r="M253" s="35" t="str">
        <f aca="false">IF(I253="","",IFERROR(INDEX(参数表!$G$13:$G$212,MATCH(I253,参数表!$A$13:$A$212,0)),"SKU未建档"))</f>
        <v/>
      </c>
      <c r="N253" s="40"/>
      <c r="O253" s="46"/>
      <c r="P253" s="47"/>
      <c r="Q253" s="34" t="str">
        <f aca="false">IF(OR(O253="",P253=""),"",ROUND(O253*P253,2))</f>
        <v/>
      </c>
      <c r="R253" s="48"/>
      <c r="S253" s="46"/>
      <c r="T253" s="33" t="str">
        <f aca="false">IF(I253="","",IFERROR(INDEX(参数表!$H$13:$H$212,MATCH(I253,参数表!$A$13:$A$212,0)),"SKU未建档"))</f>
        <v/>
      </c>
      <c r="U253" s="34" t="str">
        <f aca="false">IF(A253="","",IF(参数表!$B$6="外贸企业",IF(S253="","",S253),IF(Q253="","",Q253)))</f>
        <v/>
      </c>
      <c r="V253" s="34" t="str">
        <f aca="false">IF(OR(U253="",NOT(ISNUMBER(T253))),"",ROUND(U253*T253,2))</f>
        <v/>
      </c>
      <c r="W253" s="43"/>
      <c r="X253" s="48"/>
      <c r="Y253" s="45"/>
      <c r="Z253" s="41"/>
      <c r="AA253" s="32" t="str">
        <f aca="false">IF(OR(L253="",Y253=""),"",Y253-L253)</f>
        <v/>
      </c>
      <c r="AB253" s="43"/>
      <c r="AC253" s="43"/>
    </row>
    <row r="254" customFormat="false" ht="21.75" hidden="false" customHeight="true" outlineLevel="0" collapsed="false">
      <c r="A254" s="29" t="str">
        <f aca="false">IF(OR(B254="",C254=""),"",B254&amp;"-"&amp;C254)</f>
        <v/>
      </c>
      <c r="B254" s="48"/>
      <c r="C254" s="40"/>
      <c r="D254" s="41"/>
      <c r="E254" s="42"/>
      <c r="F254" s="48"/>
      <c r="G254" s="43"/>
      <c r="H254" s="43"/>
      <c r="I254" s="44"/>
      <c r="J254" s="36" t="str">
        <f aca="false">IF(I254="","",IFERROR(INDEX(参数表!$D$13:$D$212,MATCH(I254,参数表!$A$13:$A$212,0)),"SKU未建档"))</f>
        <v/>
      </c>
      <c r="K254" s="36" t="str">
        <f aca="false">IF(I254="","",IFERROR(INDEX(参数表!$F$13:$F$212,MATCH(I254,参数表!$A$13:$A$212,0)),"SKU未建档"))</f>
        <v/>
      </c>
      <c r="L254" s="45"/>
      <c r="M254" s="35" t="str">
        <f aca="false">IF(I254="","",IFERROR(INDEX(参数表!$G$13:$G$212,MATCH(I254,参数表!$A$13:$A$212,0)),"SKU未建档"))</f>
        <v/>
      </c>
      <c r="N254" s="40"/>
      <c r="O254" s="46"/>
      <c r="P254" s="47"/>
      <c r="Q254" s="34" t="str">
        <f aca="false">IF(OR(O254="",P254=""),"",ROUND(O254*P254,2))</f>
        <v/>
      </c>
      <c r="R254" s="48"/>
      <c r="S254" s="46"/>
      <c r="T254" s="33" t="str">
        <f aca="false">IF(I254="","",IFERROR(INDEX(参数表!$H$13:$H$212,MATCH(I254,参数表!$A$13:$A$212,0)),"SKU未建档"))</f>
        <v/>
      </c>
      <c r="U254" s="34" t="str">
        <f aca="false">IF(A254="","",IF(参数表!$B$6="外贸企业",IF(S254="","",S254),IF(Q254="","",Q254)))</f>
        <v/>
      </c>
      <c r="V254" s="34" t="str">
        <f aca="false">IF(OR(U254="",NOT(ISNUMBER(T254))),"",ROUND(U254*T254,2))</f>
        <v/>
      </c>
      <c r="W254" s="43"/>
      <c r="X254" s="48"/>
      <c r="Y254" s="45"/>
      <c r="Z254" s="41"/>
      <c r="AA254" s="32" t="str">
        <f aca="false">IF(OR(L254="",Y254=""),"",Y254-L254)</f>
        <v/>
      </c>
      <c r="AB254" s="43"/>
      <c r="AC254" s="43"/>
    </row>
    <row r="255" customFormat="false" ht="21.75" hidden="false" customHeight="true" outlineLevel="0" collapsed="false">
      <c r="A255" s="29" t="str">
        <f aca="false">IF(OR(B255="",C255=""),"",B255&amp;"-"&amp;C255)</f>
        <v/>
      </c>
      <c r="B255" s="48"/>
      <c r="C255" s="40"/>
      <c r="D255" s="41"/>
      <c r="E255" s="42"/>
      <c r="F255" s="48"/>
      <c r="G255" s="43"/>
      <c r="H255" s="43"/>
      <c r="I255" s="44"/>
      <c r="J255" s="36" t="str">
        <f aca="false">IF(I255="","",IFERROR(INDEX(参数表!$D$13:$D$212,MATCH(I255,参数表!$A$13:$A$212,0)),"SKU未建档"))</f>
        <v/>
      </c>
      <c r="K255" s="36" t="str">
        <f aca="false">IF(I255="","",IFERROR(INDEX(参数表!$F$13:$F$212,MATCH(I255,参数表!$A$13:$A$212,0)),"SKU未建档"))</f>
        <v/>
      </c>
      <c r="L255" s="45"/>
      <c r="M255" s="35" t="str">
        <f aca="false">IF(I255="","",IFERROR(INDEX(参数表!$G$13:$G$212,MATCH(I255,参数表!$A$13:$A$212,0)),"SKU未建档"))</f>
        <v/>
      </c>
      <c r="N255" s="40"/>
      <c r="O255" s="46"/>
      <c r="P255" s="47"/>
      <c r="Q255" s="34" t="str">
        <f aca="false">IF(OR(O255="",P255=""),"",ROUND(O255*P255,2))</f>
        <v/>
      </c>
      <c r="R255" s="48"/>
      <c r="S255" s="46"/>
      <c r="T255" s="33" t="str">
        <f aca="false">IF(I255="","",IFERROR(INDEX(参数表!$H$13:$H$212,MATCH(I255,参数表!$A$13:$A$212,0)),"SKU未建档"))</f>
        <v/>
      </c>
      <c r="U255" s="34" t="str">
        <f aca="false">IF(A255="","",IF(参数表!$B$6="外贸企业",IF(S255="","",S255),IF(Q255="","",Q255)))</f>
        <v/>
      </c>
      <c r="V255" s="34" t="str">
        <f aca="false">IF(OR(U255="",NOT(ISNUMBER(T255))),"",ROUND(U255*T255,2))</f>
        <v/>
      </c>
      <c r="W255" s="43"/>
      <c r="X255" s="48"/>
      <c r="Y255" s="45"/>
      <c r="Z255" s="41"/>
      <c r="AA255" s="32" t="str">
        <f aca="false">IF(OR(L255="",Y255=""),"",Y255-L255)</f>
        <v/>
      </c>
      <c r="AB255" s="43"/>
      <c r="AC255" s="43"/>
    </row>
    <row r="256" customFormat="false" ht="21.75" hidden="false" customHeight="true" outlineLevel="0" collapsed="false">
      <c r="A256" s="29" t="str">
        <f aca="false">IF(OR(B256="",C256=""),"",B256&amp;"-"&amp;C256)</f>
        <v/>
      </c>
      <c r="B256" s="48"/>
      <c r="C256" s="40"/>
      <c r="D256" s="41"/>
      <c r="E256" s="42"/>
      <c r="F256" s="48"/>
      <c r="G256" s="43"/>
      <c r="H256" s="43"/>
      <c r="I256" s="44"/>
      <c r="J256" s="36" t="str">
        <f aca="false">IF(I256="","",IFERROR(INDEX(参数表!$D$13:$D$212,MATCH(I256,参数表!$A$13:$A$212,0)),"SKU未建档"))</f>
        <v/>
      </c>
      <c r="K256" s="36" t="str">
        <f aca="false">IF(I256="","",IFERROR(INDEX(参数表!$F$13:$F$212,MATCH(I256,参数表!$A$13:$A$212,0)),"SKU未建档"))</f>
        <v/>
      </c>
      <c r="L256" s="45"/>
      <c r="M256" s="35" t="str">
        <f aca="false">IF(I256="","",IFERROR(INDEX(参数表!$G$13:$G$212,MATCH(I256,参数表!$A$13:$A$212,0)),"SKU未建档"))</f>
        <v/>
      </c>
      <c r="N256" s="40"/>
      <c r="O256" s="46"/>
      <c r="P256" s="47"/>
      <c r="Q256" s="34" t="str">
        <f aca="false">IF(OR(O256="",P256=""),"",ROUND(O256*P256,2))</f>
        <v/>
      </c>
      <c r="R256" s="48"/>
      <c r="S256" s="46"/>
      <c r="T256" s="33" t="str">
        <f aca="false">IF(I256="","",IFERROR(INDEX(参数表!$H$13:$H$212,MATCH(I256,参数表!$A$13:$A$212,0)),"SKU未建档"))</f>
        <v/>
      </c>
      <c r="U256" s="34" t="str">
        <f aca="false">IF(A256="","",IF(参数表!$B$6="外贸企业",IF(S256="","",S256),IF(Q256="","",Q256)))</f>
        <v/>
      </c>
      <c r="V256" s="34" t="str">
        <f aca="false">IF(OR(U256="",NOT(ISNUMBER(T256))),"",ROUND(U256*T256,2))</f>
        <v/>
      </c>
      <c r="W256" s="43"/>
      <c r="X256" s="48"/>
      <c r="Y256" s="45"/>
      <c r="Z256" s="41"/>
      <c r="AA256" s="32" t="str">
        <f aca="false">IF(OR(L256="",Y256=""),"",Y256-L256)</f>
        <v/>
      </c>
      <c r="AB256" s="43"/>
      <c r="AC256" s="43"/>
    </row>
    <row r="257" customFormat="false" ht="21.75" hidden="false" customHeight="true" outlineLevel="0" collapsed="false">
      <c r="A257" s="29" t="str">
        <f aca="false">IF(OR(B257="",C257=""),"",B257&amp;"-"&amp;C257)</f>
        <v/>
      </c>
      <c r="B257" s="48"/>
      <c r="C257" s="40"/>
      <c r="D257" s="41"/>
      <c r="E257" s="42"/>
      <c r="F257" s="48"/>
      <c r="G257" s="43"/>
      <c r="H257" s="43"/>
      <c r="I257" s="44"/>
      <c r="J257" s="36" t="str">
        <f aca="false">IF(I257="","",IFERROR(INDEX(参数表!$D$13:$D$212,MATCH(I257,参数表!$A$13:$A$212,0)),"SKU未建档"))</f>
        <v/>
      </c>
      <c r="K257" s="36" t="str">
        <f aca="false">IF(I257="","",IFERROR(INDEX(参数表!$F$13:$F$212,MATCH(I257,参数表!$A$13:$A$212,0)),"SKU未建档"))</f>
        <v/>
      </c>
      <c r="L257" s="45"/>
      <c r="M257" s="35" t="str">
        <f aca="false">IF(I257="","",IFERROR(INDEX(参数表!$G$13:$G$212,MATCH(I257,参数表!$A$13:$A$212,0)),"SKU未建档"))</f>
        <v/>
      </c>
      <c r="N257" s="40"/>
      <c r="O257" s="46"/>
      <c r="P257" s="47"/>
      <c r="Q257" s="34" t="str">
        <f aca="false">IF(OR(O257="",P257=""),"",ROUND(O257*P257,2))</f>
        <v/>
      </c>
      <c r="R257" s="48"/>
      <c r="S257" s="46"/>
      <c r="T257" s="33" t="str">
        <f aca="false">IF(I257="","",IFERROR(INDEX(参数表!$H$13:$H$212,MATCH(I257,参数表!$A$13:$A$212,0)),"SKU未建档"))</f>
        <v/>
      </c>
      <c r="U257" s="34" t="str">
        <f aca="false">IF(A257="","",IF(参数表!$B$6="外贸企业",IF(S257="","",S257),IF(Q257="","",Q257)))</f>
        <v/>
      </c>
      <c r="V257" s="34" t="str">
        <f aca="false">IF(OR(U257="",NOT(ISNUMBER(T257))),"",ROUND(U257*T257,2))</f>
        <v/>
      </c>
      <c r="W257" s="43"/>
      <c r="X257" s="48"/>
      <c r="Y257" s="45"/>
      <c r="Z257" s="41"/>
      <c r="AA257" s="32" t="str">
        <f aca="false">IF(OR(L257="",Y257=""),"",Y257-L257)</f>
        <v/>
      </c>
      <c r="AB257" s="43"/>
      <c r="AC257" s="43"/>
    </row>
    <row r="258" customFormat="false" ht="21.75" hidden="false" customHeight="true" outlineLevel="0" collapsed="false">
      <c r="A258" s="29" t="str">
        <f aca="false">IF(OR(B258="",C258=""),"",B258&amp;"-"&amp;C258)</f>
        <v/>
      </c>
      <c r="B258" s="48"/>
      <c r="C258" s="40"/>
      <c r="D258" s="41"/>
      <c r="E258" s="42"/>
      <c r="F258" s="48"/>
      <c r="G258" s="43"/>
      <c r="H258" s="43"/>
      <c r="I258" s="44"/>
      <c r="J258" s="36" t="str">
        <f aca="false">IF(I258="","",IFERROR(INDEX(参数表!$D$13:$D$212,MATCH(I258,参数表!$A$13:$A$212,0)),"SKU未建档"))</f>
        <v/>
      </c>
      <c r="K258" s="36" t="str">
        <f aca="false">IF(I258="","",IFERROR(INDEX(参数表!$F$13:$F$212,MATCH(I258,参数表!$A$13:$A$212,0)),"SKU未建档"))</f>
        <v/>
      </c>
      <c r="L258" s="45"/>
      <c r="M258" s="35" t="str">
        <f aca="false">IF(I258="","",IFERROR(INDEX(参数表!$G$13:$G$212,MATCH(I258,参数表!$A$13:$A$212,0)),"SKU未建档"))</f>
        <v/>
      </c>
      <c r="N258" s="40"/>
      <c r="O258" s="46"/>
      <c r="P258" s="47"/>
      <c r="Q258" s="34" t="str">
        <f aca="false">IF(OR(O258="",P258=""),"",ROUND(O258*P258,2))</f>
        <v/>
      </c>
      <c r="R258" s="48"/>
      <c r="S258" s="46"/>
      <c r="T258" s="33" t="str">
        <f aca="false">IF(I258="","",IFERROR(INDEX(参数表!$H$13:$H$212,MATCH(I258,参数表!$A$13:$A$212,0)),"SKU未建档"))</f>
        <v/>
      </c>
      <c r="U258" s="34" t="str">
        <f aca="false">IF(A258="","",IF(参数表!$B$6="外贸企业",IF(S258="","",S258),IF(Q258="","",Q258)))</f>
        <v/>
      </c>
      <c r="V258" s="34" t="str">
        <f aca="false">IF(OR(U258="",NOT(ISNUMBER(T258))),"",ROUND(U258*T258,2))</f>
        <v/>
      </c>
      <c r="W258" s="43"/>
      <c r="X258" s="48"/>
      <c r="Y258" s="45"/>
      <c r="Z258" s="41"/>
      <c r="AA258" s="32" t="str">
        <f aca="false">IF(OR(L258="",Y258=""),"",Y258-L258)</f>
        <v/>
      </c>
      <c r="AB258" s="43"/>
      <c r="AC258" s="43"/>
    </row>
    <row r="259" customFormat="false" ht="21.75" hidden="false" customHeight="true" outlineLevel="0" collapsed="false">
      <c r="A259" s="29" t="str">
        <f aca="false">IF(OR(B259="",C259=""),"",B259&amp;"-"&amp;C259)</f>
        <v/>
      </c>
      <c r="B259" s="48"/>
      <c r="C259" s="40"/>
      <c r="D259" s="41"/>
      <c r="E259" s="42"/>
      <c r="F259" s="48"/>
      <c r="G259" s="43"/>
      <c r="H259" s="43"/>
      <c r="I259" s="44"/>
      <c r="J259" s="36" t="str">
        <f aca="false">IF(I259="","",IFERROR(INDEX(参数表!$D$13:$D$212,MATCH(I259,参数表!$A$13:$A$212,0)),"SKU未建档"))</f>
        <v/>
      </c>
      <c r="K259" s="36" t="str">
        <f aca="false">IF(I259="","",IFERROR(INDEX(参数表!$F$13:$F$212,MATCH(I259,参数表!$A$13:$A$212,0)),"SKU未建档"))</f>
        <v/>
      </c>
      <c r="L259" s="45"/>
      <c r="M259" s="35" t="str">
        <f aca="false">IF(I259="","",IFERROR(INDEX(参数表!$G$13:$G$212,MATCH(I259,参数表!$A$13:$A$212,0)),"SKU未建档"))</f>
        <v/>
      </c>
      <c r="N259" s="40"/>
      <c r="O259" s="46"/>
      <c r="P259" s="47"/>
      <c r="Q259" s="34" t="str">
        <f aca="false">IF(OR(O259="",P259=""),"",ROUND(O259*P259,2))</f>
        <v/>
      </c>
      <c r="R259" s="48"/>
      <c r="S259" s="46"/>
      <c r="T259" s="33" t="str">
        <f aca="false">IF(I259="","",IFERROR(INDEX(参数表!$H$13:$H$212,MATCH(I259,参数表!$A$13:$A$212,0)),"SKU未建档"))</f>
        <v/>
      </c>
      <c r="U259" s="34" t="str">
        <f aca="false">IF(A259="","",IF(参数表!$B$6="外贸企业",IF(S259="","",S259),IF(Q259="","",Q259)))</f>
        <v/>
      </c>
      <c r="V259" s="34" t="str">
        <f aca="false">IF(OR(U259="",NOT(ISNUMBER(T259))),"",ROUND(U259*T259,2))</f>
        <v/>
      </c>
      <c r="W259" s="43"/>
      <c r="X259" s="48"/>
      <c r="Y259" s="45"/>
      <c r="Z259" s="41"/>
      <c r="AA259" s="32" t="str">
        <f aca="false">IF(OR(L259="",Y259=""),"",Y259-L259)</f>
        <v/>
      </c>
      <c r="AB259" s="43"/>
      <c r="AC259" s="43"/>
    </row>
    <row r="260" customFormat="false" ht="21.75" hidden="false" customHeight="true" outlineLevel="0" collapsed="false">
      <c r="A260" s="29" t="str">
        <f aca="false">IF(OR(B260="",C260=""),"",B260&amp;"-"&amp;C260)</f>
        <v/>
      </c>
      <c r="B260" s="48"/>
      <c r="C260" s="40"/>
      <c r="D260" s="41"/>
      <c r="E260" s="42"/>
      <c r="F260" s="48"/>
      <c r="G260" s="43"/>
      <c r="H260" s="43"/>
      <c r="I260" s="44"/>
      <c r="J260" s="36" t="str">
        <f aca="false">IF(I260="","",IFERROR(INDEX(参数表!$D$13:$D$212,MATCH(I260,参数表!$A$13:$A$212,0)),"SKU未建档"))</f>
        <v/>
      </c>
      <c r="K260" s="36" t="str">
        <f aca="false">IF(I260="","",IFERROR(INDEX(参数表!$F$13:$F$212,MATCH(I260,参数表!$A$13:$A$212,0)),"SKU未建档"))</f>
        <v/>
      </c>
      <c r="L260" s="45"/>
      <c r="M260" s="35" t="str">
        <f aca="false">IF(I260="","",IFERROR(INDEX(参数表!$G$13:$G$212,MATCH(I260,参数表!$A$13:$A$212,0)),"SKU未建档"))</f>
        <v/>
      </c>
      <c r="N260" s="40"/>
      <c r="O260" s="46"/>
      <c r="P260" s="47"/>
      <c r="Q260" s="34" t="str">
        <f aca="false">IF(OR(O260="",P260=""),"",ROUND(O260*P260,2))</f>
        <v/>
      </c>
      <c r="R260" s="48"/>
      <c r="S260" s="46"/>
      <c r="T260" s="33" t="str">
        <f aca="false">IF(I260="","",IFERROR(INDEX(参数表!$H$13:$H$212,MATCH(I260,参数表!$A$13:$A$212,0)),"SKU未建档"))</f>
        <v/>
      </c>
      <c r="U260" s="34" t="str">
        <f aca="false">IF(A260="","",IF(参数表!$B$6="外贸企业",IF(S260="","",S260),IF(Q260="","",Q260)))</f>
        <v/>
      </c>
      <c r="V260" s="34" t="str">
        <f aca="false">IF(OR(U260="",NOT(ISNUMBER(T260))),"",ROUND(U260*T260,2))</f>
        <v/>
      </c>
      <c r="W260" s="43"/>
      <c r="X260" s="48"/>
      <c r="Y260" s="45"/>
      <c r="Z260" s="41"/>
      <c r="AA260" s="32" t="str">
        <f aca="false">IF(OR(L260="",Y260=""),"",Y260-L260)</f>
        <v/>
      </c>
      <c r="AB260" s="43"/>
      <c r="AC260" s="43"/>
    </row>
    <row r="261" customFormat="false" ht="21.75" hidden="false" customHeight="true" outlineLevel="0" collapsed="false">
      <c r="A261" s="29" t="str">
        <f aca="false">IF(OR(B261="",C261=""),"",B261&amp;"-"&amp;C261)</f>
        <v/>
      </c>
      <c r="B261" s="48"/>
      <c r="C261" s="40"/>
      <c r="D261" s="41"/>
      <c r="E261" s="42"/>
      <c r="F261" s="48"/>
      <c r="G261" s="43"/>
      <c r="H261" s="43"/>
      <c r="I261" s="44"/>
      <c r="J261" s="36" t="str">
        <f aca="false">IF(I261="","",IFERROR(INDEX(参数表!$D$13:$D$212,MATCH(I261,参数表!$A$13:$A$212,0)),"SKU未建档"))</f>
        <v/>
      </c>
      <c r="K261" s="36" t="str">
        <f aca="false">IF(I261="","",IFERROR(INDEX(参数表!$F$13:$F$212,MATCH(I261,参数表!$A$13:$A$212,0)),"SKU未建档"))</f>
        <v/>
      </c>
      <c r="L261" s="45"/>
      <c r="M261" s="35" t="str">
        <f aca="false">IF(I261="","",IFERROR(INDEX(参数表!$G$13:$G$212,MATCH(I261,参数表!$A$13:$A$212,0)),"SKU未建档"))</f>
        <v/>
      </c>
      <c r="N261" s="40"/>
      <c r="O261" s="46"/>
      <c r="P261" s="47"/>
      <c r="Q261" s="34" t="str">
        <f aca="false">IF(OR(O261="",P261=""),"",ROUND(O261*P261,2))</f>
        <v/>
      </c>
      <c r="R261" s="48"/>
      <c r="S261" s="46"/>
      <c r="T261" s="33" t="str">
        <f aca="false">IF(I261="","",IFERROR(INDEX(参数表!$H$13:$H$212,MATCH(I261,参数表!$A$13:$A$212,0)),"SKU未建档"))</f>
        <v/>
      </c>
      <c r="U261" s="34" t="str">
        <f aca="false">IF(A261="","",IF(参数表!$B$6="外贸企业",IF(S261="","",S261),IF(Q261="","",Q261)))</f>
        <v/>
      </c>
      <c r="V261" s="34" t="str">
        <f aca="false">IF(OR(U261="",NOT(ISNUMBER(T261))),"",ROUND(U261*T261,2))</f>
        <v/>
      </c>
      <c r="W261" s="43"/>
      <c r="X261" s="48"/>
      <c r="Y261" s="45"/>
      <c r="Z261" s="41"/>
      <c r="AA261" s="32" t="str">
        <f aca="false">IF(OR(L261="",Y261=""),"",Y261-L261)</f>
        <v/>
      </c>
      <c r="AB261" s="43"/>
      <c r="AC261" s="43"/>
    </row>
    <row r="262" customFormat="false" ht="21.75" hidden="false" customHeight="true" outlineLevel="0" collapsed="false">
      <c r="A262" s="29" t="str">
        <f aca="false">IF(OR(B262="",C262=""),"",B262&amp;"-"&amp;C262)</f>
        <v/>
      </c>
      <c r="B262" s="48"/>
      <c r="C262" s="40"/>
      <c r="D262" s="41"/>
      <c r="E262" s="42"/>
      <c r="F262" s="48"/>
      <c r="G262" s="43"/>
      <c r="H262" s="43"/>
      <c r="I262" s="44"/>
      <c r="J262" s="36" t="str">
        <f aca="false">IF(I262="","",IFERROR(INDEX(参数表!$D$13:$D$212,MATCH(I262,参数表!$A$13:$A$212,0)),"SKU未建档"))</f>
        <v/>
      </c>
      <c r="K262" s="36" t="str">
        <f aca="false">IF(I262="","",IFERROR(INDEX(参数表!$F$13:$F$212,MATCH(I262,参数表!$A$13:$A$212,0)),"SKU未建档"))</f>
        <v/>
      </c>
      <c r="L262" s="45"/>
      <c r="M262" s="35" t="str">
        <f aca="false">IF(I262="","",IFERROR(INDEX(参数表!$G$13:$G$212,MATCH(I262,参数表!$A$13:$A$212,0)),"SKU未建档"))</f>
        <v/>
      </c>
      <c r="N262" s="40"/>
      <c r="O262" s="46"/>
      <c r="P262" s="47"/>
      <c r="Q262" s="34" t="str">
        <f aca="false">IF(OR(O262="",P262=""),"",ROUND(O262*P262,2))</f>
        <v/>
      </c>
      <c r="R262" s="48"/>
      <c r="S262" s="46"/>
      <c r="T262" s="33" t="str">
        <f aca="false">IF(I262="","",IFERROR(INDEX(参数表!$H$13:$H$212,MATCH(I262,参数表!$A$13:$A$212,0)),"SKU未建档"))</f>
        <v/>
      </c>
      <c r="U262" s="34" t="str">
        <f aca="false">IF(A262="","",IF(参数表!$B$6="外贸企业",IF(S262="","",S262),IF(Q262="","",Q262)))</f>
        <v/>
      </c>
      <c r="V262" s="34" t="str">
        <f aca="false">IF(OR(U262="",NOT(ISNUMBER(T262))),"",ROUND(U262*T262,2))</f>
        <v/>
      </c>
      <c r="W262" s="43"/>
      <c r="X262" s="48"/>
      <c r="Y262" s="45"/>
      <c r="Z262" s="41"/>
      <c r="AA262" s="32" t="str">
        <f aca="false">IF(OR(L262="",Y262=""),"",Y262-L262)</f>
        <v/>
      </c>
      <c r="AB262" s="43"/>
      <c r="AC262" s="43"/>
    </row>
    <row r="263" customFormat="false" ht="21.75" hidden="false" customHeight="true" outlineLevel="0" collapsed="false">
      <c r="A263" s="29" t="str">
        <f aca="false">IF(OR(B263="",C263=""),"",B263&amp;"-"&amp;C263)</f>
        <v/>
      </c>
      <c r="B263" s="48"/>
      <c r="C263" s="40"/>
      <c r="D263" s="41"/>
      <c r="E263" s="42"/>
      <c r="F263" s="48"/>
      <c r="G263" s="43"/>
      <c r="H263" s="43"/>
      <c r="I263" s="44"/>
      <c r="J263" s="36" t="str">
        <f aca="false">IF(I263="","",IFERROR(INDEX(参数表!$D$13:$D$212,MATCH(I263,参数表!$A$13:$A$212,0)),"SKU未建档"))</f>
        <v/>
      </c>
      <c r="K263" s="36" t="str">
        <f aca="false">IF(I263="","",IFERROR(INDEX(参数表!$F$13:$F$212,MATCH(I263,参数表!$A$13:$A$212,0)),"SKU未建档"))</f>
        <v/>
      </c>
      <c r="L263" s="45"/>
      <c r="M263" s="35" t="str">
        <f aca="false">IF(I263="","",IFERROR(INDEX(参数表!$G$13:$G$212,MATCH(I263,参数表!$A$13:$A$212,0)),"SKU未建档"))</f>
        <v/>
      </c>
      <c r="N263" s="40"/>
      <c r="O263" s="46"/>
      <c r="P263" s="47"/>
      <c r="Q263" s="34" t="str">
        <f aca="false">IF(OR(O263="",P263=""),"",ROUND(O263*P263,2))</f>
        <v/>
      </c>
      <c r="R263" s="48"/>
      <c r="S263" s="46"/>
      <c r="T263" s="33" t="str">
        <f aca="false">IF(I263="","",IFERROR(INDEX(参数表!$H$13:$H$212,MATCH(I263,参数表!$A$13:$A$212,0)),"SKU未建档"))</f>
        <v/>
      </c>
      <c r="U263" s="34" t="str">
        <f aca="false">IF(A263="","",IF(参数表!$B$6="外贸企业",IF(S263="","",S263),IF(Q263="","",Q263)))</f>
        <v/>
      </c>
      <c r="V263" s="34" t="str">
        <f aca="false">IF(OR(U263="",NOT(ISNUMBER(T263))),"",ROUND(U263*T263,2))</f>
        <v/>
      </c>
      <c r="W263" s="43"/>
      <c r="X263" s="48"/>
      <c r="Y263" s="45"/>
      <c r="Z263" s="41"/>
      <c r="AA263" s="32" t="str">
        <f aca="false">IF(OR(L263="",Y263=""),"",Y263-L263)</f>
        <v/>
      </c>
      <c r="AB263" s="43"/>
      <c r="AC263" s="43"/>
    </row>
    <row r="264" customFormat="false" ht="21.75" hidden="false" customHeight="true" outlineLevel="0" collapsed="false">
      <c r="A264" s="29" t="str">
        <f aca="false">IF(OR(B264="",C264=""),"",B264&amp;"-"&amp;C264)</f>
        <v/>
      </c>
      <c r="B264" s="48"/>
      <c r="C264" s="40"/>
      <c r="D264" s="41"/>
      <c r="E264" s="42"/>
      <c r="F264" s="48"/>
      <c r="G264" s="43"/>
      <c r="H264" s="43"/>
      <c r="I264" s="44"/>
      <c r="J264" s="36" t="str">
        <f aca="false">IF(I264="","",IFERROR(INDEX(参数表!$D$13:$D$212,MATCH(I264,参数表!$A$13:$A$212,0)),"SKU未建档"))</f>
        <v/>
      </c>
      <c r="K264" s="36" t="str">
        <f aca="false">IF(I264="","",IFERROR(INDEX(参数表!$F$13:$F$212,MATCH(I264,参数表!$A$13:$A$212,0)),"SKU未建档"))</f>
        <v/>
      </c>
      <c r="L264" s="45"/>
      <c r="M264" s="35" t="str">
        <f aca="false">IF(I264="","",IFERROR(INDEX(参数表!$G$13:$G$212,MATCH(I264,参数表!$A$13:$A$212,0)),"SKU未建档"))</f>
        <v/>
      </c>
      <c r="N264" s="40"/>
      <c r="O264" s="46"/>
      <c r="P264" s="47"/>
      <c r="Q264" s="34" t="str">
        <f aca="false">IF(OR(O264="",P264=""),"",ROUND(O264*P264,2))</f>
        <v/>
      </c>
      <c r="R264" s="48"/>
      <c r="S264" s="46"/>
      <c r="T264" s="33" t="str">
        <f aca="false">IF(I264="","",IFERROR(INDEX(参数表!$H$13:$H$212,MATCH(I264,参数表!$A$13:$A$212,0)),"SKU未建档"))</f>
        <v/>
      </c>
      <c r="U264" s="34" t="str">
        <f aca="false">IF(A264="","",IF(参数表!$B$6="外贸企业",IF(S264="","",S264),IF(Q264="","",Q264)))</f>
        <v/>
      </c>
      <c r="V264" s="34" t="str">
        <f aca="false">IF(OR(U264="",NOT(ISNUMBER(T264))),"",ROUND(U264*T264,2))</f>
        <v/>
      </c>
      <c r="W264" s="43"/>
      <c r="X264" s="48"/>
      <c r="Y264" s="45"/>
      <c r="Z264" s="41"/>
      <c r="AA264" s="32" t="str">
        <f aca="false">IF(OR(L264="",Y264=""),"",Y264-L264)</f>
        <v/>
      </c>
      <c r="AB264" s="43"/>
      <c r="AC264" s="43"/>
    </row>
    <row r="265" customFormat="false" ht="21.75" hidden="false" customHeight="true" outlineLevel="0" collapsed="false">
      <c r="A265" s="29" t="str">
        <f aca="false">IF(OR(B265="",C265=""),"",B265&amp;"-"&amp;C265)</f>
        <v/>
      </c>
      <c r="B265" s="48"/>
      <c r="C265" s="40"/>
      <c r="D265" s="41"/>
      <c r="E265" s="42"/>
      <c r="F265" s="48"/>
      <c r="G265" s="43"/>
      <c r="H265" s="43"/>
      <c r="I265" s="44"/>
      <c r="J265" s="36" t="str">
        <f aca="false">IF(I265="","",IFERROR(INDEX(参数表!$D$13:$D$212,MATCH(I265,参数表!$A$13:$A$212,0)),"SKU未建档"))</f>
        <v/>
      </c>
      <c r="K265" s="36" t="str">
        <f aca="false">IF(I265="","",IFERROR(INDEX(参数表!$F$13:$F$212,MATCH(I265,参数表!$A$13:$A$212,0)),"SKU未建档"))</f>
        <v/>
      </c>
      <c r="L265" s="45"/>
      <c r="M265" s="35" t="str">
        <f aca="false">IF(I265="","",IFERROR(INDEX(参数表!$G$13:$G$212,MATCH(I265,参数表!$A$13:$A$212,0)),"SKU未建档"))</f>
        <v/>
      </c>
      <c r="N265" s="40"/>
      <c r="O265" s="46"/>
      <c r="P265" s="47"/>
      <c r="Q265" s="34" t="str">
        <f aca="false">IF(OR(O265="",P265=""),"",ROUND(O265*P265,2))</f>
        <v/>
      </c>
      <c r="R265" s="48"/>
      <c r="S265" s="46"/>
      <c r="T265" s="33" t="str">
        <f aca="false">IF(I265="","",IFERROR(INDEX(参数表!$H$13:$H$212,MATCH(I265,参数表!$A$13:$A$212,0)),"SKU未建档"))</f>
        <v/>
      </c>
      <c r="U265" s="34" t="str">
        <f aca="false">IF(A265="","",IF(参数表!$B$6="外贸企业",IF(S265="","",S265),IF(Q265="","",Q265)))</f>
        <v/>
      </c>
      <c r="V265" s="34" t="str">
        <f aca="false">IF(OR(U265="",NOT(ISNUMBER(T265))),"",ROUND(U265*T265,2))</f>
        <v/>
      </c>
      <c r="W265" s="43"/>
      <c r="X265" s="48"/>
      <c r="Y265" s="45"/>
      <c r="Z265" s="41"/>
      <c r="AA265" s="32" t="str">
        <f aca="false">IF(OR(L265="",Y265=""),"",Y265-L265)</f>
        <v/>
      </c>
      <c r="AB265" s="43"/>
      <c r="AC265" s="43"/>
    </row>
    <row r="266" customFormat="false" ht="21.75" hidden="false" customHeight="true" outlineLevel="0" collapsed="false">
      <c r="A266" s="29" t="str">
        <f aca="false">IF(OR(B266="",C266=""),"",B266&amp;"-"&amp;C266)</f>
        <v/>
      </c>
      <c r="B266" s="48"/>
      <c r="C266" s="40"/>
      <c r="D266" s="41"/>
      <c r="E266" s="42"/>
      <c r="F266" s="48"/>
      <c r="G266" s="43"/>
      <c r="H266" s="43"/>
      <c r="I266" s="44"/>
      <c r="J266" s="36" t="str">
        <f aca="false">IF(I266="","",IFERROR(INDEX(参数表!$D$13:$D$212,MATCH(I266,参数表!$A$13:$A$212,0)),"SKU未建档"))</f>
        <v/>
      </c>
      <c r="K266" s="36" t="str">
        <f aca="false">IF(I266="","",IFERROR(INDEX(参数表!$F$13:$F$212,MATCH(I266,参数表!$A$13:$A$212,0)),"SKU未建档"))</f>
        <v/>
      </c>
      <c r="L266" s="45"/>
      <c r="M266" s="35" t="str">
        <f aca="false">IF(I266="","",IFERROR(INDEX(参数表!$G$13:$G$212,MATCH(I266,参数表!$A$13:$A$212,0)),"SKU未建档"))</f>
        <v/>
      </c>
      <c r="N266" s="40"/>
      <c r="O266" s="46"/>
      <c r="P266" s="47"/>
      <c r="Q266" s="34" t="str">
        <f aca="false">IF(OR(O266="",P266=""),"",ROUND(O266*P266,2))</f>
        <v/>
      </c>
      <c r="R266" s="48"/>
      <c r="S266" s="46"/>
      <c r="T266" s="33" t="str">
        <f aca="false">IF(I266="","",IFERROR(INDEX(参数表!$H$13:$H$212,MATCH(I266,参数表!$A$13:$A$212,0)),"SKU未建档"))</f>
        <v/>
      </c>
      <c r="U266" s="34" t="str">
        <f aca="false">IF(A266="","",IF(参数表!$B$6="外贸企业",IF(S266="","",S266),IF(Q266="","",Q266)))</f>
        <v/>
      </c>
      <c r="V266" s="34" t="str">
        <f aca="false">IF(OR(U266="",NOT(ISNUMBER(T266))),"",ROUND(U266*T266,2))</f>
        <v/>
      </c>
      <c r="W266" s="43"/>
      <c r="X266" s="48"/>
      <c r="Y266" s="45"/>
      <c r="Z266" s="41"/>
      <c r="AA266" s="32" t="str">
        <f aca="false">IF(OR(L266="",Y266=""),"",Y266-L266)</f>
        <v/>
      </c>
      <c r="AB266" s="43"/>
      <c r="AC266" s="43"/>
    </row>
    <row r="267" customFormat="false" ht="21.75" hidden="false" customHeight="true" outlineLevel="0" collapsed="false">
      <c r="A267" s="29" t="str">
        <f aca="false">IF(OR(B267="",C267=""),"",B267&amp;"-"&amp;C267)</f>
        <v/>
      </c>
      <c r="B267" s="48"/>
      <c r="C267" s="40"/>
      <c r="D267" s="41"/>
      <c r="E267" s="42"/>
      <c r="F267" s="48"/>
      <c r="G267" s="43"/>
      <c r="H267" s="43"/>
      <c r="I267" s="44"/>
      <c r="J267" s="36" t="str">
        <f aca="false">IF(I267="","",IFERROR(INDEX(参数表!$D$13:$D$212,MATCH(I267,参数表!$A$13:$A$212,0)),"SKU未建档"))</f>
        <v/>
      </c>
      <c r="K267" s="36" t="str">
        <f aca="false">IF(I267="","",IFERROR(INDEX(参数表!$F$13:$F$212,MATCH(I267,参数表!$A$13:$A$212,0)),"SKU未建档"))</f>
        <v/>
      </c>
      <c r="L267" s="45"/>
      <c r="M267" s="35" t="str">
        <f aca="false">IF(I267="","",IFERROR(INDEX(参数表!$G$13:$G$212,MATCH(I267,参数表!$A$13:$A$212,0)),"SKU未建档"))</f>
        <v/>
      </c>
      <c r="N267" s="40"/>
      <c r="O267" s="46"/>
      <c r="P267" s="47"/>
      <c r="Q267" s="34" t="str">
        <f aca="false">IF(OR(O267="",P267=""),"",ROUND(O267*P267,2))</f>
        <v/>
      </c>
      <c r="R267" s="48"/>
      <c r="S267" s="46"/>
      <c r="T267" s="33" t="str">
        <f aca="false">IF(I267="","",IFERROR(INDEX(参数表!$H$13:$H$212,MATCH(I267,参数表!$A$13:$A$212,0)),"SKU未建档"))</f>
        <v/>
      </c>
      <c r="U267" s="34" t="str">
        <f aca="false">IF(A267="","",IF(参数表!$B$6="外贸企业",IF(S267="","",S267),IF(Q267="","",Q267)))</f>
        <v/>
      </c>
      <c r="V267" s="34" t="str">
        <f aca="false">IF(OR(U267="",NOT(ISNUMBER(T267))),"",ROUND(U267*T267,2))</f>
        <v/>
      </c>
      <c r="W267" s="43"/>
      <c r="X267" s="48"/>
      <c r="Y267" s="45"/>
      <c r="Z267" s="41"/>
      <c r="AA267" s="32" t="str">
        <f aca="false">IF(OR(L267="",Y267=""),"",Y267-L267)</f>
        <v/>
      </c>
      <c r="AB267" s="43"/>
      <c r="AC267" s="43"/>
    </row>
    <row r="268" customFormat="false" ht="21.75" hidden="false" customHeight="true" outlineLevel="0" collapsed="false">
      <c r="A268" s="29" t="str">
        <f aca="false">IF(OR(B268="",C268=""),"",B268&amp;"-"&amp;C268)</f>
        <v/>
      </c>
      <c r="B268" s="48"/>
      <c r="C268" s="40"/>
      <c r="D268" s="41"/>
      <c r="E268" s="42"/>
      <c r="F268" s="48"/>
      <c r="G268" s="43"/>
      <c r="H268" s="43"/>
      <c r="I268" s="44"/>
      <c r="J268" s="36" t="str">
        <f aca="false">IF(I268="","",IFERROR(INDEX(参数表!$D$13:$D$212,MATCH(I268,参数表!$A$13:$A$212,0)),"SKU未建档"))</f>
        <v/>
      </c>
      <c r="K268" s="36" t="str">
        <f aca="false">IF(I268="","",IFERROR(INDEX(参数表!$F$13:$F$212,MATCH(I268,参数表!$A$13:$A$212,0)),"SKU未建档"))</f>
        <v/>
      </c>
      <c r="L268" s="45"/>
      <c r="M268" s="35" t="str">
        <f aca="false">IF(I268="","",IFERROR(INDEX(参数表!$G$13:$G$212,MATCH(I268,参数表!$A$13:$A$212,0)),"SKU未建档"))</f>
        <v/>
      </c>
      <c r="N268" s="40"/>
      <c r="O268" s="46"/>
      <c r="P268" s="47"/>
      <c r="Q268" s="34" t="str">
        <f aca="false">IF(OR(O268="",P268=""),"",ROUND(O268*P268,2))</f>
        <v/>
      </c>
      <c r="R268" s="48"/>
      <c r="S268" s="46"/>
      <c r="T268" s="33" t="str">
        <f aca="false">IF(I268="","",IFERROR(INDEX(参数表!$H$13:$H$212,MATCH(I268,参数表!$A$13:$A$212,0)),"SKU未建档"))</f>
        <v/>
      </c>
      <c r="U268" s="34" t="str">
        <f aca="false">IF(A268="","",IF(参数表!$B$6="外贸企业",IF(S268="","",S268),IF(Q268="","",Q268)))</f>
        <v/>
      </c>
      <c r="V268" s="34" t="str">
        <f aca="false">IF(OR(U268="",NOT(ISNUMBER(T268))),"",ROUND(U268*T268,2))</f>
        <v/>
      </c>
      <c r="W268" s="43"/>
      <c r="X268" s="48"/>
      <c r="Y268" s="45"/>
      <c r="Z268" s="41"/>
      <c r="AA268" s="32" t="str">
        <f aca="false">IF(OR(L268="",Y268=""),"",Y268-L268)</f>
        <v/>
      </c>
      <c r="AB268" s="43"/>
      <c r="AC268" s="43"/>
    </row>
    <row r="269" customFormat="false" ht="21.75" hidden="false" customHeight="true" outlineLevel="0" collapsed="false">
      <c r="A269" s="29" t="str">
        <f aca="false">IF(OR(B269="",C269=""),"",B269&amp;"-"&amp;C269)</f>
        <v/>
      </c>
      <c r="B269" s="48"/>
      <c r="C269" s="40"/>
      <c r="D269" s="41"/>
      <c r="E269" s="42"/>
      <c r="F269" s="48"/>
      <c r="G269" s="43"/>
      <c r="H269" s="43"/>
      <c r="I269" s="44"/>
      <c r="J269" s="36" t="str">
        <f aca="false">IF(I269="","",IFERROR(INDEX(参数表!$D$13:$D$212,MATCH(I269,参数表!$A$13:$A$212,0)),"SKU未建档"))</f>
        <v/>
      </c>
      <c r="K269" s="36" t="str">
        <f aca="false">IF(I269="","",IFERROR(INDEX(参数表!$F$13:$F$212,MATCH(I269,参数表!$A$13:$A$212,0)),"SKU未建档"))</f>
        <v/>
      </c>
      <c r="L269" s="45"/>
      <c r="M269" s="35" t="str">
        <f aca="false">IF(I269="","",IFERROR(INDEX(参数表!$G$13:$G$212,MATCH(I269,参数表!$A$13:$A$212,0)),"SKU未建档"))</f>
        <v/>
      </c>
      <c r="N269" s="40"/>
      <c r="O269" s="46"/>
      <c r="P269" s="47"/>
      <c r="Q269" s="34" t="str">
        <f aca="false">IF(OR(O269="",P269=""),"",ROUND(O269*P269,2))</f>
        <v/>
      </c>
      <c r="R269" s="48"/>
      <c r="S269" s="46"/>
      <c r="T269" s="33" t="str">
        <f aca="false">IF(I269="","",IFERROR(INDEX(参数表!$H$13:$H$212,MATCH(I269,参数表!$A$13:$A$212,0)),"SKU未建档"))</f>
        <v/>
      </c>
      <c r="U269" s="34" t="str">
        <f aca="false">IF(A269="","",IF(参数表!$B$6="外贸企业",IF(S269="","",S269),IF(Q269="","",Q269)))</f>
        <v/>
      </c>
      <c r="V269" s="34" t="str">
        <f aca="false">IF(OR(U269="",NOT(ISNUMBER(T269))),"",ROUND(U269*T269,2))</f>
        <v/>
      </c>
      <c r="W269" s="43"/>
      <c r="X269" s="48"/>
      <c r="Y269" s="45"/>
      <c r="Z269" s="41"/>
      <c r="AA269" s="32" t="str">
        <f aca="false">IF(OR(L269="",Y269=""),"",Y269-L269)</f>
        <v/>
      </c>
      <c r="AB269" s="43"/>
      <c r="AC269" s="43"/>
    </row>
    <row r="270" customFormat="false" ht="21.75" hidden="false" customHeight="true" outlineLevel="0" collapsed="false">
      <c r="A270" s="29" t="str">
        <f aca="false">IF(OR(B270="",C270=""),"",B270&amp;"-"&amp;C270)</f>
        <v/>
      </c>
      <c r="B270" s="48"/>
      <c r="C270" s="40"/>
      <c r="D270" s="41"/>
      <c r="E270" s="42"/>
      <c r="F270" s="48"/>
      <c r="G270" s="43"/>
      <c r="H270" s="43"/>
      <c r="I270" s="44"/>
      <c r="J270" s="36" t="str">
        <f aca="false">IF(I270="","",IFERROR(INDEX(参数表!$D$13:$D$212,MATCH(I270,参数表!$A$13:$A$212,0)),"SKU未建档"))</f>
        <v/>
      </c>
      <c r="K270" s="36" t="str">
        <f aca="false">IF(I270="","",IFERROR(INDEX(参数表!$F$13:$F$212,MATCH(I270,参数表!$A$13:$A$212,0)),"SKU未建档"))</f>
        <v/>
      </c>
      <c r="L270" s="45"/>
      <c r="M270" s="35" t="str">
        <f aca="false">IF(I270="","",IFERROR(INDEX(参数表!$G$13:$G$212,MATCH(I270,参数表!$A$13:$A$212,0)),"SKU未建档"))</f>
        <v/>
      </c>
      <c r="N270" s="40"/>
      <c r="O270" s="46"/>
      <c r="P270" s="47"/>
      <c r="Q270" s="34" t="str">
        <f aca="false">IF(OR(O270="",P270=""),"",ROUND(O270*P270,2))</f>
        <v/>
      </c>
      <c r="R270" s="48"/>
      <c r="S270" s="46"/>
      <c r="T270" s="33" t="str">
        <f aca="false">IF(I270="","",IFERROR(INDEX(参数表!$H$13:$H$212,MATCH(I270,参数表!$A$13:$A$212,0)),"SKU未建档"))</f>
        <v/>
      </c>
      <c r="U270" s="34" t="str">
        <f aca="false">IF(A270="","",IF(参数表!$B$6="外贸企业",IF(S270="","",S270),IF(Q270="","",Q270)))</f>
        <v/>
      </c>
      <c r="V270" s="34" t="str">
        <f aca="false">IF(OR(U270="",NOT(ISNUMBER(T270))),"",ROUND(U270*T270,2))</f>
        <v/>
      </c>
      <c r="W270" s="43"/>
      <c r="X270" s="48"/>
      <c r="Y270" s="45"/>
      <c r="Z270" s="41"/>
      <c r="AA270" s="32" t="str">
        <f aca="false">IF(OR(L270="",Y270=""),"",Y270-L270)</f>
        <v/>
      </c>
      <c r="AB270" s="43"/>
      <c r="AC270" s="43"/>
    </row>
    <row r="271" customFormat="false" ht="21.75" hidden="false" customHeight="true" outlineLevel="0" collapsed="false">
      <c r="A271" s="29" t="str">
        <f aca="false">IF(OR(B271="",C271=""),"",B271&amp;"-"&amp;C271)</f>
        <v/>
      </c>
      <c r="B271" s="48"/>
      <c r="C271" s="40"/>
      <c r="D271" s="41"/>
      <c r="E271" s="42"/>
      <c r="F271" s="48"/>
      <c r="G271" s="43"/>
      <c r="H271" s="43"/>
      <c r="I271" s="44"/>
      <c r="J271" s="36" t="str">
        <f aca="false">IF(I271="","",IFERROR(INDEX(参数表!$D$13:$D$212,MATCH(I271,参数表!$A$13:$A$212,0)),"SKU未建档"))</f>
        <v/>
      </c>
      <c r="K271" s="36" t="str">
        <f aca="false">IF(I271="","",IFERROR(INDEX(参数表!$F$13:$F$212,MATCH(I271,参数表!$A$13:$A$212,0)),"SKU未建档"))</f>
        <v/>
      </c>
      <c r="L271" s="45"/>
      <c r="M271" s="35" t="str">
        <f aca="false">IF(I271="","",IFERROR(INDEX(参数表!$G$13:$G$212,MATCH(I271,参数表!$A$13:$A$212,0)),"SKU未建档"))</f>
        <v/>
      </c>
      <c r="N271" s="40"/>
      <c r="O271" s="46"/>
      <c r="P271" s="47"/>
      <c r="Q271" s="34" t="str">
        <f aca="false">IF(OR(O271="",P271=""),"",ROUND(O271*P271,2))</f>
        <v/>
      </c>
      <c r="R271" s="48"/>
      <c r="S271" s="46"/>
      <c r="T271" s="33" t="str">
        <f aca="false">IF(I271="","",IFERROR(INDEX(参数表!$H$13:$H$212,MATCH(I271,参数表!$A$13:$A$212,0)),"SKU未建档"))</f>
        <v/>
      </c>
      <c r="U271" s="34" t="str">
        <f aca="false">IF(A271="","",IF(参数表!$B$6="外贸企业",IF(S271="","",S271),IF(Q271="","",Q271)))</f>
        <v/>
      </c>
      <c r="V271" s="34" t="str">
        <f aca="false">IF(OR(U271="",NOT(ISNUMBER(T271))),"",ROUND(U271*T271,2))</f>
        <v/>
      </c>
      <c r="W271" s="43"/>
      <c r="X271" s="48"/>
      <c r="Y271" s="45"/>
      <c r="Z271" s="41"/>
      <c r="AA271" s="32" t="str">
        <f aca="false">IF(OR(L271="",Y271=""),"",Y271-L271)</f>
        <v/>
      </c>
      <c r="AB271" s="43"/>
      <c r="AC271" s="43"/>
    </row>
    <row r="272" customFormat="false" ht="21.75" hidden="false" customHeight="true" outlineLevel="0" collapsed="false">
      <c r="A272" s="29" t="str">
        <f aca="false">IF(OR(B272="",C272=""),"",B272&amp;"-"&amp;C272)</f>
        <v/>
      </c>
      <c r="B272" s="48"/>
      <c r="C272" s="40"/>
      <c r="D272" s="41"/>
      <c r="E272" s="42"/>
      <c r="F272" s="48"/>
      <c r="G272" s="43"/>
      <c r="H272" s="43"/>
      <c r="I272" s="44"/>
      <c r="J272" s="36" t="str">
        <f aca="false">IF(I272="","",IFERROR(INDEX(参数表!$D$13:$D$212,MATCH(I272,参数表!$A$13:$A$212,0)),"SKU未建档"))</f>
        <v/>
      </c>
      <c r="K272" s="36" t="str">
        <f aca="false">IF(I272="","",IFERROR(INDEX(参数表!$F$13:$F$212,MATCH(I272,参数表!$A$13:$A$212,0)),"SKU未建档"))</f>
        <v/>
      </c>
      <c r="L272" s="45"/>
      <c r="M272" s="35" t="str">
        <f aca="false">IF(I272="","",IFERROR(INDEX(参数表!$G$13:$G$212,MATCH(I272,参数表!$A$13:$A$212,0)),"SKU未建档"))</f>
        <v/>
      </c>
      <c r="N272" s="40"/>
      <c r="O272" s="46"/>
      <c r="P272" s="47"/>
      <c r="Q272" s="34" t="str">
        <f aca="false">IF(OR(O272="",P272=""),"",ROUND(O272*P272,2))</f>
        <v/>
      </c>
      <c r="R272" s="48"/>
      <c r="S272" s="46"/>
      <c r="T272" s="33" t="str">
        <f aca="false">IF(I272="","",IFERROR(INDEX(参数表!$H$13:$H$212,MATCH(I272,参数表!$A$13:$A$212,0)),"SKU未建档"))</f>
        <v/>
      </c>
      <c r="U272" s="34" t="str">
        <f aca="false">IF(A272="","",IF(参数表!$B$6="外贸企业",IF(S272="","",S272),IF(Q272="","",Q272)))</f>
        <v/>
      </c>
      <c r="V272" s="34" t="str">
        <f aca="false">IF(OR(U272="",NOT(ISNUMBER(T272))),"",ROUND(U272*T272,2))</f>
        <v/>
      </c>
      <c r="W272" s="43"/>
      <c r="X272" s="48"/>
      <c r="Y272" s="45"/>
      <c r="Z272" s="41"/>
      <c r="AA272" s="32" t="str">
        <f aca="false">IF(OR(L272="",Y272=""),"",Y272-L272)</f>
        <v/>
      </c>
      <c r="AB272" s="43"/>
      <c r="AC272" s="43"/>
    </row>
    <row r="273" customFormat="false" ht="21.75" hidden="false" customHeight="true" outlineLevel="0" collapsed="false">
      <c r="A273" s="29" t="str">
        <f aca="false">IF(OR(B273="",C273=""),"",B273&amp;"-"&amp;C273)</f>
        <v/>
      </c>
      <c r="B273" s="48"/>
      <c r="C273" s="40"/>
      <c r="D273" s="41"/>
      <c r="E273" s="42"/>
      <c r="F273" s="48"/>
      <c r="G273" s="43"/>
      <c r="H273" s="43"/>
      <c r="I273" s="44"/>
      <c r="J273" s="36" t="str">
        <f aca="false">IF(I273="","",IFERROR(INDEX(参数表!$D$13:$D$212,MATCH(I273,参数表!$A$13:$A$212,0)),"SKU未建档"))</f>
        <v/>
      </c>
      <c r="K273" s="36" t="str">
        <f aca="false">IF(I273="","",IFERROR(INDEX(参数表!$F$13:$F$212,MATCH(I273,参数表!$A$13:$A$212,0)),"SKU未建档"))</f>
        <v/>
      </c>
      <c r="L273" s="45"/>
      <c r="M273" s="35" t="str">
        <f aca="false">IF(I273="","",IFERROR(INDEX(参数表!$G$13:$G$212,MATCH(I273,参数表!$A$13:$A$212,0)),"SKU未建档"))</f>
        <v/>
      </c>
      <c r="N273" s="40"/>
      <c r="O273" s="46"/>
      <c r="P273" s="47"/>
      <c r="Q273" s="34" t="str">
        <f aca="false">IF(OR(O273="",P273=""),"",ROUND(O273*P273,2))</f>
        <v/>
      </c>
      <c r="R273" s="48"/>
      <c r="S273" s="46"/>
      <c r="T273" s="33" t="str">
        <f aca="false">IF(I273="","",IFERROR(INDEX(参数表!$H$13:$H$212,MATCH(I273,参数表!$A$13:$A$212,0)),"SKU未建档"))</f>
        <v/>
      </c>
      <c r="U273" s="34" t="str">
        <f aca="false">IF(A273="","",IF(参数表!$B$6="外贸企业",IF(S273="","",S273),IF(Q273="","",Q273)))</f>
        <v/>
      </c>
      <c r="V273" s="34" t="str">
        <f aca="false">IF(OR(U273="",NOT(ISNUMBER(T273))),"",ROUND(U273*T273,2))</f>
        <v/>
      </c>
      <c r="W273" s="43"/>
      <c r="X273" s="48"/>
      <c r="Y273" s="45"/>
      <c r="Z273" s="41"/>
      <c r="AA273" s="32" t="str">
        <f aca="false">IF(OR(L273="",Y273=""),"",Y273-L273)</f>
        <v/>
      </c>
      <c r="AB273" s="43"/>
      <c r="AC273" s="43"/>
    </row>
    <row r="274" customFormat="false" ht="21.75" hidden="false" customHeight="true" outlineLevel="0" collapsed="false">
      <c r="A274" s="29" t="str">
        <f aca="false">IF(OR(B274="",C274=""),"",B274&amp;"-"&amp;C274)</f>
        <v/>
      </c>
      <c r="B274" s="48"/>
      <c r="C274" s="40"/>
      <c r="D274" s="41"/>
      <c r="E274" s="42"/>
      <c r="F274" s="48"/>
      <c r="G274" s="43"/>
      <c r="H274" s="43"/>
      <c r="I274" s="44"/>
      <c r="J274" s="36" t="str">
        <f aca="false">IF(I274="","",IFERROR(INDEX(参数表!$D$13:$D$212,MATCH(I274,参数表!$A$13:$A$212,0)),"SKU未建档"))</f>
        <v/>
      </c>
      <c r="K274" s="36" t="str">
        <f aca="false">IF(I274="","",IFERROR(INDEX(参数表!$F$13:$F$212,MATCH(I274,参数表!$A$13:$A$212,0)),"SKU未建档"))</f>
        <v/>
      </c>
      <c r="L274" s="45"/>
      <c r="M274" s="35" t="str">
        <f aca="false">IF(I274="","",IFERROR(INDEX(参数表!$G$13:$G$212,MATCH(I274,参数表!$A$13:$A$212,0)),"SKU未建档"))</f>
        <v/>
      </c>
      <c r="N274" s="40"/>
      <c r="O274" s="46"/>
      <c r="P274" s="47"/>
      <c r="Q274" s="34" t="str">
        <f aca="false">IF(OR(O274="",P274=""),"",ROUND(O274*P274,2))</f>
        <v/>
      </c>
      <c r="R274" s="48"/>
      <c r="S274" s="46"/>
      <c r="T274" s="33" t="str">
        <f aca="false">IF(I274="","",IFERROR(INDEX(参数表!$H$13:$H$212,MATCH(I274,参数表!$A$13:$A$212,0)),"SKU未建档"))</f>
        <v/>
      </c>
      <c r="U274" s="34" t="str">
        <f aca="false">IF(A274="","",IF(参数表!$B$6="外贸企业",IF(S274="","",S274),IF(Q274="","",Q274)))</f>
        <v/>
      </c>
      <c r="V274" s="34" t="str">
        <f aca="false">IF(OR(U274="",NOT(ISNUMBER(T274))),"",ROUND(U274*T274,2))</f>
        <v/>
      </c>
      <c r="W274" s="43"/>
      <c r="X274" s="48"/>
      <c r="Y274" s="45"/>
      <c r="Z274" s="41"/>
      <c r="AA274" s="32" t="str">
        <f aca="false">IF(OR(L274="",Y274=""),"",Y274-L274)</f>
        <v/>
      </c>
      <c r="AB274" s="43"/>
      <c r="AC274" s="43"/>
    </row>
    <row r="275" customFormat="false" ht="21.75" hidden="false" customHeight="true" outlineLevel="0" collapsed="false">
      <c r="A275" s="29" t="str">
        <f aca="false">IF(OR(B275="",C275=""),"",B275&amp;"-"&amp;C275)</f>
        <v/>
      </c>
      <c r="B275" s="48"/>
      <c r="C275" s="40"/>
      <c r="D275" s="41"/>
      <c r="E275" s="42"/>
      <c r="F275" s="48"/>
      <c r="G275" s="43"/>
      <c r="H275" s="43"/>
      <c r="I275" s="44"/>
      <c r="J275" s="36" t="str">
        <f aca="false">IF(I275="","",IFERROR(INDEX(参数表!$D$13:$D$212,MATCH(I275,参数表!$A$13:$A$212,0)),"SKU未建档"))</f>
        <v/>
      </c>
      <c r="K275" s="36" t="str">
        <f aca="false">IF(I275="","",IFERROR(INDEX(参数表!$F$13:$F$212,MATCH(I275,参数表!$A$13:$A$212,0)),"SKU未建档"))</f>
        <v/>
      </c>
      <c r="L275" s="45"/>
      <c r="M275" s="35" t="str">
        <f aca="false">IF(I275="","",IFERROR(INDEX(参数表!$G$13:$G$212,MATCH(I275,参数表!$A$13:$A$212,0)),"SKU未建档"))</f>
        <v/>
      </c>
      <c r="N275" s="40"/>
      <c r="O275" s="46"/>
      <c r="P275" s="47"/>
      <c r="Q275" s="34" t="str">
        <f aca="false">IF(OR(O275="",P275=""),"",ROUND(O275*P275,2))</f>
        <v/>
      </c>
      <c r="R275" s="48"/>
      <c r="S275" s="46"/>
      <c r="T275" s="33" t="str">
        <f aca="false">IF(I275="","",IFERROR(INDEX(参数表!$H$13:$H$212,MATCH(I275,参数表!$A$13:$A$212,0)),"SKU未建档"))</f>
        <v/>
      </c>
      <c r="U275" s="34" t="str">
        <f aca="false">IF(A275="","",IF(参数表!$B$6="外贸企业",IF(S275="","",S275),IF(Q275="","",Q275)))</f>
        <v/>
      </c>
      <c r="V275" s="34" t="str">
        <f aca="false">IF(OR(U275="",NOT(ISNUMBER(T275))),"",ROUND(U275*T275,2))</f>
        <v/>
      </c>
      <c r="W275" s="43"/>
      <c r="X275" s="48"/>
      <c r="Y275" s="45"/>
      <c r="Z275" s="41"/>
      <c r="AA275" s="32" t="str">
        <f aca="false">IF(OR(L275="",Y275=""),"",Y275-L275)</f>
        <v/>
      </c>
      <c r="AB275" s="43"/>
      <c r="AC275" s="43"/>
    </row>
    <row r="276" customFormat="false" ht="21.75" hidden="false" customHeight="true" outlineLevel="0" collapsed="false">
      <c r="A276" s="29" t="str">
        <f aca="false">IF(OR(B276="",C276=""),"",B276&amp;"-"&amp;C276)</f>
        <v/>
      </c>
      <c r="B276" s="48"/>
      <c r="C276" s="40"/>
      <c r="D276" s="41"/>
      <c r="E276" s="42"/>
      <c r="F276" s="48"/>
      <c r="G276" s="43"/>
      <c r="H276" s="43"/>
      <c r="I276" s="44"/>
      <c r="J276" s="36" t="str">
        <f aca="false">IF(I276="","",IFERROR(INDEX(参数表!$D$13:$D$212,MATCH(I276,参数表!$A$13:$A$212,0)),"SKU未建档"))</f>
        <v/>
      </c>
      <c r="K276" s="36" t="str">
        <f aca="false">IF(I276="","",IFERROR(INDEX(参数表!$F$13:$F$212,MATCH(I276,参数表!$A$13:$A$212,0)),"SKU未建档"))</f>
        <v/>
      </c>
      <c r="L276" s="45"/>
      <c r="M276" s="35" t="str">
        <f aca="false">IF(I276="","",IFERROR(INDEX(参数表!$G$13:$G$212,MATCH(I276,参数表!$A$13:$A$212,0)),"SKU未建档"))</f>
        <v/>
      </c>
      <c r="N276" s="40"/>
      <c r="O276" s="46"/>
      <c r="P276" s="47"/>
      <c r="Q276" s="34" t="str">
        <f aca="false">IF(OR(O276="",P276=""),"",ROUND(O276*P276,2))</f>
        <v/>
      </c>
      <c r="R276" s="48"/>
      <c r="S276" s="46"/>
      <c r="T276" s="33" t="str">
        <f aca="false">IF(I276="","",IFERROR(INDEX(参数表!$H$13:$H$212,MATCH(I276,参数表!$A$13:$A$212,0)),"SKU未建档"))</f>
        <v/>
      </c>
      <c r="U276" s="34" t="str">
        <f aca="false">IF(A276="","",IF(参数表!$B$6="外贸企业",IF(S276="","",S276),IF(Q276="","",Q276)))</f>
        <v/>
      </c>
      <c r="V276" s="34" t="str">
        <f aca="false">IF(OR(U276="",NOT(ISNUMBER(T276))),"",ROUND(U276*T276,2))</f>
        <v/>
      </c>
      <c r="W276" s="43"/>
      <c r="X276" s="48"/>
      <c r="Y276" s="45"/>
      <c r="Z276" s="41"/>
      <c r="AA276" s="32" t="str">
        <f aca="false">IF(OR(L276="",Y276=""),"",Y276-L276)</f>
        <v/>
      </c>
      <c r="AB276" s="43"/>
      <c r="AC276" s="43"/>
    </row>
    <row r="277" customFormat="false" ht="21.75" hidden="false" customHeight="true" outlineLevel="0" collapsed="false">
      <c r="A277" s="29" t="str">
        <f aca="false">IF(OR(B277="",C277=""),"",B277&amp;"-"&amp;C277)</f>
        <v/>
      </c>
      <c r="B277" s="48"/>
      <c r="C277" s="40"/>
      <c r="D277" s="41"/>
      <c r="E277" s="42"/>
      <c r="F277" s="48"/>
      <c r="G277" s="43"/>
      <c r="H277" s="43"/>
      <c r="I277" s="44"/>
      <c r="J277" s="36" t="str">
        <f aca="false">IF(I277="","",IFERROR(INDEX(参数表!$D$13:$D$212,MATCH(I277,参数表!$A$13:$A$212,0)),"SKU未建档"))</f>
        <v/>
      </c>
      <c r="K277" s="36" t="str">
        <f aca="false">IF(I277="","",IFERROR(INDEX(参数表!$F$13:$F$212,MATCH(I277,参数表!$A$13:$A$212,0)),"SKU未建档"))</f>
        <v/>
      </c>
      <c r="L277" s="45"/>
      <c r="M277" s="35" t="str">
        <f aca="false">IF(I277="","",IFERROR(INDEX(参数表!$G$13:$G$212,MATCH(I277,参数表!$A$13:$A$212,0)),"SKU未建档"))</f>
        <v/>
      </c>
      <c r="N277" s="40"/>
      <c r="O277" s="46"/>
      <c r="P277" s="47"/>
      <c r="Q277" s="34" t="str">
        <f aca="false">IF(OR(O277="",P277=""),"",ROUND(O277*P277,2))</f>
        <v/>
      </c>
      <c r="R277" s="48"/>
      <c r="S277" s="46"/>
      <c r="T277" s="33" t="str">
        <f aca="false">IF(I277="","",IFERROR(INDEX(参数表!$H$13:$H$212,MATCH(I277,参数表!$A$13:$A$212,0)),"SKU未建档"))</f>
        <v/>
      </c>
      <c r="U277" s="34" t="str">
        <f aca="false">IF(A277="","",IF(参数表!$B$6="外贸企业",IF(S277="","",S277),IF(Q277="","",Q277)))</f>
        <v/>
      </c>
      <c r="V277" s="34" t="str">
        <f aca="false">IF(OR(U277="",NOT(ISNUMBER(T277))),"",ROUND(U277*T277,2))</f>
        <v/>
      </c>
      <c r="W277" s="43"/>
      <c r="X277" s="48"/>
      <c r="Y277" s="45"/>
      <c r="Z277" s="41"/>
      <c r="AA277" s="32" t="str">
        <f aca="false">IF(OR(L277="",Y277=""),"",Y277-L277)</f>
        <v/>
      </c>
      <c r="AB277" s="43"/>
      <c r="AC277" s="43"/>
    </row>
    <row r="278" customFormat="false" ht="21.75" hidden="false" customHeight="true" outlineLevel="0" collapsed="false">
      <c r="A278" s="29" t="str">
        <f aca="false">IF(OR(B278="",C278=""),"",B278&amp;"-"&amp;C278)</f>
        <v/>
      </c>
      <c r="B278" s="48"/>
      <c r="C278" s="40"/>
      <c r="D278" s="41"/>
      <c r="E278" s="42"/>
      <c r="F278" s="48"/>
      <c r="G278" s="43"/>
      <c r="H278" s="43"/>
      <c r="I278" s="44"/>
      <c r="J278" s="36" t="str">
        <f aca="false">IF(I278="","",IFERROR(INDEX(参数表!$D$13:$D$212,MATCH(I278,参数表!$A$13:$A$212,0)),"SKU未建档"))</f>
        <v/>
      </c>
      <c r="K278" s="36" t="str">
        <f aca="false">IF(I278="","",IFERROR(INDEX(参数表!$F$13:$F$212,MATCH(I278,参数表!$A$13:$A$212,0)),"SKU未建档"))</f>
        <v/>
      </c>
      <c r="L278" s="45"/>
      <c r="M278" s="35" t="str">
        <f aca="false">IF(I278="","",IFERROR(INDEX(参数表!$G$13:$G$212,MATCH(I278,参数表!$A$13:$A$212,0)),"SKU未建档"))</f>
        <v/>
      </c>
      <c r="N278" s="40"/>
      <c r="O278" s="46"/>
      <c r="P278" s="47"/>
      <c r="Q278" s="34" t="str">
        <f aca="false">IF(OR(O278="",P278=""),"",ROUND(O278*P278,2))</f>
        <v/>
      </c>
      <c r="R278" s="48"/>
      <c r="S278" s="46"/>
      <c r="T278" s="33" t="str">
        <f aca="false">IF(I278="","",IFERROR(INDEX(参数表!$H$13:$H$212,MATCH(I278,参数表!$A$13:$A$212,0)),"SKU未建档"))</f>
        <v/>
      </c>
      <c r="U278" s="34" t="str">
        <f aca="false">IF(A278="","",IF(参数表!$B$6="外贸企业",IF(S278="","",S278),IF(Q278="","",Q278)))</f>
        <v/>
      </c>
      <c r="V278" s="34" t="str">
        <f aca="false">IF(OR(U278="",NOT(ISNUMBER(T278))),"",ROUND(U278*T278,2))</f>
        <v/>
      </c>
      <c r="W278" s="43"/>
      <c r="X278" s="48"/>
      <c r="Y278" s="45"/>
      <c r="Z278" s="41"/>
      <c r="AA278" s="32" t="str">
        <f aca="false">IF(OR(L278="",Y278=""),"",Y278-L278)</f>
        <v/>
      </c>
      <c r="AB278" s="43"/>
      <c r="AC278" s="43"/>
    </row>
    <row r="279" customFormat="false" ht="21.75" hidden="false" customHeight="true" outlineLevel="0" collapsed="false">
      <c r="A279" s="29" t="str">
        <f aca="false">IF(OR(B279="",C279=""),"",B279&amp;"-"&amp;C279)</f>
        <v/>
      </c>
      <c r="B279" s="48"/>
      <c r="C279" s="40"/>
      <c r="D279" s="41"/>
      <c r="E279" s="42"/>
      <c r="F279" s="48"/>
      <c r="G279" s="43"/>
      <c r="H279" s="43"/>
      <c r="I279" s="44"/>
      <c r="J279" s="36" t="str">
        <f aca="false">IF(I279="","",IFERROR(INDEX(参数表!$D$13:$D$212,MATCH(I279,参数表!$A$13:$A$212,0)),"SKU未建档"))</f>
        <v/>
      </c>
      <c r="K279" s="36" t="str">
        <f aca="false">IF(I279="","",IFERROR(INDEX(参数表!$F$13:$F$212,MATCH(I279,参数表!$A$13:$A$212,0)),"SKU未建档"))</f>
        <v/>
      </c>
      <c r="L279" s="45"/>
      <c r="M279" s="35" t="str">
        <f aca="false">IF(I279="","",IFERROR(INDEX(参数表!$G$13:$G$212,MATCH(I279,参数表!$A$13:$A$212,0)),"SKU未建档"))</f>
        <v/>
      </c>
      <c r="N279" s="40"/>
      <c r="O279" s="46"/>
      <c r="P279" s="47"/>
      <c r="Q279" s="34" t="str">
        <f aca="false">IF(OR(O279="",P279=""),"",ROUND(O279*P279,2))</f>
        <v/>
      </c>
      <c r="R279" s="48"/>
      <c r="S279" s="46"/>
      <c r="T279" s="33" t="str">
        <f aca="false">IF(I279="","",IFERROR(INDEX(参数表!$H$13:$H$212,MATCH(I279,参数表!$A$13:$A$212,0)),"SKU未建档"))</f>
        <v/>
      </c>
      <c r="U279" s="34" t="str">
        <f aca="false">IF(A279="","",IF(参数表!$B$6="外贸企业",IF(S279="","",S279),IF(Q279="","",Q279)))</f>
        <v/>
      </c>
      <c r="V279" s="34" t="str">
        <f aca="false">IF(OR(U279="",NOT(ISNUMBER(T279))),"",ROUND(U279*T279,2))</f>
        <v/>
      </c>
      <c r="W279" s="43"/>
      <c r="X279" s="48"/>
      <c r="Y279" s="45"/>
      <c r="Z279" s="41"/>
      <c r="AA279" s="32" t="str">
        <f aca="false">IF(OR(L279="",Y279=""),"",Y279-L279)</f>
        <v/>
      </c>
      <c r="AB279" s="43"/>
      <c r="AC279" s="43"/>
    </row>
    <row r="280" customFormat="false" ht="21.75" hidden="false" customHeight="true" outlineLevel="0" collapsed="false">
      <c r="A280" s="29" t="str">
        <f aca="false">IF(OR(B280="",C280=""),"",B280&amp;"-"&amp;C280)</f>
        <v/>
      </c>
      <c r="B280" s="48"/>
      <c r="C280" s="40"/>
      <c r="D280" s="41"/>
      <c r="E280" s="42"/>
      <c r="F280" s="48"/>
      <c r="G280" s="43"/>
      <c r="H280" s="43"/>
      <c r="I280" s="44"/>
      <c r="J280" s="36" t="str">
        <f aca="false">IF(I280="","",IFERROR(INDEX(参数表!$D$13:$D$212,MATCH(I280,参数表!$A$13:$A$212,0)),"SKU未建档"))</f>
        <v/>
      </c>
      <c r="K280" s="36" t="str">
        <f aca="false">IF(I280="","",IFERROR(INDEX(参数表!$F$13:$F$212,MATCH(I280,参数表!$A$13:$A$212,0)),"SKU未建档"))</f>
        <v/>
      </c>
      <c r="L280" s="45"/>
      <c r="M280" s="35" t="str">
        <f aca="false">IF(I280="","",IFERROR(INDEX(参数表!$G$13:$G$212,MATCH(I280,参数表!$A$13:$A$212,0)),"SKU未建档"))</f>
        <v/>
      </c>
      <c r="N280" s="40"/>
      <c r="O280" s="46"/>
      <c r="P280" s="47"/>
      <c r="Q280" s="34" t="str">
        <f aca="false">IF(OR(O280="",P280=""),"",ROUND(O280*P280,2))</f>
        <v/>
      </c>
      <c r="R280" s="48"/>
      <c r="S280" s="46"/>
      <c r="T280" s="33" t="str">
        <f aca="false">IF(I280="","",IFERROR(INDEX(参数表!$H$13:$H$212,MATCH(I280,参数表!$A$13:$A$212,0)),"SKU未建档"))</f>
        <v/>
      </c>
      <c r="U280" s="34" t="str">
        <f aca="false">IF(A280="","",IF(参数表!$B$6="外贸企业",IF(S280="","",S280),IF(Q280="","",Q280)))</f>
        <v/>
      </c>
      <c r="V280" s="34" t="str">
        <f aca="false">IF(OR(U280="",NOT(ISNUMBER(T280))),"",ROUND(U280*T280,2))</f>
        <v/>
      </c>
      <c r="W280" s="43"/>
      <c r="X280" s="48"/>
      <c r="Y280" s="45"/>
      <c r="Z280" s="41"/>
      <c r="AA280" s="32" t="str">
        <f aca="false">IF(OR(L280="",Y280=""),"",Y280-L280)</f>
        <v/>
      </c>
      <c r="AB280" s="43"/>
      <c r="AC280" s="43"/>
    </row>
    <row r="281" customFormat="false" ht="21.75" hidden="false" customHeight="true" outlineLevel="0" collapsed="false">
      <c r="A281" s="29" t="str">
        <f aca="false">IF(OR(B281="",C281=""),"",B281&amp;"-"&amp;C281)</f>
        <v/>
      </c>
      <c r="B281" s="48"/>
      <c r="C281" s="40"/>
      <c r="D281" s="41"/>
      <c r="E281" s="42"/>
      <c r="F281" s="48"/>
      <c r="G281" s="43"/>
      <c r="H281" s="43"/>
      <c r="I281" s="44"/>
      <c r="J281" s="36" t="str">
        <f aca="false">IF(I281="","",IFERROR(INDEX(参数表!$D$13:$D$212,MATCH(I281,参数表!$A$13:$A$212,0)),"SKU未建档"))</f>
        <v/>
      </c>
      <c r="K281" s="36" t="str">
        <f aca="false">IF(I281="","",IFERROR(INDEX(参数表!$F$13:$F$212,MATCH(I281,参数表!$A$13:$A$212,0)),"SKU未建档"))</f>
        <v/>
      </c>
      <c r="L281" s="45"/>
      <c r="M281" s="35" t="str">
        <f aca="false">IF(I281="","",IFERROR(INDEX(参数表!$G$13:$G$212,MATCH(I281,参数表!$A$13:$A$212,0)),"SKU未建档"))</f>
        <v/>
      </c>
      <c r="N281" s="40"/>
      <c r="O281" s="46"/>
      <c r="P281" s="47"/>
      <c r="Q281" s="34" t="str">
        <f aca="false">IF(OR(O281="",P281=""),"",ROUND(O281*P281,2))</f>
        <v/>
      </c>
      <c r="R281" s="48"/>
      <c r="S281" s="46"/>
      <c r="T281" s="33" t="str">
        <f aca="false">IF(I281="","",IFERROR(INDEX(参数表!$H$13:$H$212,MATCH(I281,参数表!$A$13:$A$212,0)),"SKU未建档"))</f>
        <v/>
      </c>
      <c r="U281" s="34" t="str">
        <f aca="false">IF(A281="","",IF(参数表!$B$6="外贸企业",IF(S281="","",S281),IF(Q281="","",Q281)))</f>
        <v/>
      </c>
      <c r="V281" s="34" t="str">
        <f aca="false">IF(OR(U281="",NOT(ISNUMBER(T281))),"",ROUND(U281*T281,2))</f>
        <v/>
      </c>
      <c r="W281" s="43"/>
      <c r="X281" s="48"/>
      <c r="Y281" s="45"/>
      <c r="Z281" s="41"/>
      <c r="AA281" s="32" t="str">
        <f aca="false">IF(OR(L281="",Y281=""),"",Y281-L281)</f>
        <v/>
      </c>
      <c r="AB281" s="43"/>
      <c r="AC281" s="43"/>
    </row>
    <row r="282" customFormat="false" ht="21.75" hidden="false" customHeight="true" outlineLevel="0" collapsed="false">
      <c r="A282" s="29" t="str">
        <f aca="false">IF(OR(B282="",C282=""),"",B282&amp;"-"&amp;C282)</f>
        <v/>
      </c>
      <c r="B282" s="48"/>
      <c r="C282" s="40"/>
      <c r="D282" s="41"/>
      <c r="E282" s="42"/>
      <c r="F282" s="48"/>
      <c r="G282" s="43"/>
      <c r="H282" s="43"/>
      <c r="I282" s="44"/>
      <c r="J282" s="36" t="str">
        <f aca="false">IF(I282="","",IFERROR(INDEX(参数表!$D$13:$D$212,MATCH(I282,参数表!$A$13:$A$212,0)),"SKU未建档"))</f>
        <v/>
      </c>
      <c r="K282" s="36" t="str">
        <f aca="false">IF(I282="","",IFERROR(INDEX(参数表!$F$13:$F$212,MATCH(I282,参数表!$A$13:$A$212,0)),"SKU未建档"))</f>
        <v/>
      </c>
      <c r="L282" s="45"/>
      <c r="M282" s="35" t="str">
        <f aca="false">IF(I282="","",IFERROR(INDEX(参数表!$G$13:$G$212,MATCH(I282,参数表!$A$13:$A$212,0)),"SKU未建档"))</f>
        <v/>
      </c>
      <c r="N282" s="40"/>
      <c r="O282" s="46"/>
      <c r="P282" s="47"/>
      <c r="Q282" s="34" t="str">
        <f aca="false">IF(OR(O282="",P282=""),"",ROUND(O282*P282,2))</f>
        <v/>
      </c>
      <c r="R282" s="48"/>
      <c r="S282" s="46"/>
      <c r="T282" s="33" t="str">
        <f aca="false">IF(I282="","",IFERROR(INDEX(参数表!$H$13:$H$212,MATCH(I282,参数表!$A$13:$A$212,0)),"SKU未建档"))</f>
        <v/>
      </c>
      <c r="U282" s="34" t="str">
        <f aca="false">IF(A282="","",IF(参数表!$B$6="外贸企业",IF(S282="","",S282),IF(Q282="","",Q282)))</f>
        <v/>
      </c>
      <c r="V282" s="34" t="str">
        <f aca="false">IF(OR(U282="",NOT(ISNUMBER(T282))),"",ROUND(U282*T282,2))</f>
        <v/>
      </c>
      <c r="W282" s="43"/>
      <c r="X282" s="48"/>
      <c r="Y282" s="45"/>
      <c r="Z282" s="41"/>
      <c r="AA282" s="32" t="str">
        <f aca="false">IF(OR(L282="",Y282=""),"",Y282-L282)</f>
        <v/>
      </c>
      <c r="AB282" s="43"/>
      <c r="AC282" s="43"/>
    </row>
    <row r="283" customFormat="false" ht="21.75" hidden="false" customHeight="true" outlineLevel="0" collapsed="false">
      <c r="A283" s="29" t="str">
        <f aca="false">IF(OR(B283="",C283=""),"",B283&amp;"-"&amp;C283)</f>
        <v/>
      </c>
      <c r="B283" s="48"/>
      <c r="C283" s="40"/>
      <c r="D283" s="41"/>
      <c r="E283" s="42"/>
      <c r="F283" s="48"/>
      <c r="G283" s="43"/>
      <c r="H283" s="43"/>
      <c r="I283" s="44"/>
      <c r="J283" s="36" t="str">
        <f aca="false">IF(I283="","",IFERROR(INDEX(参数表!$D$13:$D$212,MATCH(I283,参数表!$A$13:$A$212,0)),"SKU未建档"))</f>
        <v/>
      </c>
      <c r="K283" s="36" t="str">
        <f aca="false">IF(I283="","",IFERROR(INDEX(参数表!$F$13:$F$212,MATCH(I283,参数表!$A$13:$A$212,0)),"SKU未建档"))</f>
        <v/>
      </c>
      <c r="L283" s="45"/>
      <c r="M283" s="35" t="str">
        <f aca="false">IF(I283="","",IFERROR(INDEX(参数表!$G$13:$G$212,MATCH(I283,参数表!$A$13:$A$212,0)),"SKU未建档"))</f>
        <v/>
      </c>
      <c r="N283" s="40"/>
      <c r="O283" s="46"/>
      <c r="P283" s="47"/>
      <c r="Q283" s="34" t="str">
        <f aca="false">IF(OR(O283="",P283=""),"",ROUND(O283*P283,2))</f>
        <v/>
      </c>
      <c r="R283" s="48"/>
      <c r="S283" s="46"/>
      <c r="T283" s="33" t="str">
        <f aca="false">IF(I283="","",IFERROR(INDEX(参数表!$H$13:$H$212,MATCH(I283,参数表!$A$13:$A$212,0)),"SKU未建档"))</f>
        <v/>
      </c>
      <c r="U283" s="34" t="str">
        <f aca="false">IF(A283="","",IF(参数表!$B$6="外贸企业",IF(S283="","",S283),IF(Q283="","",Q283)))</f>
        <v/>
      </c>
      <c r="V283" s="34" t="str">
        <f aca="false">IF(OR(U283="",NOT(ISNUMBER(T283))),"",ROUND(U283*T283,2))</f>
        <v/>
      </c>
      <c r="W283" s="43"/>
      <c r="X283" s="48"/>
      <c r="Y283" s="45"/>
      <c r="Z283" s="41"/>
      <c r="AA283" s="32" t="str">
        <f aca="false">IF(OR(L283="",Y283=""),"",Y283-L283)</f>
        <v/>
      </c>
      <c r="AB283" s="43"/>
      <c r="AC283" s="43"/>
    </row>
    <row r="284" customFormat="false" ht="21.75" hidden="false" customHeight="true" outlineLevel="0" collapsed="false">
      <c r="A284" s="29" t="str">
        <f aca="false">IF(OR(B284="",C284=""),"",B284&amp;"-"&amp;C284)</f>
        <v/>
      </c>
      <c r="B284" s="48"/>
      <c r="C284" s="40"/>
      <c r="D284" s="41"/>
      <c r="E284" s="42"/>
      <c r="F284" s="48"/>
      <c r="G284" s="43"/>
      <c r="H284" s="43"/>
      <c r="I284" s="44"/>
      <c r="J284" s="36" t="str">
        <f aca="false">IF(I284="","",IFERROR(INDEX(参数表!$D$13:$D$212,MATCH(I284,参数表!$A$13:$A$212,0)),"SKU未建档"))</f>
        <v/>
      </c>
      <c r="K284" s="36" t="str">
        <f aca="false">IF(I284="","",IFERROR(INDEX(参数表!$F$13:$F$212,MATCH(I284,参数表!$A$13:$A$212,0)),"SKU未建档"))</f>
        <v/>
      </c>
      <c r="L284" s="45"/>
      <c r="M284" s="35" t="str">
        <f aca="false">IF(I284="","",IFERROR(INDEX(参数表!$G$13:$G$212,MATCH(I284,参数表!$A$13:$A$212,0)),"SKU未建档"))</f>
        <v/>
      </c>
      <c r="N284" s="40"/>
      <c r="O284" s="46"/>
      <c r="P284" s="47"/>
      <c r="Q284" s="34" t="str">
        <f aca="false">IF(OR(O284="",P284=""),"",ROUND(O284*P284,2))</f>
        <v/>
      </c>
      <c r="R284" s="48"/>
      <c r="S284" s="46"/>
      <c r="T284" s="33" t="str">
        <f aca="false">IF(I284="","",IFERROR(INDEX(参数表!$H$13:$H$212,MATCH(I284,参数表!$A$13:$A$212,0)),"SKU未建档"))</f>
        <v/>
      </c>
      <c r="U284" s="34" t="str">
        <f aca="false">IF(A284="","",IF(参数表!$B$6="外贸企业",IF(S284="","",S284),IF(Q284="","",Q284)))</f>
        <v/>
      </c>
      <c r="V284" s="34" t="str">
        <f aca="false">IF(OR(U284="",NOT(ISNUMBER(T284))),"",ROUND(U284*T284,2))</f>
        <v/>
      </c>
      <c r="W284" s="43"/>
      <c r="X284" s="48"/>
      <c r="Y284" s="45"/>
      <c r="Z284" s="41"/>
      <c r="AA284" s="32" t="str">
        <f aca="false">IF(OR(L284="",Y284=""),"",Y284-L284)</f>
        <v/>
      </c>
      <c r="AB284" s="43"/>
      <c r="AC284" s="43"/>
    </row>
    <row r="285" customFormat="false" ht="21.75" hidden="false" customHeight="true" outlineLevel="0" collapsed="false">
      <c r="A285" s="29" t="str">
        <f aca="false">IF(OR(B285="",C285=""),"",B285&amp;"-"&amp;C285)</f>
        <v/>
      </c>
      <c r="B285" s="48"/>
      <c r="C285" s="40"/>
      <c r="D285" s="41"/>
      <c r="E285" s="42"/>
      <c r="F285" s="48"/>
      <c r="G285" s="43"/>
      <c r="H285" s="43"/>
      <c r="I285" s="44"/>
      <c r="J285" s="36" t="str">
        <f aca="false">IF(I285="","",IFERROR(INDEX(参数表!$D$13:$D$212,MATCH(I285,参数表!$A$13:$A$212,0)),"SKU未建档"))</f>
        <v/>
      </c>
      <c r="K285" s="36" t="str">
        <f aca="false">IF(I285="","",IFERROR(INDEX(参数表!$F$13:$F$212,MATCH(I285,参数表!$A$13:$A$212,0)),"SKU未建档"))</f>
        <v/>
      </c>
      <c r="L285" s="45"/>
      <c r="M285" s="35" t="str">
        <f aca="false">IF(I285="","",IFERROR(INDEX(参数表!$G$13:$G$212,MATCH(I285,参数表!$A$13:$A$212,0)),"SKU未建档"))</f>
        <v/>
      </c>
      <c r="N285" s="40"/>
      <c r="O285" s="46"/>
      <c r="P285" s="47"/>
      <c r="Q285" s="34" t="str">
        <f aca="false">IF(OR(O285="",P285=""),"",ROUND(O285*P285,2))</f>
        <v/>
      </c>
      <c r="R285" s="48"/>
      <c r="S285" s="46"/>
      <c r="T285" s="33" t="str">
        <f aca="false">IF(I285="","",IFERROR(INDEX(参数表!$H$13:$H$212,MATCH(I285,参数表!$A$13:$A$212,0)),"SKU未建档"))</f>
        <v/>
      </c>
      <c r="U285" s="34" t="str">
        <f aca="false">IF(A285="","",IF(参数表!$B$6="外贸企业",IF(S285="","",S285),IF(Q285="","",Q285)))</f>
        <v/>
      </c>
      <c r="V285" s="34" t="str">
        <f aca="false">IF(OR(U285="",NOT(ISNUMBER(T285))),"",ROUND(U285*T285,2))</f>
        <v/>
      </c>
      <c r="W285" s="43"/>
      <c r="X285" s="48"/>
      <c r="Y285" s="45"/>
      <c r="Z285" s="41"/>
      <c r="AA285" s="32" t="str">
        <f aca="false">IF(OR(L285="",Y285=""),"",Y285-L285)</f>
        <v/>
      </c>
      <c r="AB285" s="43"/>
      <c r="AC285" s="43"/>
    </row>
    <row r="286" customFormat="false" ht="21.75" hidden="false" customHeight="true" outlineLevel="0" collapsed="false">
      <c r="A286" s="29" t="str">
        <f aca="false">IF(OR(B286="",C286=""),"",B286&amp;"-"&amp;C286)</f>
        <v/>
      </c>
      <c r="B286" s="48"/>
      <c r="C286" s="40"/>
      <c r="D286" s="41"/>
      <c r="E286" s="42"/>
      <c r="F286" s="48"/>
      <c r="G286" s="43"/>
      <c r="H286" s="43"/>
      <c r="I286" s="44"/>
      <c r="J286" s="36" t="str">
        <f aca="false">IF(I286="","",IFERROR(INDEX(参数表!$D$13:$D$212,MATCH(I286,参数表!$A$13:$A$212,0)),"SKU未建档"))</f>
        <v/>
      </c>
      <c r="K286" s="36" t="str">
        <f aca="false">IF(I286="","",IFERROR(INDEX(参数表!$F$13:$F$212,MATCH(I286,参数表!$A$13:$A$212,0)),"SKU未建档"))</f>
        <v/>
      </c>
      <c r="L286" s="45"/>
      <c r="M286" s="35" t="str">
        <f aca="false">IF(I286="","",IFERROR(INDEX(参数表!$G$13:$G$212,MATCH(I286,参数表!$A$13:$A$212,0)),"SKU未建档"))</f>
        <v/>
      </c>
      <c r="N286" s="40"/>
      <c r="O286" s="46"/>
      <c r="P286" s="47"/>
      <c r="Q286" s="34" t="str">
        <f aca="false">IF(OR(O286="",P286=""),"",ROUND(O286*P286,2))</f>
        <v/>
      </c>
      <c r="R286" s="48"/>
      <c r="S286" s="46"/>
      <c r="T286" s="33" t="str">
        <f aca="false">IF(I286="","",IFERROR(INDEX(参数表!$H$13:$H$212,MATCH(I286,参数表!$A$13:$A$212,0)),"SKU未建档"))</f>
        <v/>
      </c>
      <c r="U286" s="34" t="str">
        <f aca="false">IF(A286="","",IF(参数表!$B$6="外贸企业",IF(S286="","",S286),IF(Q286="","",Q286)))</f>
        <v/>
      </c>
      <c r="V286" s="34" t="str">
        <f aca="false">IF(OR(U286="",NOT(ISNUMBER(T286))),"",ROUND(U286*T286,2))</f>
        <v/>
      </c>
      <c r="W286" s="43"/>
      <c r="X286" s="48"/>
      <c r="Y286" s="45"/>
      <c r="Z286" s="41"/>
      <c r="AA286" s="32" t="str">
        <f aca="false">IF(OR(L286="",Y286=""),"",Y286-L286)</f>
        <v/>
      </c>
      <c r="AB286" s="43"/>
      <c r="AC286" s="43"/>
    </row>
    <row r="287" customFormat="false" ht="21.75" hidden="false" customHeight="true" outlineLevel="0" collapsed="false">
      <c r="A287" s="29" t="str">
        <f aca="false">IF(OR(B287="",C287=""),"",B287&amp;"-"&amp;C287)</f>
        <v/>
      </c>
      <c r="B287" s="48"/>
      <c r="C287" s="40"/>
      <c r="D287" s="41"/>
      <c r="E287" s="42"/>
      <c r="F287" s="48"/>
      <c r="G287" s="43"/>
      <c r="H287" s="43"/>
      <c r="I287" s="44"/>
      <c r="J287" s="36" t="str">
        <f aca="false">IF(I287="","",IFERROR(INDEX(参数表!$D$13:$D$212,MATCH(I287,参数表!$A$13:$A$212,0)),"SKU未建档"))</f>
        <v/>
      </c>
      <c r="K287" s="36" t="str">
        <f aca="false">IF(I287="","",IFERROR(INDEX(参数表!$F$13:$F$212,MATCH(I287,参数表!$A$13:$A$212,0)),"SKU未建档"))</f>
        <v/>
      </c>
      <c r="L287" s="45"/>
      <c r="M287" s="35" t="str">
        <f aca="false">IF(I287="","",IFERROR(INDEX(参数表!$G$13:$G$212,MATCH(I287,参数表!$A$13:$A$212,0)),"SKU未建档"))</f>
        <v/>
      </c>
      <c r="N287" s="40"/>
      <c r="O287" s="46"/>
      <c r="P287" s="47"/>
      <c r="Q287" s="34" t="str">
        <f aca="false">IF(OR(O287="",P287=""),"",ROUND(O287*P287,2))</f>
        <v/>
      </c>
      <c r="R287" s="48"/>
      <c r="S287" s="46"/>
      <c r="T287" s="33" t="str">
        <f aca="false">IF(I287="","",IFERROR(INDEX(参数表!$H$13:$H$212,MATCH(I287,参数表!$A$13:$A$212,0)),"SKU未建档"))</f>
        <v/>
      </c>
      <c r="U287" s="34" t="str">
        <f aca="false">IF(A287="","",IF(参数表!$B$6="外贸企业",IF(S287="","",S287),IF(Q287="","",Q287)))</f>
        <v/>
      </c>
      <c r="V287" s="34" t="str">
        <f aca="false">IF(OR(U287="",NOT(ISNUMBER(T287))),"",ROUND(U287*T287,2))</f>
        <v/>
      </c>
      <c r="W287" s="43"/>
      <c r="X287" s="48"/>
      <c r="Y287" s="45"/>
      <c r="Z287" s="41"/>
      <c r="AA287" s="32" t="str">
        <f aca="false">IF(OR(L287="",Y287=""),"",Y287-L287)</f>
        <v/>
      </c>
      <c r="AB287" s="43"/>
      <c r="AC287" s="43"/>
    </row>
    <row r="288" customFormat="false" ht="21.75" hidden="false" customHeight="true" outlineLevel="0" collapsed="false">
      <c r="A288" s="29" t="str">
        <f aca="false">IF(OR(B288="",C288=""),"",B288&amp;"-"&amp;C288)</f>
        <v/>
      </c>
      <c r="B288" s="48"/>
      <c r="C288" s="40"/>
      <c r="D288" s="41"/>
      <c r="E288" s="42"/>
      <c r="F288" s="48"/>
      <c r="G288" s="43"/>
      <c r="H288" s="43"/>
      <c r="I288" s="44"/>
      <c r="J288" s="36" t="str">
        <f aca="false">IF(I288="","",IFERROR(INDEX(参数表!$D$13:$D$212,MATCH(I288,参数表!$A$13:$A$212,0)),"SKU未建档"))</f>
        <v/>
      </c>
      <c r="K288" s="36" t="str">
        <f aca="false">IF(I288="","",IFERROR(INDEX(参数表!$F$13:$F$212,MATCH(I288,参数表!$A$13:$A$212,0)),"SKU未建档"))</f>
        <v/>
      </c>
      <c r="L288" s="45"/>
      <c r="M288" s="35" t="str">
        <f aca="false">IF(I288="","",IFERROR(INDEX(参数表!$G$13:$G$212,MATCH(I288,参数表!$A$13:$A$212,0)),"SKU未建档"))</f>
        <v/>
      </c>
      <c r="N288" s="40"/>
      <c r="O288" s="46"/>
      <c r="P288" s="47"/>
      <c r="Q288" s="34" t="str">
        <f aca="false">IF(OR(O288="",P288=""),"",ROUND(O288*P288,2))</f>
        <v/>
      </c>
      <c r="R288" s="48"/>
      <c r="S288" s="46"/>
      <c r="T288" s="33" t="str">
        <f aca="false">IF(I288="","",IFERROR(INDEX(参数表!$H$13:$H$212,MATCH(I288,参数表!$A$13:$A$212,0)),"SKU未建档"))</f>
        <v/>
      </c>
      <c r="U288" s="34" t="str">
        <f aca="false">IF(A288="","",IF(参数表!$B$6="外贸企业",IF(S288="","",S288),IF(Q288="","",Q288)))</f>
        <v/>
      </c>
      <c r="V288" s="34" t="str">
        <f aca="false">IF(OR(U288="",NOT(ISNUMBER(T288))),"",ROUND(U288*T288,2))</f>
        <v/>
      </c>
      <c r="W288" s="43"/>
      <c r="X288" s="48"/>
      <c r="Y288" s="45"/>
      <c r="Z288" s="41"/>
      <c r="AA288" s="32" t="str">
        <f aca="false">IF(OR(L288="",Y288=""),"",Y288-L288)</f>
        <v/>
      </c>
      <c r="AB288" s="43"/>
      <c r="AC288" s="43"/>
    </row>
    <row r="289" customFormat="false" ht="21.75" hidden="false" customHeight="true" outlineLevel="0" collapsed="false">
      <c r="A289" s="29" t="str">
        <f aca="false">IF(OR(B289="",C289=""),"",B289&amp;"-"&amp;C289)</f>
        <v/>
      </c>
      <c r="B289" s="48"/>
      <c r="C289" s="40"/>
      <c r="D289" s="41"/>
      <c r="E289" s="42"/>
      <c r="F289" s="48"/>
      <c r="G289" s="43"/>
      <c r="H289" s="43"/>
      <c r="I289" s="44"/>
      <c r="J289" s="36" t="str">
        <f aca="false">IF(I289="","",IFERROR(INDEX(参数表!$D$13:$D$212,MATCH(I289,参数表!$A$13:$A$212,0)),"SKU未建档"))</f>
        <v/>
      </c>
      <c r="K289" s="36" t="str">
        <f aca="false">IF(I289="","",IFERROR(INDEX(参数表!$F$13:$F$212,MATCH(I289,参数表!$A$13:$A$212,0)),"SKU未建档"))</f>
        <v/>
      </c>
      <c r="L289" s="45"/>
      <c r="M289" s="35" t="str">
        <f aca="false">IF(I289="","",IFERROR(INDEX(参数表!$G$13:$G$212,MATCH(I289,参数表!$A$13:$A$212,0)),"SKU未建档"))</f>
        <v/>
      </c>
      <c r="N289" s="40"/>
      <c r="O289" s="46"/>
      <c r="P289" s="47"/>
      <c r="Q289" s="34" t="str">
        <f aca="false">IF(OR(O289="",P289=""),"",ROUND(O289*P289,2))</f>
        <v/>
      </c>
      <c r="R289" s="48"/>
      <c r="S289" s="46"/>
      <c r="T289" s="33" t="str">
        <f aca="false">IF(I289="","",IFERROR(INDEX(参数表!$H$13:$H$212,MATCH(I289,参数表!$A$13:$A$212,0)),"SKU未建档"))</f>
        <v/>
      </c>
      <c r="U289" s="34" t="str">
        <f aca="false">IF(A289="","",IF(参数表!$B$6="外贸企业",IF(S289="","",S289),IF(Q289="","",Q289)))</f>
        <v/>
      </c>
      <c r="V289" s="34" t="str">
        <f aca="false">IF(OR(U289="",NOT(ISNUMBER(T289))),"",ROUND(U289*T289,2))</f>
        <v/>
      </c>
      <c r="W289" s="43"/>
      <c r="X289" s="48"/>
      <c r="Y289" s="45"/>
      <c r="Z289" s="41"/>
      <c r="AA289" s="32" t="str">
        <f aca="false">IF(OR(L289="",Y289=""),"",Y289-L289)</f>
        <v/>
      </c>
      <c r="AB289" s="43"/>
      <c r="AC289" s="43"/>
    </row>
    <row r="290" customFormat="false" ht="21.75" hidden="false" customHeight="true" outlineLevel="0" collapsed="false">
      <c r="A290" s="29" t="str">
        <f aca="false">IF(OR(B290="",C290=""),"",B290&amp;"-"&amp;C290)</f>
        <v/>
      </c>
      <c r="B290" s="48"/>
      <c r="C290" s="40"/>
      <c r="D290" s="41"/>
      <c r="E290" s="42"/>
      <c r="F290" s="48"/>
      <c r="G290" s="43"/>
      <c r="H290" s="43"/>
      <c r="I290" s="44"/>
      <c r="J290" s="36" t="str">
        <f aca="false">IF(I290="","",IFERROR(INDEX(参数表!$D$13:$D$212,MATCH(I290,参数表!$A$13:$A$212,0)),"SKU未建档"))</f>
        <v/>
      </c>
      <c r="K290" s="36" t="str">
        <f aca="false">IF(I290="","",IFERROR(INDEX(参数表!$F$13:$F$212,MATCH(I290,参数表!$A$13:$A$212,0)),"SKU未建档"))</f>
        <v/>
      </c>
      <c r="L290" s="45"/>
      <c r="M290" s="35" t="str">
        <f aca="false">IF(I290="","",IFERROR(INDEX(参数表!$G$13:$G$212,MATCH(I290,参数表!$A$13:$A$212,0)),"SKU未建档"))</f>
        <v/>
      </c>
      <c r="N290" s="40"/>
      <c r="O290" s="46"/>
      <c r="P290" s="47"/>
      <c r="Q290" s="34" t="str">
        <f aca="false">IF(OR(O290="",P290=""),"",ROUND(O290*P290,2))</f>
        <v/>
      </c>
      <c r="R290" s="48"/>
      <c r="S290" s="46"/>
      <c r="T290" s="33" t="str">
        <f aca="false">IF(I290="","",IFERROR(INDEX(参数表!$H$13:$H$212,MATCH(I290,参数表!$A$13:$A$212,0)),"SKU未建档"))</f>
        <v/>
      </c>
      <c r="U290" s="34" t="str">
        <f aca="false">IF(A290="","",IF(参数表!$B$6="外贸企业",IF(S290="","",S290),IF(Q290="","",Q290)))</f>
        <v/>
      </c>
      <c r="V290" s="34" t="str">
        <f aca="false">IF(OR(U290="",NOT(ISNUMBER(T290))),"",ROUND(U290*T290,2))</f>
        <v/>
      </c>
      <c r="W290" s="43"/>
      <c r="X290" s="48"/>
      <c r="Y290" s="45"/>
      <c r="Z290" s="41"/>
      <c r="AA290" s="32" t="str">
        <f aca="false">IF(OR(L290="",Y290=""),"",Y290-L290)</f>
        <v/>
      </c>
      <c r="AB290" s="43"/>
      <c r="AC290" s="43"/>
    </row>
    <row r="291" customFormat="false" ht="21.75" hidden="false" customHeight="true" outlineLevel="0" collapsed="false">
      <c r="A291" s="29" t="str">
        <f aca="false">IF(OR(B291="",C291=""),"",B291&amp;"-"&amp;C291)</f>
        <v/>
      </c>
      <c r="B291" s="48"/>
      <c r="C291" s="40"/>
      <c r="D291" s="41"/>
      <c r="E291" s="42"/>
      <c r="F291" s="48"/>
      <c r="G291" s="43"/>
      <c r="H291" s="43"/>
      <c r="I291" s="44"/>
      <c r="J291" s="36" t="str">
        <f aca="false">IF(I291="","",IFERROR(INDEX(参数表!$D$13:$D$212,MATCH(I291,参数表!$A$13:$A$212,0)),"SKU未建档"))</f>
        <v/>
      </c>
      <c r="K291" s="36" t="str">
        <f aca="false">IF(I291="","",IFERROR(INDEX(参数表!$F$13:$F$212,MATCH(I291,参数表!$A$13:$A$212,0)),"SKU未建档"))</f>
        <v/>
      </c>
      <c r="L291" s="45"/>
      <c r="M291" s="35" t="str">
        <f aca="false">IF(I291="","",IFERROR(INDEX(参数表!$G$13:$G$212,MATCH(I291,参数表!$A$13:$A$212,0)),"SKU未建档"))</f>
        <v/>
      </c>
      <c r="N291" s="40"/>
      <c r="O291" s="46"/>
      <c r="P291" s="47"/>
      <c r="Q291" s="34" t="str">
        <f aca="false">IF(OR(O291="",P291=""),"",ROUND(O291*P291,2))</f>
        <v/>
      </c>
      <c r="R291" s="48"/>
      <c r="S291" s="46"/>
      <c r="T291" s="33" t="str">
        <f aca="false">IF(I291="","",IFERROR(INDEX(参数表!$H$13:$H$212,MATCH(I291,参数表!$A$13:$A$212,0)),"SKU未建档"))</f>
        <v/>
      </c>
      <c r="U291" s="34" t="str">
        <f aca="false">IF(A291="","",IF(参数表!$B$6="外贸企业",IF(S291="","",S291),IF(Q291="","",Q291)))</f>
        <v/>
      </c>
      <c r="V291" s="34" t="str">
        <f aca="false">IF(OR(U291="",NOT(ISNUMBER(T291))),"",ROUND(U291*T291,2))</f>
        <v/>
      </c>
      <c r="W291" s="43"/>
      <c r="X291" s="48"/>
      <c r="Y291" s="45"/>
      <c r="Z291" s="41"/>
      <c r="AA291" s="32" t="str">
        <f aca="false">IF(OR(L291="",Y291=""),"",Y291-L291)</f>
        <v/>
      </c>
      <c r="AB291" s="43"/>
      <c r="AC291" s="43"/>
    </row>
    <row r="292" customFormat="false" ht="21.75" hidden="false" customHeight="true" outlineLevel="0" collapsed="false">
      <c r="A292" s="29" t="str">
        <f aca="false">IF(OR(B292="",C292=""),"",B292&amp;"-"&amp;C292)</f>
        <v/>
      </c>
      <c r="B292" s="48"/>
      <c r="C292" s="40"/>
      <c r="D292" s="41"/>
      <c r="E292" s="42"/>
      <c r="F292" s="48"/>
      <c r="G292" s="43"/>
      <c r="H292" s="43"/>
      <c r="I292" s="44"/>
      <c r="J292" s="36" t="str">
        <f aca="false">IF(I292="","",IFERROR(INDEX(参数表!$D$13:$D$212,MATCH(I292,参数表!$A$13:$A$212,0)),"SKU未建档"))</f>
        <v/>
      </c>
      <c r="K292" s="36" t="str">
        <f aca="false">IF(I292="","",IFERROR(INDEX(参数表!$F$13:$F$212,MATCH(I292,参数表!$A$13:$A$212,0)),"SKU未建档"))</f>
        <v/>
      </c>
      <c r="L292" s="45"/>
      <c r="M292" s="35" t="str">
        <f aca="false">IF(I292="","",IFERROR(INDEX(参数表!$G$13:$G$212,MATCH(I292,参数表!$A$13:$A$212,0)),"SKU未建档"))</f>
        <v/>
      </c>
      <c r="N292" s="40"/>
      <c r="O292" s="46"/>
      <c r="P292" s="47"/>
      <c r="Q292" s="34" t="str">
        <f aca="false">IF(OR(O292="",P292=""),"",ROUND(O292*P292,2))</f>
        <v/>
      </c>
      <c r="R292" s="48"/>
      <c r="S292" s="46"/>
      <c r="T292" s="33" t="str">
        <f aca="false">IF(I292="","",IFERROR(INDEX(参数表!$H$13:$H$212,MATCH(I292,参数表!$A$13:$A$212,0)),"SKU未建档"))</f>
        <v/>
      </c>
      <c r="U292" s="34" t="str">
        <f aca="false">IF(A292="","",IF(参数表!$B$6="外贸企业",IF(S292="","",S292),IF(Q292="","",Q292)))</f>
        <v/>
      </c>
      <c r="V292" s="34" t="str">
        <f aca="false">IF(OR(U292="",NOT(ISNUMBER(T292))),"",ROUND(U292*T292,2))</f>
        <v/>
      </c>
      <c r="W292" s="43"/>
      <c r="X292" s="48"/>
      <c r="Y292" s="45"/>
      <c r="Z292" s="41"/>
      <c r="AA292" s="32" t="str">
        <f aca="false">IF(OR(L292="",Y292=""),"",Y292-L292)</f>
        <v/>
      </c>
      <c r="AB292" s="43"/>
      <c r="AC292" s="43"/>
    </row>
    <row r="293" customFormat="false" ht="21.75" hidden="false" customHeight="true" outlineLevel="0" collapsed="false">
      <c r="A293" s="29" t="str">
        <f aca="false">IF(OR(B293="",C293=""),"",B293&amp;"-"&amp;C293)</f>
        <v/>
      </c>
      <c r="B293" s="48"/>
      <c r="C293" s="40"/>
      <c r="D293" s="41"/>
      <c r="E293" s="42"/>
      <c r="F293" s="48"/>
      <c r="G293" s="43"/>
      <c r="H293" s="43"/>
      <c r="I293" s="44"/>
      <c r="J293" s="36" t="str">
        <f aca="false">IF(I293="","",IFERROR(INDEX(参数表!$D$13:$D$212,MATCH(I293,参数表!$A$13:$A$212,0)),"SKU未建档"))</f>
        <v/>
      </c>
      <c r="K293" s="36" t="str">
        <f aca="false">IF(I293="","",IFERROR(INDEX(参数表!$F$13:$F$212,MATCH(I293,参数表!$A$13:$A$212,0)),"SKU未建档"))</f>
        <v/>
      </c>
      <c r="L293" s="45"/>
      <c r="M293" s="35" t="str">
        <f aca="false">IF(I293="","",IFERROR(INDEX(参数表!$G$13:$G$212,MATCH(I293,参数表!$A$13:$A$212,0)),"SKU未建档"))</f>
        <v/>
      </c>
      <c r="N293" s="40"/>
      <c r="O293" s="46"/>
      <c r="P293" s="47"/>
      <c r="Q293" s="34" t="str">
        <f aca="false">IF(OR(O293="",P293=""),"",ROUND(O293*P293,2))</f>
        <v/>
      </c>
      <c r="R293" s="48"/>
      <c r="S293" s="46"/>
      <c r="T293" s="33" t="str">
        <f aca="false">IF(I293="","",IFERROR(INDEX(参数表!$H$13:$H$212,MATCH(I293,参数表!$A$13:$A$212,0)),"SKU未建档"))</f>
        <v/>
      </c>
      <c r="U293" s="34" t="str">
        <f aca="false">IF(A293="","",IF(参数表!$B$6="外贸企业",IF(S293="","",S293),IF(Q293="","",Q293)))</f>
        <v/>
      </c>
      <c r="V293" s="34" t="str">
        <f aca="false">IF(OR(U293="",NOT(ISNUMBER(T293))),"",ROUND(U293*T293,2))</f>
        <v/>
      </c>
      <c r="W293" s="43"/>
      <c r="X293" s="48"/>
      <c r="Y293" s="45"/>
      <c r="Z293" s="41"/>
      <c r="AA293" s="32" t="str">
        <f aca="false">IF(OR(L293="",Y293=""),"",Y293-L293)</f>
        <v/>
      </c>
      <c r="AB293" s="43"/>
      <c r="AC293" s="43"/>
    </row>
    <row r="294" customFormat="false" ht="21.75" hidden="false" customHeight="true" outlineLevel="0" collapsed="false">
      <c r="A294" s="29" t="str">
        <f aca="false">IF(OR(B294="",C294=""),"",B294&amp;"-"&amp;C294)</f>
        <v/>
      </c>
      <c r="B294" s="48"/>
      <c r="C294" s="40"/>
      <c r="D294" s="41"/>
      <c r="E294" s="42"/>
      <c r="F294" s="48"/>
      <c r="G294" s="43"/>
      <c r="H294" s="43"/>
      <c r="I294" s="44"/>
      <c r="J294" s="36" t="str">
        <f aca="false">IF(I294="","",IFERROR(INDEX(参数表!$D$13:$D$212,MATCH(I294,参数表!$A$13:$A$212,0)),"SKU未建档"))</f>
        <v/>
      </c>
      <c r="K294" s="36" t="str">
        <f aca="false">IF(I294="","",IFERROR(INDEX(参数表!$F$13:$F$212,MATCH(I294,参数表!$A$13:$A$212,0)),"SKU未建档"))</f>
        <v/>
      </c>
      <c r="L294" s="45"/>
      <c r="M294" s="35" t="str">
        <f aca="false">IF(I294="","",IFERROR(INDEX(参数表!$G$13:$G$212,MATCH(I294,参数表!$A$13:$A$212,0)),"SKU未建档"))</f>
        <v/>
      </c>
      <c r="N294" s="40"/>
      <c r="O294" s="46"/>
      <c r="P294" s="47"/>
      <c r="Q294" s="34" t="str">
        <f aca="false">IF(OR(O294="",P294=""),"",ROUND(O294*P294,2))</f>
        <v/>
      </c>
      <c r="R294" s="48"/>
      <c r="S294" s="46"/>
      <c r="T294" s="33" t="str">
        <f aca="false">IF(I294="","",IFERROR(INDEX(参数表!$H$13:$H$212,MATCH(I294,参数表!$A$13:$A$212,0)),"SKU未建档"))</f>
        <v/>
      </c>
      <c r="U294" s="34" t="str">
        <f aca="false">IF(A294="","",IF(参数表!$B$6="外贸企业",IF(S294="","",S294),IF(Q294="","",Q294)))</f>
        <v/>
      </c>
      <c r="V294" s="34" t="str">
        <f aca="false">IF(OR(U294="",NOT(ISNUMBER(T294))),"",ROUND(U294*T294,2))</f>
        <v/>
      </c>
      <c r="W294" s="43"/>
      <c r="X294" s="48"/>
      <c r="Y294" s="45"/>
      <c r="Z294" s="41"/>
      <c r="AA294" s="32" t="str">
        <f aca="false">IF(OR(L294="",Y294=""),"",Y294-L294)</f>
        <v/>
      </c>
      <c r="AB294" s="43"/>
      <c r="AC294" s="43"/>
    </row>
    <row r="295" customFormat="false" ht="21.75" hidden="false" customHeight="true" outlineLevel="0" collapsed="false">
      <c r="A295" s="29" t="str">
        <f aca="false">IF(OR(B295="",C295=""),"",B295&amp;"-"&amp;C295)</f>
        <v/>
      </c>
      <c r="B295" s="48"/>
      <c r="C295" s="40"/>
      <c r="D295" s="41"/>
      <c r="E295" s="42"/>
      <c r="F295" s="48"/>
      <c r="G295" s="43"/>
      <c r="H295" s="43"/>
      <c r="I295" s="44"/>
      <c r="J295" s="36" t="str">
        <f aca="false">IF(I295="","",IFERROR(INDEX(参数表!$D$13:$D$212,MATCH(I295,参数表!$A$13:$A$212,0)),"SKU未建档"))</f>
        <v/>
      </c>
      <c r="K295" s="36" t="str">
        <f aca="false">IF(I295="","",IFERROR(INDEX(参数表!$F$13:$F$212,MATCH(I295,参数表!$A$13:$A$212,0)),"SKU未建档"))</f>
        <v/>
      </c>
      <c r="L295" s="45"/>
      <c r="M295" s="35" t="str">
        <f aca="false">IF(I295="","",IFERROR(INDEX(参数表!$G$13:$G$212,MATCH(I295,参数表!$A$13:$A$212,0)),"SKU未建档"))</f>
        <v/>
      </c>
      <c r="N295" s="40"/>
      <c r="O295" s="46"/>
      <c r="P295" s="47"/>
      <c r="Q295" s="34" t="str">
        <f aca="false">IF(OR(O295="",P295=""),"",ROUND(O295*P295,2))</f>
        <v/>
      </c>
      <c r="R295" s="48"/>
      <c r="S295" s="46"/>
      <c r="T295" s="33" t="str">
        <f aca="false">IF(I295="","",IFERROR(INDEX(参数表!$H$13:$H$212,MATCH(I295,参数表!$A$13:$A$212,0)),"SKU未建档"))</f>
        <v/>
      </c>
      <c r="U295" s="34" t="str">
        <f aca="false">IF(A295="","",IF(参数表!$B$6="外贸企业",IF(S295="","",S295),IF(Q295="","",Q295)))</f>
        <v/>
      </c>
      <c r="V295" s="34" t="str">
        <f aca="false">IF(OR(U295="",NOT(ISNUMBER(T295))),"",ROUND(U295*T295,2))</f>
        <v/>
      </c>
      <c r="W295" s="43"/>
      <c r="X295" s="48"/>
      <c r="Y295" s="45"/>
      <c r="Z295" s="41"/>
      <c r="AA295" s="32" t="str">
        <f aca="false">IF(OR(L295="",Y295=""),"",Y295-L295)</f>
        <v/>
      </c>
      <c r="AB295" s="43"/>
      <c r="AC295" s="43"/>
    </row>
    <row r="296" customFormat="false" ht="21.75" hidden="false" customHeight="true" outlineLevel="0" collapsed="false">
      <c r="A296" s="29" t="str">
        <f aca="false">IF(OR(B296="",C296=""),"",B296&amp;"-"&amp;C296)</f>
        <v/>
      </c>
      <c r="B296" s="48"/>
      <c r="C296" s="40"/>
      <c r="D296" s="41"/>
      <c r="E296" s="42"/>
      <c r="F296" s="48"/>
      <c r="G296" s="43"/>
      <c r="H296" s="43"/>
      <c r="I296" s="44"/>
      <c r="J296" s="36" t="str">
        <f aca="false">IF(I296="","",IFERROR(INDEX(参数表!$D$13:$D$212,MATCH(I296,参数表!$A$13:$A$212,0)),"SKU未建档"))</f>
        <v/>
      </c>
      <c r="K296" s="36" t="str">
        <f aca="false">IF(I296="","",IFERROR(INDEX(参数表!$F$13:$F$212,MATCH(I296,参数表!$A$13:$A$212,0)),"SKU未建档"))</f>
        <v/>
      </c>
      <c r="L296" s="45"/>
      <c r="M296" s="35" t="str">
        <f aca="false">IF(I296="","",IFERROR(INDEX(参数表!$G$13:$G$212,MATCH(I296,参数表!$A$13:$A$212,0)),"SKU未建档"))</f>
        <v/>
      </c>
      <c r="N296" s="40"/>
      <c r="O296" s="46"/>
      <c r="P296" s="47"/>
      <c r="Q296" s="34" t="str">
        <f aca="false">IF(OR(O296="",P296=""),"",ROUND(O296*P296,2))</f>
        <v/>
      </c>
      <c r="R296" s="48"/>
      <c r="S296" s="46"/>
      <c r="T296" s="33" t="str">
        <f aca="false">IF(I296="","",IFERROR(INDEX(参数表!$H$13:$H$212,MATCH(I296,参数表!$A$13:$A$212,0)),"SKU未建档"))</f>
        <v/>
      </c>
      <c r="U296" s="34" t="str">
        <f aca="false">IF(A296="","",IF(参数表!$B$6="外贸企业",IF(S296="","",S296),IF(Q296="","",Q296)))</f>
        <v/>
      </c>
      <c r="V296" s="34" t="str">
        <f aca="false">IF(OR(U296="",NOT(ISNUMBER(T296))),"",ROUND(U296*T296,2))</f>
        <v/>
      </c>
      <c r="W296" s="43"/>
      <c r="X296" s="48"/>
      <c r="Y296" s="45"/>
      <c r="Z296" s="41"/>
      <c r="AA296" s="32" t="str">
        <f aca="false">IF(OR(L296="",Y296=""),"",Y296-L296)</f>
        <v/>
      </c>
      <c r="AB296" s="43"/>
      <c r="AC296" s="43"/>
    </row>
    <row r="297" customFormat="false" ht="21.75" hidden="false" customHeight="true" outlineLevel="0" collapsed="false">
      <c r="A297" s="29" t="str">
        <f aca="false">IF(OR(B297="",C297=""),"",B297&amp;"-"&amp;C297)</f>
        <v/>
      </c>
      <c r="B297" s="48"/>
      <c r="C297" s="40"/>
      <c r="D297" s="41"/>
      <c r="E297" s="42"/>
      <c r="F297" s="48"/>
      <c r="G297" s="43"/>
      <c r="H297" s="43"/>
      <c r="I297" s="44"/>
      <c r="J297" s="36" t="str">
        <f aca="false">IF(I297="","",IFERROR(INDEX(参数表!$D$13:$D$212,MATCH(I297,参数表!$A$13:$A$212,0)),"SKU未建档"))</f>
        <v/>
      </c>
      <c r="K297" s="36" t="str">
        <f aca="false">IF(I297="","",IFERROR(INDEX(参数表!$F$13:$F$212,MATCH(I297,参数表!$A$13:$A$212,0)),"SKU未建档"))</f>
        <v/>
      </c>
      <c r="L297" s="45"/>
      <c r="M297" s="35" t="str">
        <f aca="false">IF(I297="","",IFERROR(INDEX(参数表!$G$13:$G$212,MATCH(I297,参数表!$A$13:$A$212,0)),"SKU未建档"))</f>
        <v/>
      </c>
      <c r="N297" s="40"/>
      <c r="O297" s="46"/>
      <c r="P297" s="47"/>
      <c r="Q297" s="34" t="str">
        <f aca="false">IF(OR(O297="",P297=""),"",ROUND(O297*P297,2))</f>
        <v/>
      </c>
      <c r="R297" s="48"/>
      <c r="S297" s="46"/>
      <c r="T297" s="33" t="str">
        <f aca="false">IF(I297="","",IFERROR(INDEX(参数表!$H$13:$H$212,MATCH(I297,参数表!$A$13:$A$212,0)),"SKU未建档"))</f>
        <v/>
      </c>
      <c r="U297" s="34" t="str">
        <f aca="false">IF(A297="","",IF(参数表!$B$6="外贸企业",IF(S297="","",S297),IF(Q297="","",Q297)))</f>
        <v/>
      </c>
      <c r="V297" s="34" t="str">
        <f aca="false">IF(OR(U297="",NOT(ISNUMBER(T297))),"",ROUND(U297*T297,2))</f>
        <v/>
      </c>
      <c r="W297" s="43"/>
      <c r="X297" s="48"/>
      <c r="Y297" s="45"/>
      <c r="Z297" s="41"/>
      <c r="AA297" s="32" t="str">
        <f aca="false">IF(OR(L297="",Y297=""),"",Y297-L297)</f>
        <v/>
      </c>
      <c r="AB297" s="43"/>
      <c r="AC297" s="43"/>
    </row>
    <row r="298" customFormat="false" ht="21.75" hidden="false" customHeight="true" outlineLevel="0" collapsed="false">
      <c r="A298" s="29" t="str">
        <f aca="false">IF(OR(B298="",C298=""),"",B298&amp;"-"&amp;C298)</f>
        <v/>
      </c>
      <c r="B298" s="48"/>
      <c r="C298" s="40"/>
      <c r="D298" s="41"/>
      <c r="E298" s="42"/>
      <c r="F298" s="48"/>
      <c r="G298" s="43"/>
      <c r="H298" s="43"/>
      <c r="I298" s="44"/>
      <c r="J298" s="36" t="str">
        <f aca="false">IF(I298="","",IFERROR(INDEX(参数表!$D$13:$D$212,MATCH(I298,参数表!$A$13:$A$212,0)),"SKU未建档"))</f>
        <v/>
      </c>
      <c r="K298" s="36" t="str">
        <f aca="false">IF(I298="","",IFERROR(INDEX(参数表!$F$13:$F$212,MATCH(I298,参数表!$A$13:$A$212,0)),"SKU未建档"))</f>
        <v/>
      </c>
      <c r="L298" s="45"/>
      <c r="M298" s="35" t="str">
        <f aca="false">IF(I298="","",IFERROR(INDEX(参数表!$G$13:$G$212,MATCH(I298,参数表!$A$13:$A$212,0)),"SKU未建档"))</f>
        <v/>
      </c>
      <c r="N298" s="40"/>
      <c r="O298" s="46"/>
      <c r="P298" s="47"/>
      <c r="Q298" s="34" t="str">
        <f aca="false">IF(OR(O298="",P298=""),"",ROUND(O298*P298,2))</f>
        <v/>
      </c>
      <c r="R298" s="48"/>
      <c r="S298" s="46"/>
      <c r="T298" s="33" t="str">
        <f aca="false">IF(I298="","",IFERROR(INDEX(参数表!$H$13:$H$212,MATCH(I298,参数表!$A$13:$A$212,0)),"SKU未建档"))</f>
        <v/>
      </c>
      <c r="U298" s="34" t="str">
        <f aca="false">IF(A298="","",IF(参数表!$B$6="外贸企业",IF(S298="","",S298),IF(Q298="","",Q298)))</f>
        <v/>
      </c>
      <c r="V298" s="34" t="str">
        <f aca="false">IF(OR(U298="",NOT(ISNUMBER(T298))),"",ROUND(U298*T298,2))</f>
        <v/>
      </c>
      <c r="W298" s="43"/>
      <c r="X298" s="48"/>
      <c r="Y298" s="45"/>
      <c r="Z298" s="41"/>
      <c r="AA298" s="32" t="str">
        <f aca="false">IF(OR(L298="",Y298=""),"",Y298-L298)</f>
        <v/>
      </c>
      <c r="AB298" s="43"/>
      <c r="AC298" s="43"/>
    </row>
    <row r="299" customFormat="false" ht="21.75" hidden="false" customHeight="true" outlineLevel="0" collapsed="false">
      <c r="A299" s="29" t="str">
        <f aca="false">IF(OR(B299="",C299=""),"",B299&amp;"-"&amp;C299)</f>
        <v/>
      </c>
      <c r="B299" s="48"/>
      <c r="C299" s="40"/>
      <c r="D299" s="41"/>
      <c r="E299" s="42"/>
      <c r="F299" s="48"/>
      <c r="G299" s="43"/>
      <c r="H299" s="43"/>
      <c r="I299" s="44"/>
      <c r="J299" s="36" t="str">
        <f aca="false">IF(I299="","",IFERROR(INDEX(参数表!$D$13:$D$212,MATCH(I299,参数表!$A$13:$A$212,0)),"SKU未建档"))</f>
        <v/>
      </c>
      <c r="K299" s="36" t="str">
        <f aca="false">IF(I299="","",IFERROR(INDEX(参数表!$F$13:$F$212,MATCH(I299,参数表!$A$13:$A$212,0)),"SKU未建档"))</f>
        <v/>
      </c>
      <c r="L299" s="45"/>
      <c r="M299" s="35" t="str">
        <f aca="false">IF(I299="","",IFERROR(INDEX(参数表!$G$13:$G$212,MATCH(I299,参数表!$A$13:$A$212,0)),"SKU未建档"))</f>
        <v/>
      </c>
      <c r="N299" s="40"/>
      <c r="O299" s="46"/>
      <c r="P299" s="47"/>
      <c r="Q299" s="34" t="str">
        <f aca="false">IF(OR(O299="",P299=""),"",ROUND(O299*P299,2))</f>
        <v/>
      </c>
      <c r="R299" s="48"/>
      <c r="S299" s="46"/>
      <c r="T299" s="33" t="str">
        <f aca="false">IF(I299="","",IFERROR(INDEX(参数表!$H$13:$H$212,MATCH(I299,参数表!$A$13:$A$212,0)),"SKU未建档"))</f>
        <v/>
      </c>
      <c r="U299" s="34" t="str">
        <f aca="false">IF(A299="","",IF(参数表!$B$6="外贸企业",IF(S299="","",S299),IF(Q299="","",Q299)))</f>
        <v/>
      </c>
      <c r="V299" s="34" t="str">
        <f aca="false">IF(OR(U299="",NOT(ISNUMBER(T299))),"",ROUND(U299*T299,2))</f>
        <v/>
      </c>
      <c r="W299" s="43"/>
      <c r="X299" s="48"/>
      <c r="Y299" s="45"/>
      <c r="Z299" s="41"/>
      <c r="AA299" s="32" t="str">
        <f aca="false">IF(OR(L299="",Y299=""),"",Y299-L299)</f>
        <v/>
      </c>
      <c r="AB299" s="43"/>
      <c r="AC299" s="43"/>
    </row>
    <row r="300" customFormat="false" ht="21.75" hidden="false" customHeight="true" outlineLevel="0" collapsed="false">
      <c r="A300" s="29" t="str">
        <f aca="false">IF(OR(B300="",C300=""),"",B300&amp;"-"&amp;C300)</f>
        <v/>
      </c>
      <c r="B300" s="48"/>
      <c r="C300" s="40"/>
      <c r="D300" s="41"/>
      <c r="E300" s="42"/>
      <c r="F300" s="48"/>
      <c r="G300" s="43"/>
      <c r="H300" s="43"/>
      <c r="I300" s="44"/>
      <c r="J300" s="36" t="str">
        <f aca="false">IF(I300="","",IFERROR(INDEX(参数表!$D$13:$D$212,MATCH(I300,参数表!$A$13:$A$212,0)),"SKU未建档"))</f>
        <v/>
      </c>
      <c r="K300" s="36" t="str">
        <f aca="false">IF(I300="","",IFERROR(INDEX(参数表!$F$13:$F$212,MATCH(I300,参数表!$A$13:$A$212,0)),"SKU未建档"))</f>
        <v/>
      </c>
      <c r="L300" s="45"/>
      <c r="M300" s="35" t="str">
        <f aca="false">IF(I300="","",IFERROR(INDEX(参数表!$G$13:$G$212,MATCH(I300,参数表!$A$13:$A$212,0)),"SKU未建档"))</f>
        <v/>
      </c>
      <c r="N300" s="40"/>
      <c r="O300" s="46"/>
      <c r="P300" s="47"/>
      <c r="Q300" s="34" t="str">
        <f aca="false">IF(OR(O300="",P300=""),"",ROUND(O300*P300,2))</f>
        <v/>
      </c>
      <c r="R300" s="48"/>
      <c r="S300" s="46"/>
      <c r="T300" s="33" t="str">
        <f aca="false">IF(I300="","",IFERROR(INDEX(参数表!$H$13:$H$212,MATCH(I300,参数表!$A$13:$A$212,0)),"SKU未建档"))</f>
        <v/>
      </c>
      <c r="U300" s="34" t="str">
        <f aca="false">IF(A300="","",IF(参数表!$B$6="外贸企业",IF(S300="","",S300),IF(Q300="","",Q300)))</f>
        <v/>
      </c>
      <c r="V300" s="34" t="str">
        <f aca="false">IF(OR(U300="",NOT(ISNUMBER(T300))),"",ROUND(U300*T300,2))</f>
        <v/>
      </c>
      <c r="W300" s="43"/>
      <c r="X300" s="48"/>
      <c r="Y300" s="45"/>
      <c r="Z300" s="41"/>
      <c r="AA300" s="32" t="str">
        <f aca="false">IF(OR(L300="",Y300=""),"",Y300-L300)</f>
        <v/>
      </c>
      <c r="AB300" s="43"/>
      <c r="AC300" s="43"/>
    </row>
    <row r="301" customFormat="false" ht="21.75" hidden="false" customHeight="true" outlineLevel="0" collapsed="false">
      <c r="A301" s="29" t="str">
        <f aca="false">IF(OR(B301="",C301=""),"",B301&amp;"-"&amp;C301)</f>
        <v/>
      </c>
      <c r="B301" s="48"/>
      <c r="C301" s="40"/>
      <c r="D301" s="41"/>
      <c r="E301" s="42"/>
      <c r="F301" s="48"/>
      <c r="G301" s="43"/>
      <c r="H301" s="43"/>
      <c r="I301" s="44"/>
      <c r="J301" s="36" t="str">
        <f aca="false">IF(I301="","",IFERROR(INDEX(参数表!$D$13:$D$212,MATCH(I301,参数表!$A$13:$A$212,0)),"SKU未建档"))</f>
        <v/>
      </c>
      <c r="K301" s="36" t="str">
        <f aca="false">IF(I301="","",IFERROR(INDEX(参数表!$F$13:$F$212,MATCH(I301,参数表!$A$13:$A$212,0)),"SKU未建档"))</f>
        <v/>
      </c>
      <c r="L301" s="45"/>
      <c r="M301" s="35" t="str">
        <f aca="false">IF(I301="","",IFERROR(INDEX(参数表!$G$13:$G$212,MATCH(I301,参数表!$A$13:$A$212,0)),"SKU未建档"))</f>
        <v/>
      </c>
      <c r="N301" s="40"/>
      <c r="O301" s="46"/>
      <c r="P301" s="47"/>
      <c r="Q301" s="34" t="str">
        <f aca="false">IF(OR(O301="",P301=""),"",ROUND(O301*P301,2))</f>
        <v/>
      </c>
      <c r="R301" s="48"/>
      <c r="S301" s="46"/>
      <c r="T301" s="33" t="str">
        <f aca="false">IF(I301="","",IFERROR(INDEX(参数表!$H$13:$H$212,MATCH(I301,参数表!$A$13:$A$212,0)),"SKU未建档"))</f>
        <v/>
      </c>
      <c r="U301" s="34" t="str">
        <f aca="false">IF(A301="","",IF(参数表!$B$6="外贸企业",IF(S301="","",S301),IF(Q301="","",Q301)))</f>
        <v/>
      </c>
      <c r="V301" s="34" t="str">
        <f aca="false">IF(OR(U301="",NOT(ISNUMBER(T301))),"",ROUND(U301*T301,2))</f>
        <v/>
      </c>
      <c r="W301" s="43"/>
      <c r="X301" s="48"/>
      <c r="Y301" s="45"/>
      <c r="Z301" s="41"/>
      <c r="AA301" s="32" t="str">
        <f aca="false">IF(OR(L301="",Y301=""),"",Y301-L301)</f>
        <v/>
      </c>
      <c r="AB301" s="43"/>
      <c r="AC301" s="43"/>
    </row>
    <row r="302" customFormat="false" ht="21.75" hidden="false" customHeight="true" outlineLevel="0" collapsed="false">
      <c r="A302" s="29" t="str">
        <f aca="false">IF(OR(B302="",C302=""),"",B302&amp;"-"&amp;C302)</f>
        <v/>
      </c>
      <c r="B302" s="48"/>
      <c r="C302" s="40"/>
      <c r="D302" s="41"/>
      <c r="E302" s="42"/>
      <c r="F302" s="48"/>
      <c r="G302" s="43"/>
      <c r="H302" s="43"/>
      <c r="I302" s="44"/>
      <c r="J302" s="36" t="str">
        <f aca="false">IF(I302="","",IFERROR(INDEX(参数表!$D$13:$D$212,MATCH(I302,参数表!$A$13:$A$212,0)),"SKU未建档"))</f>
        <v/>
      </c>
      <c r="K302" s="36" t="str">
        <f aca="false">IF(I302="","",IFERROR(INDEX(参数表!$F$13:$F$212,MATCH(I302,参数表!$A$13:$A$212,0)),"SKU未建档"))</f>
        <v/>
      </c>
      <c r="L302" s="45"/>
      <c r="M302" s="35" t="str">
        <f aca="false">IF(I302="","",IFERROR(INDEX(参数表!$G$13:$G$212,MATCH(I302,参数表!$A$13:$A$212,0)),"SKU未建档"))</f>
        <v/>
      </c>
      <c r="N302" s="40"/>
      <c r="O302" s="46"/>
      <c r="P302" s="47"/>
      <c r="Q302" s="34" t="str">
        <f aca="false">IF(OR(O302="",P302=""),"",ROUND(O302*P302,2))</f>
        <v/>
      </c>
      <c r="R302" s="48"/>
      <c r="S302" s="46"/>
      <c r="T302" s="33" t="str">
        <f aca="false">IF(I302="","",IFERROR(INDEX(参数表!$H$13:$H$212,MATCH(I302,参数表!$A$13:$A$212,0)),"SKU未建档"))</f>
        <v/>
      </c>
      <c r="U302" s="34" t="str">
        <f aca="false">IF(A302="","",IF(参数表!$B$6="外贸企业",IF(S302="","",S302),IF(Q302="","",Q302)))</f>
        <v/>
      </c>
      <c r="V302" s="34" t="str">
        <f aca="false">IF(OR(U302="",NOT(ISNUMBER(T302))),"",ROUND(U302*T302,2))</f>
        <v/>
      </c>
      <c r="W302" s="43"/>
      <c r="X302" s="48"/>
      <c r="Y302" s="45"/>
      <c r="Z302" s="41"/>
      <c r="AA302" s="32" t="str">
        <f aca="false">IF(OR(L302="",Y302=""),"",Y302-L302)</f>
        <v/>
      </c>
      <c r="AB302" s="43"/>
      <c r="AC302" s="43"/>
    </row>
    <row r="303" customFormat="false" ht="21.75" hidden="false" customHeight="true" outlineLevel="0" collapsed="false">
      <c r="A303" s="29" t="str">
        <f aca="false">IF(OR(B303="",C303=""),"",B303&amp;"-"&amp;C303)</f>
        <v/>
      </c>
      <c r="B303" s="48"/>
      <c r="C303" s="40"/>
      <c r="D303" s="41"/>
      <c r="E303" s="42"/>
      <c r="F303" s="48"/>
      <c r="G303" s="43"/>
      <c r="H303" s="43"/>
      <c r="I303" s="44"/>
      <c r="J303" s="36" t="str">
        <f aca="false">IF(I303="","",IFERROR(INDEX(参数表!$D$13:$D$212,MATCH(I303,参数表!$A$13:$A$212,0)),"SKU未建档"))</f>
        <v/>
      </c>
      <c r="K303" s="36" t="str">
        <f aca="false">IF(I303="","",IFERROR(INDEX(参数表!$F$13:$F$212,MATCH(I303,参数表!$A$13:$A$212,0)),"SKU未建档"))</f>
        <v/>
      </c>
      <c r="L303" s="45"/>
      <c r="M303" s="35" t="str">
        <f aca="false">IF(I303="","",IFERROR(INDEX(参数表!$G$13:$G$212,MATCH(I303,参数表!$A$13:$A$212,0)),"SKU未建档"))</f>
        <v/>
      </c>
      <c r="N303" s="40"/>
      <c r="O303" s="46"/>
      <c r="P303" s="47"/>
      <c r="Q303" s="34" t="str">
        <f aca="false">IF(OR(O303="",P303=""),"",ROUND(O303*P303,2))</f>
        <v/>
      </c>
      <c r="R303" s="48"/>
      <c r="S303" s="46"/>
      <c r="T303" s="33" t="str">
        <f aca="false">IF(I303="","",IFERROR(INDEX(参数表!$H$13:$H$212,MATCH(I303,参数表!$A$13:$A$212,0)),"SKU未建档"))</f>
        <v/>
      </c>
      <c r="U303" s="34" t="str">
        <f aca="false">IF(A303="","",IF(参数表!$B$6="外贸企业",IF(S303="","",S303),IF(Q303="","",Q303)))</f>
        <v/>
      </c>
      <c r="V303" s="34" t="str">
        <f aca="false">IF(OR(U303="",NOT(ISNUMBER(T303))),"",ROUND(U303*T303,2))</f>
        <v/>
      </c>
      <c r="W303" s="43"/>
      <c r="X303" s="48"/>
      <c r="Y303" s="45"/>
      <c r="Z303" s="41"/>
      <c r="AA303" s="32" t="str">
        <f aca="false">IF(OR(L303="",Y303=""),"",Y303-L303)</f>
        <v/>
      </c>
      <c r="AB303" s="43"/>
      <c r="AC303" s="43"/>
    </row>
  </sheetData>
  <mergeCells count="1">
    <mergeCell ref="A2:AC2"/>
  </mergeCells>
  <conditionalFormatting sqref="J4:K303">
    <cfRule type="expression" priority="2" aboveAverage="0" equalAverage="0" bottom="0" percent="0" rank="0" text="" dxfId="0">
      <formula>OR(ISNUMBER(SEARCH("逾期",J4)),ISNUMBER(SEARCH("超期",J4)),ISNUMBER(SEARCH("缺",J4)),ISNUMBER(SEARCH("未收汇",J4)),ISNUMBER(SEARCH("不符",J4)),ISNUMBER(SEARCH("未建档",J4)),ISNUMBER(SEARCH("超过",J4)),ISNUMBER(SEARCH("未登记",J4)),ISNUMBER(SEARCH("不存在",J4)),ISNUMBER(SEARCH("差异",J4)))</formula>
    </cfRule>
    <cfRule type="expression" priority="3" aboveAverage="0" equalAverage="0" bottom="0" percent="0" rank="0" text="" dxfId="2">
      <formula>OR(ISNUMBER(SEARCH("临近",J4)),ISNUMBER(SEARCH("仍未销售",J4)),ISNUMBER(SEARCH("需要调整",J4)),ISNUMBER(SEARCH("待",J4)),ISNUMBER(SEARCH("尚未",J4)),ISNUMBER(SEARCH("请选择",J4)),ISNUMBER(SEARCH("未签收",J4)))</formula>
    </cfRule>
    <cfRule type="expression" priority="4" aboveAverage="0" equalAverage="0" bottom="0" percent="0" rank="0" text="" dxfId="3">
      <formula>OR(ISNUMBER(SEARCH("已收汇",J4)),ISNUMBER(SEARCH("及时",J4)),ISNUMBER(SEARCH("按时",J4)),ISNUMBER(SEARCH("齐全",J4)),ISNUMBER(SEARCH("已核算",J4)),J4="正常",J4="一致",ISNUMBER(SEARCH("无需调整",J4)))</formula>
    </cfRule>
  </conditionalFormatting>
  <conditionalFormatting sqref="AA4:AA303">
    <cfRule type="expression" priority="5" aboveAverage="0" equalAverage="0" bottom="0" percent="0" rank="0" text="" dxfId="0">
      <formula>AND(ISNUMBER(AA4),AA4&lt;&gt;0)</formula>
    </cfRule>
  </conditionalFormatting>
  <dataValidations count="4">
    <dataValidation allowBlank="true" errorStyle="stop" operator="between" showDropDown="false" showErrorMessage="false" showInputMessage="false" sqref="E4:E303" type="list">
      <formula1>"9810"</formula1>
      <formula2>0</formula2>
    </dataValidation>
    <dataValidation allowBlank="true" errorStyle="stop" operator="between" showDropDown="false" showErrorMessage="false" showInputMessage="false" sqref="G4:G303" type="list">
      <formula1>参数表!$K$13:$K$40</formula1>
      <formula2>0</formula2>
    </dataValidation>
    <dataValidation allowBlank="true" error="请从下拉列表中选择，或先在参数表/出口报关中登记。" errorStyle="stop" errorTitle="请从下拉中选择" operator="between" showDropDown="false" showErrorMessage="true" showInputMessage="false" sqref="I4:I303" type="list">
      <formula1>参数表!$A$13:$A$212</formula1>
      <formula2>0</formula2>
    </dataValidation>
    <dataValidation allowBlank="true" errorStyle="stop" operator="between" showDropDown="false" showErrorMessage="false" showInputMessage="false" sqref="N4:N303" type="list">
      <formula1>参数表!$L$13:$L$40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6C8"/>
    <pageSetUpPr fitToPage="true"/>
  </sheetPr>
  <dimension ref="A1:Q6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2" min="10" style="0" width="13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6" min="16" style="0" width="13"/>
    <col collapsed="false" customWidth="true" hidden="false" outlineLevel="0" max="17" min="17" style="0" width="12"/>
  </cols>
  <sheetData>
    <row r="1" customFormat="false" ht="36" hidden="false" customHeight="true" outlineLevel="0" collapsed="false">
      <c r="A1" s="23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3.75" hidden="false" customHeight="true" outlineLevel="0" collapsed="false">
      <c r="A2" s="22" t="s">
        <v>184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customFormat="false" ht="61.5" hidden="false" customHeight="true" outlineLevel="0" collapsed="false">
      <c r="A3" s="37" t="s">
        <v>185</v>
      </c>
      <c r="B3" s="37" t="s">
        <v>186</v>
      </c>
      <c r="C3" s="37" t="s">
        <v>148</v>
      </c>
      <c r="D3" s="38" t="s">
        <v>125</v>
      </c>
      <c r="E3" s="37" t="s">
        <v>187</v>
      </c>
      <c r="F3" s="28" t="s">
        <v>188</v>
      </c>
      <c r="G3" s="37" t="s">
        <v>189</v>
      </c>
      <c r="H3" s="37" t="s">
        <v>190</v>
      </c>
      <c r="I3" s="27" t="s">
        <v>191</v>
      </c>
      <c r="J3" s="37" t="s">
        <v>192</v>
      </c>
      <c r="K3" s="37" t="s">
        <v>193</v>
      </c>
      <c r="L3" s="27" t="s">
        <v>194</v>
      </c>
      <c r="M3" s="27" t="s">
        <v>195</v>
      </c>
      <c r="N3" s="37" t="s">
        <v>196</v>
      </c>
      <c r="O3" s="37" t="s">
        <v>197</v>
      </c>
      <c r="P3" s="27" t="s">
        <v>198</v>
      </c>
      <c r="Q3" s="37" t="s">
        <v>168</v>
      </c>
    </row>
    <row r="4" customFormat="false" ht="21.75" hidden="false" customHeight="true" outlineLevel="0" collapsed="false">
      <c r="A4" s="49" t="n">
        <v>46143</v>
      </c>
      <c r="B4" s="48" t="s">
        <v>199</v>
      </c>
      <c r="C4" s="43" t="s">
        <v>172</v>
      </c>
      <c r="D4" s="44" t="s">
        <v>174</v>
      </c>
      <c r="E4" s="44" t="s">
        <v>200</v>
      </c>
      <c r="F4" s="36" t="str">
        <f aca="false">IF(OR(D4="",E4=""),"",IF(IFERROR(INDEX(①出口报关!$I$4:$I$303,MATCH(E4,①出口报关!$A$4:$A$303,0)),"")=D4,"一致","SKU与报关单不符"))</f>
        <v>一致</v>
      </c>
      <c r="G4" s="45" t="n">
        <v>300</v>
      </c>
      <c r="H4" s="45" t="n">
        <v>10</v>
      </c>
      <c r="I4" s="31" t="n">
        <f aca="false">IF(AND(G4="",H4=""),"",N(G4)-N(H4))</f>
        <v>290</v>
      </c>
      <c r="J4" s="46" t="n">
        <v>8997</v>
      </c>
      <c r="K4" s="46" t="n">
        <v>3600</v>
      </c>
      <c r="L4" s="34" t="n">
        <f aca="false">IF(AND(J4="",K4=""),"",N(J4)-N(K4))</f>
        <v>5397</v>
      </c>
      <c r="M4" s="35" t="str">
        <f aca="false">IF(B4="","",IF(COUNTIFS(③回款收汇!$A$4:$A$203,B4,③回款收汇!$R$4:$R$203,"&gt;0")&gt;0,"已收汇","待收汇"))</f>
        <v>已收汇</v>
      </c>
      <c r="N4" s="41" t="n">
        <v>46173</v>
      </c>
      <c r="O4" s="41" t="n">
        <v>46183</v>
      </c>
      <c r="P4" s="35" t="str">
        <f aca="true">IF(N4="","",IF(O4="",IF(TODAY()-N4&gt;15,"已超15天未留存","待留存"),IF(O4-N4&lt;=15,"及时","超期")))</f>
        <v>及时</v>
      </c>
      <c r="Q4" s="43" t="s">
        <v>180</v>
      </c>
    </row>
    <row r="5" customFormat="false" ht="21.75" hidden="false" customHeight="true" outlineLevel="0" collapsed="false">
      <c r="A5" s="49" t="n">
        <v>46143</v>
      </c>
      <c r="B5" s="48" t="s">
        <v>199</v>
      </c>
      <c r="C5" s="43" t="s">
        <v>172</v>
      </c>
      <c r="D5" s="44" t="s">
        <v>181</v>
      </c>
      <c r="E5" s="44" t="s">
        <v>201</v>
      </c>
      <c r="F5" s="36" t="str">
        <f aca="false">IF(OR(D5="",E5=""),"",IF(IFERROR(INDEX(①出口报关!$I$4:$I$303,MATCH(E5,①出口报关!$A$4:$A$303,0)),"")=D5,"一致","SKU与报关单不符"))</f>
        <v>一致</v>
      </c>
      <c r="G5" s="45" t="n">
        <v>200</v>
      </c>
      <c r="H5" s="45" t="n">
        <v>0</v>
      </c>
      <c r="I5" s="31" t="n">
        <f aca="false">IF(AND(G5="",H5=""),"",N(G5)-N(H5))</f>
        <v>200</v>
      </c>
      <c r="J5" s="46" t="n">
        <v>7998</v>
      </c>
      <c r="K5" s="46" t="n">
        <v>3200</v>
      </c>
      <c r="L5" s="34" t="n">
        <f aca="false">IF(AND(J5="",K5=""),"",N(J5)-N(K5))</f>
        <v>4798</v>
      </c>
      <c r="M5" s="35" t="str">
        <f aca="false">IF(B5="","",IF(COUNTIFS(③回款收汇!$A$4:$A$203,B5,③回款收汇!$R$4:$R$203,"&gt;0")&gt;0,"已收汇","待收汇"))</f>
        <v>已收汇</v>
      </c>
      <c r="N5" s="41" t="n">
        <v>46173</v>
      </c>
      <c r="O5" s="41" t="n">
        <v>46183</v>
      </c>
      <c r="P5" s="35" t="str">
        <f aca="true">IF(N5="","",IF(O5="",IF(TODAY()-N5&gt;15,"已超15天未留存","待留存"),IF(O5-N5&lt;=15,"及时","超期")))</f>
        <v>及时</v>
      </c>
      <c r="Q5" s="43" t="s">
        <v>180</v>
      </c>
    </row>
    <row r="6" customFormat="false" ht="21.75" hidden="false" customHeight="true" outlineLevel="0" collapsed="false">
      <c r="A6" s="49" t="n">
        <v>46174</v>
      </c>
      <c r="B6" s="48" t="s">
        <v>202</v>
      </c>
      <c r="C6" s="43" t="s">
        <v>172</v>
      </c>
      <c r="D6" s="44" t="s">
        <v>174</v>
      </c>
      <c r="E6" s="44" t="s">
        <v>200</v>
      </c>
      <c r="F6" s="36" t="str">
        <f aca="false">IF(OR(D6="",E6=""),"",IF(IFERROR(INDEX(①出口报关!$I$4:$I$303,MATCH(E6,①出口报关!$A$4:$A$303,0)),"")=D6,"一致","SKU与报关单不符"))</f>
        <v>一致</v>
      </c>
      <c r="G6" s="45" t="n">
        <v>400</v>
      </c>
      <c r="H6" s="45" t="n">
        <v>5</v>
      </c>
      <c r="I6" s="31" t="n">
        <f aca="false">IF(AND(G6="",H6=""),"",N(G6)-N(H6))</f>
        <v>395</v>
      </c>
      <c r="J6" s="46" t="n">
        <v>11996</v>
      </c>
      <c r="K6" s="46" t="n">
        <v>4800</v>
      </c>
      <c r="L6" s="34" t="n">
        <f aca="false">IF(AND(J6="",K6=""),"",N(J6)-N(K6))</f>
        <v>7196</v>
      </c>
      <c r="M6" s="35" t="str">
        <f aca="false">IF(B6="","",IF(COUNTIFS(③回款收汇!$A$4:$A$203,B6,③回款收汇!$R$4:$R$203,"&gt;0")&gt;0,"已收汇","待收汇"))</f>
        <v>待收汇</v>
      </c>
      <c r="N6" s="41" t="n">
        <v>46203</v>
      </c>
      <c r="O6" s="41" t="n">
        <v>46223</v>
      </c>
      <c r="P6" s="35" t="str">
        <f aca="true">IF(N6="","",IF(O6="",IF(TODAY()-N6&gt;15,"已超15天未留存","待留存"),IF(O6-N6&lt;=15,"及时","超期")))</f>
        <v>超期</v>
      </c>
      <c r="Q6" s="43" t="s">
        <v>203</v>
      </c>
    </row>
    <row r="7" customFormat="false" ht="21.75" hidden="false" customHeight="true" outlineLevel="0" collapsed="false">
      <c r="A7" s="49"/>
      <c r="B7" s="48"/>
      <c r="C7" s="43"/>
      <c r="D7" s="44"/>
      <c r="E7" s="44"/>
      <c r="F7" s="36" t="str">
        <f aca="false">IF(OR(D7="",E7=""),"",IF(IFERROR(INDEX(①出口报关!$I$4:$I$303,MATCH(E7,①出口报关!$A$4:$A$303,0)),"")=D7,"一致","SKU与报关单不符"))</f>
        <v/>
      </c>
      <c r="G7" s="45"/>
      <c r="H7" s="45"/>
      <c r="I7" s="31" t="str">
        <f aca="false">IF(AND(G7="",H7=""),"",N(G7)-N(H7))</f>
        <v/>
      </c>
      <c r="J7" s="46"/>
      <c r="K7" s="46"/>
      <c r="L7" s="34" t="str">
        <f aca="false">IF(AND(J7="",K7=""),"",N(J7)-N(K7))</f>
        <v/>
      </c>
      <c r="M7" s="35" t="str">
        <f aca="false">IF(B7="","",IF(COUNTIFS(③回款收汇!$A$4:$A$203,B7,③回款收汇!$R$4:$R$203,"&gt;0")&gt;0,"已收汇","待收汇"))</f>
        <v/>
      </c>
      <c r="N7" s="41"/>
      <c r="O7" s="41"/>
      <c r="P7" s="35" t="str">
        <f aca="true">IF(N7="","",IF(O7="",IF(TODAY()-N7&gt;15,"已超15天未留存","待留存"),IF(O7-N7&lt;=15,"及时","超期")))</f>
        <v/>
      </c>
      <c r="Q7" s="43"/>
    </row>
    <row r="8" customFormat="false" ht="21.75" hidden="false" customHeight="true" outlineLevel="0" collapsed="false">
      <c r="A8" s="49"/>
      <c r="B8" s="48"/>
      <c r="C8" s="43"/>
      <c r="D8" s="44"/>
      <c r="E8" s="44"/>
      <c r="F8" s="36" t="str">
        <f aca="false">IF(OR(D8="",E8=""),"",IF(IFERROR(INDEX(①出口报关!$I$4:$I$303,MATCH(E8,①出口报关!$A$4:$A$303,0)),"")=D8,"一致","SKU与报关单不符"))</f>
        <v/>
      </c>
      <c r="G8" s="45"/>
      <c r="H8" s="45"/>
      <c r="I8" s="31" t="str">
        <f aca="false">IF(AND(G8="",H8=""),"",N(G8)-N(H8))</f>
        <v/>
      </c>
      <c r="J8" s="46"/>
      <c r="K8" s="46"/>
      <c r="L8" s="34" t="str">
        <f aca="false">IF(AND(J8="",K8=""),"",N(J8)-N(K8))</f>
        <v/>
      </c>
      <c r="M8" s="35" t="str">
        <f aca="false">IF(B8="","",IF(COUNTIFS(③回款收汇!$A$4:$A$203,B8,③回款收汇!$R$4:$R$203,"&gt;0")&gt;0,"已收汇","待收汇"))</f>
        <v/>
      </c>
      <c r="N8" s="41"/>
      <c r="O8" s="41"/>
      <c r="P8" s="35" t="str">
        <f aca="true">IF(N8="","",IF(O8="",IF(TODAY()-N8&gt;15,"已超15天未留存","待留存"),IF(O8-N8&lt;=15,"及时","超期")))</f>
        <v/>
      </c>
      <c r="Q8" s="43"/>
    </row>
    <row r="9" customFormat="false" ht="21.75" hidden="false" customHeight="true" outlineLevel="0" collapsed="false">
      <c r="A9" s="49"/>
      <c r="B9" s="48"/>
      <c r="C9" s="43"/>
      <c r="D9" s="44"/>
      <c r="E9" s="44"/>
      <c r="F9" s="36" t="str">
        <f aca="false">IF(OR(D9="",E9=""),"",IF(IFERROR(INDEX(①出口报关!$I$4:$I$303,MATCH(E9,①出口报关!$A$4:$A$303,0)),"")=D9,"一致","SKU与报关单不符"))</f>
        <v/>
      </c>
      <c r="G9" s="45"/>
      <c r="H9" s="45"/>
      <c r="I9" s="31" t="str">
        <f aca="false">IF(AND(G9="",H9=""),"",N(G9)-N(H9))</f>
        <v/>
      </c>
      <c r="J9" s="46"/>
      <c r="K9" s="46"/>
      <c r="L9" s="34" t="str">
        <f aca="false">IF(AND(J9="",K9=""),"",N(J9)-N(K9))</f>
        <v/>
      </c>
      <c r="M9" s="35" t="str">
        <f aca="false">IF(B9="","",IF(COUNTIFS(③回款收汇!$A$4:$A$203,B9,③回款收汇!$R$4:$R$203,"&gt;0")&gt;0,"已收汇","待收汇"))</f>
        <v/>
      </c>
      <c r="N9" s="41"/>
      <c r="O9" s="41"/>
      <c r="P9" s="35" t="str">
        <f aca="true">IF(N9="","",IF(O9="",IF(TODAY()-N9&gt;15,"已超15天未留存","待留存"),IF(O9-N9&lt;=15,"及时","超期")))</f>
        <v/>
      </c>
      <c r="Q9" s="43"/>
    </row>
    <row r="10" customFormat="false" ht="21.75" hidden="false" customHeight="true" outlineLevel="0" collapsed="false">
      <c r="A10" s="49"/>
      <c r="B10" s="48"/>
      <c r="C10" s="43"/>
      <c r="D10" s="44"/>
      <c r="E10" s="44"/>
      <c r="F10" s="36" t="str">
        <f aca="false">IF(OR(D10="",E10=""),"",IF(IFERROR(INDEX(①出口报关!$I$4:$I$303,MATCH(E10,①出口报关!$A$4:$A$303,0)),"")=D10,"一致","SKU与报关单不符"))</f>
        <v/>
      </c>
      <c r="G10" s="45"/>
      <c r="H10" s="45"/>
      <c r="I10" s="31" t="str">
        <f aca="false">IF(AND(G10="",H10=""),"",N(G10)-N(H10))</f>
        <v/>
      </c>
      <c r="J10" s="46"/>
      <c r="K10" s="46"/>
      <c r="L10" s="34" t="str">
        <f aca="false">IF(AND(J10="",K10=""),"",N(J10)-N(K10))</f>
        <v/>
      </c>
      <c r="M10" s="35" t="str">
        <f aca="false">IF(B10="","",IF(COUNTIFS(③回款收汇!$A$4:$A$203,B10,③回款收汇!$R$4:$R$203,"&gt;0")&gt;0,"已收汇","待收汇"))</f>
        <v/>
      </c>
      <c r="N10" s="41"/>
      <c r="O10" s="41"/>
      <c r="P10" s="35" t="str">
        <f aca="true">IF(N10="","",IF(O10="",IF(TODAY()-N10&gt;15,"已超15天未留存","待留存"),IF(O10-N10&lt;=15,"及时","超期")))</f>
        <v/>
      </c>
      <c r="Q10" s="43"/>
    </row>
    <row r="11" customFormat="false" ht="21.75" hidden="false" customHeight="true" outlineLevel="0" collapsed="false">
      <c r="A11" s="49"/>
      <c r="B11" s="48"/>
      <c r="C11" s="43"/>
      <c r="D11" s="44"/>
      <c r="E11" s="44"/>
      <c r="F11" s="36" t="str">
        <f aca="false">IF(OR(D11="",E11=""),"",IF(IFERROR(INDEX(①出口报关!$I$4:$I$303,MATCH(E11,①出口报关!$A$4:$A$303,0)),"")=D11,"一致","SKU与报关单不符"))</f>
        <v/>
      </c>
      <c r="G11" s="45"/>
      <c r="H11" s="45"/>
      <c r="I11" s="31" t="str">
        <f aca="false">IF(AND(G11="",H11=""),"",N(G11)-N(H11))</f>
        <v/>
      </c>
      <c r="J11" s="46"/>
      <c r="K11" s="46"/>
      <c r="L11" s="34" t="str">
        <f aca="false">IF(AND(J11="",K11=""),"",N(J11)-N(K11))</f>
        <v/>
      </c>
      <c r="M11" s="35" t="str">
        <f aca="false">IF(B11="","",IF(COUNTIFS(③回款收汇!$A$4:$A$203,B11,③回款收汇!$R$4:$R$203,"&gt;0")&gt;0,"已收汇","待收汇"))</f>
        <v/>
      </c>
      <c r="N11" s="41"/>
      <c r="O11" s="41"/>
      <c r="P11" s="35" t="str">
        <f aca="true">IF(N11="","",IF(O11="",IF(TODAY()-N11&gt;15,"已超15天未留存","待留存"),IF(O11-N11&lt;=15,"及时","超期")))</f>
        <v/>
      </c>
      <c r="Q11" s="43"/>
    </row>
    <row r="12" customFormat="false" ht="21.75" hidden="false" customHeight="true" outlineLevel="0" collapsed="false">
      <c r="A12" s="49"/>
      <c r="B12" s="48"/>
      <c r="C12" s="43"/>
      <c r="D12" s="44"/>
      <c r="E12" s="44"/>
      <c r="F12" s="36" t="str">
        <f aca="false">IF(OR(D12="",E12=""),"",IF(IFERROR(INDEX(①出口报关!$I$4:$I$303,MATCH(E12,①出口报关!$A$4:$A$303,0)),"")=D12,"一致","SKU与报关单不符"))</f>
        <v/>
      </c>
      <c r="G12" s="45"/>
      <c r="H12" s="45"/>
      <c r="I12" s="31" t="str">
        <f aca="false">IF(AND(G12="",H12=""),"",N(G12)-N(H12))</f>
        <v/>
      </c>
      <c r="J12" s="46"/>
      <c r="K12" s="46"/>
      <c r="L12" s="34" t="str">
        <f aca="false">IF(AND(J12="",K12=""),"",N(J12)-N(K12))</f>
        <v/>
      </c>
      <c r="M12" s="35" t="str">
        <f aca="false">IF(B12="","",IF(COUNTIFS(③回款收汇!$A$4:$A$203,B12,③回款收汇!$R$4:$R$203,"&gt;0")&gt;0,"已收汇","待收汇"))</f>
        <v/>
      </c>
      <c r="N12" s="41"/>
      <c r="O12" s="41"/>
      <c r="P12" s="35" t="str">
        <f aca="true">IF(N12="","",IF(O12="",IF(TODAY()-N12&gt;15,"已超15天未留存","待留存"),IF(O12-N12&lt;=15,"及时","超期")))</f>
        <v/>
      </c>
      <c r="Q12" s="43"/>
    </row>
    <row r="13" customFormat="false" ht="21.75" hidden="false" customHeight="true" outlineLevel="0" collapsed="false">
      <c r="A13" s="49"/>
      <c r="B13" s="48"/>
      <c r="C13" s="43"/>
      <c r="D13" s="44"/>
      <c r="E13" s="44"/>
      <c r="F13" s="36" t="str">
        <f aca="false">IF(OR(D13="",E13=""),"",IF(IFERROR(INDEX(①出口报关!$I$4:$I$303,MATCH(E13,①出口报关!$A$4:$A$303,0)),"")=D13,"一致","SKU与报关单不符"))</f>
        <v/>
      </c>
      <c r="G13" s="45"/>
      <c r="H13" s="45"/>
      <c r="I13" s="31" t="str">
        <f aca="false">IF(AND(G13="",H13=""),"",N(G13)-N(H13))</f>
        <v/>
      </c>
      <c r="J13" s="46"/>
      <c r="K13" s="46"/>
      <c r="L13" s="34" t="str">
        <f aca="false">IF(AND(J13="",K13=""),"",N(J13)-N(K13))</f>
        <v/>
      </c>
      <c r="M13" s="35" t="str">
        <f aca="false">IF(B13="","",IF(COUNTIFS(③回款收汇!$A$4:$A$203,B13,③回款收汇!$R$4:$R$203,"&gt;0")&gt;0,"已收汇","待收汇"))</f>
        <v/>
      </c>
      <c r="N13" s="41"/>
      <c r="O13" s="41"/>
      <c r="P13" s="35" t="str">
        <f aca="true">IF(N13="","",IF(O13="",IF(TODAY()-N13&gt;15,"已超15天未留存","待留存"),IF(O13-N13&lt;=15,"及时","超期")))</f>
        <v/>
      </c>
      <c r="Q13" s="43"/>
    </row>
    <row r="14" customFormat="false" ht="21.75" hidden="false" customHeight="true" outlineLevel="0" collapsed="false">
      <c r="A14" s="49"/>
      <c r="B14" s="48"/>
      <c r="C14" s="43"/>
      <c r="D14" s="44"/>
      <c r="E14" s="44"/>
      <c r="F14" s="36" t="str">
        <f aca="false">IF(OR(D14="",E14=""),"",IF(IFERROR(INDEX(①出口报关!$I$4:$I$303,MATCH(E14,①出口报关!$A$4:$A$303,0)),"")=D14,"一致","SKU与报关单不符"))</f>
        <v/>
      </c>
      <c r="G14" s="45"/>
      <c r="H14" s="45"/>
      <c r="I14" s="31" t="str">
        <f aca="false">IF(AND(G14="",H14=""),"",N(G14)-N(H14))</f>
        <v/>
      </c>
      <c r="J14" s="46"/>
      <c r="K14" s="46"/>
      <c r="L14" s="34" t="str">
        <f aca="false">IF(AND(J14="",K14=""),"",N(J14)-N(K14))</f>
        <v/>
      </c>
      <c r="M14" s="35" t="str">
        <f aca="false">IF(B14="","",IF(COUNTIFS(③回款收汇!$A$4:$A$203,B14,③回款收汇!$R$4:$R$203,"&gt;0")&gt;0,"已收汇","待收汇"))</f>
        <v/>
      </c>
      <c r="N14" s="41"/>
      <c r="O14" s="41"/>
      <c r="P14" s="35" t="str">
        <f aca="true">IF(N14="","",IF(O14="",IF(TODAY()-N14&gt;15,"已超15天未留存","待留存"),IF(O14-N14&lt;=15,"及时","超期")))</f>
        <v/>
      </c>
      <c r="Q14" s="43"/>
    </row>
    <row r="15" customFormat="false" ht="21.75" hidden="false" customHeight="true" outlineLevel="0" collapsed="false">
      <c r="A15" s="49"/>
      <c r="B15" s="48"/>
      <c r="C15" s="43"/>
      <c r="D15" s="44"/>
      <c r="E15" s="44"/>
      <c r="F15" s="36" t="str">
        <f aca="false">IF(OR(D15="",E15=""),"",IF(IFERROR(INDEX(①出口报关!$I$4:$I$303,MATCH(E15,①出口报关!$A$4:$A$303,0)),"")=D15,"一致","SKU与报关单不符"))</f>
        <v/>
      </c>
      <c r="G15" s="45"/>
      <c r="H15" s="45"/>
      <c r="I15" s="31" t="str">
        <f aca="false">IF(AND(G15="",H15=""),"",N(G15)-N(H15))</f>
        <v/>
      </c>
      <c r="J15" s="46"/>
      <c r="K15" s="46"/>
      <c r="L15" s="34" t="str">
        <f aca="false">IF(AND(J15="",K15=""),"",N(J15)-N(K15))</f>
        <v/>
      </c>
      <c r="M15" s="35" t="str">
        <f aca="false">IF(B15="","",IF(COUNTIFS(③回款收汇!$A$4:$A$203,B15,③回款收汇!$R$4:$R$203,"&gt;0")&gt;0,"已收汇","待收汇"))</f>
        <v/>
      </c>
      <c r="N15" s="41"/>
      <c r="O15" s="41"/>
      <c r="P15" s="35" t="str">
        <f aca="true">IF(N15="","",IF(O15="",IF(TODAY()-N15&gt;15,"已超15天未留存","待留存"),IF(O15-N15&lt;=15,"及时","超期")))</f>
        <v/>
      </c>
      <c r="Q15" s="43"/>
    </row>
    <row r="16" customFormat="false" ht="21.75" hidden="false" customHeight="true" outlineLevel="0" collapsed="false">
      <c r="A16" s="49"/>
      <c r="B16" s="48"/>
      <c r="C16" s="43"/>
      <c r="D16" s="44"/>
      <c r="E16" s="44"/>
      <c r="F16" s="36" t="str">
        <f aca="false">IF(OR(D16="",E16=""),"",IF(IFERROR(INDEX(①出口报关!$I$4:$I$303,MATCH(E16,①出口报关!$A$4:$A$303,0)),"")=D16,"一致","SKU与报关单不符"))</f>
        <v/>
      </c>
      <c r="G16" s="45"/>
      <c r="H16" s="45"/>
      <c r="I16" s="31" t="str">
        <f aca="false">IF(AND(G16="",H16=""),"",N(G16)-N(H16))</f>
        <v/>
      </c>
      <c r="J16" s="46"/>
      <c r="K16" s="46"/>
      <c r="L16" s="34" t="str">
        <f aca="false">IF(AND(J16="",K16=""),"",N(J16)-N(K16))</f>
        <v/>
      </c>
      <c r="M16" s="35" t="str">
        <f aca="false">IF(B16="","",IF(COUNTIFS(③回款收汇!$A$4:$A$203,B16,③回款收汇!$R$4:$R$203,"&gt;0")&gt;0,"已收汇","待收汇"))</f>
        <v/>
      </c>
      <c r="N16" s="41"/>
      <c r="O16" s="41"/>
      <c r="P16" s="35" t="str">
        <f aca="true">IF(N16="","",IF(O16="",IF(TODAY()-N16&gt;15,"已超15天未留存","待留存"),IF(O16-N16&lt;=15,"及时","超期")))</f>
        <v/>
      </c>
      <c r="Q16" s="43"/>
    </row>
    <row r="17" customFormat="false" ht="21.75" hidden="false" customHeight="true" outlineLevel="0" collapsed="false">
      <c r="A17" s="49"/>
      <c r="B17" s="48"/>
      <c r="C17" s="43"/>
      <c r="D17" s="44"/>
      <c r="E17" s="44"/>
      <c r="F17" s="36" t="str">
        <f aca="false">IF(OR(D17="",E17=""),"",IF(IFERROR(INDEX(①出口报关!$I$4:$I$303,MATCH(E17,①出口报关!$A$4:$A$303,0)),"")=D17,"一致","SKU与报关单不符"))</f>
        <v/>
      </c>
      <c r="G17" s="45"/>
      <c r="H17" s="45"/>
      <c r="I17" s="31" t="str">
        <f aca="false">IF(AND(G17="",H17=""),"",N(G17)-N(H17))</f>
        <v/>
      </c>
      <c r="J17" s="46"/>
      <c r="K17" s="46"/>
      <c r="L17" s="34" t="str">
        <f aca="false">IF(AND(J17="",K17=""),"",N(J17)-N(K17))</f>
        <v/>
      </c>
      <c r="M17" s="35" t="str">
        <f aca="false">IF(B17="","",IF(COUNTIFS(③回款收汇!$A$4:$A$203,B17,③回款收汇!$R$4:$R$203,"&gt;0")&gt;0,"已收汇","待收汇"))</f>
        <v/>
      </c>
      <c r="N17" s="41"/>
      <c r="O17" s="41"/>
      <c r="P17" s="35" t="str">
        <f aca="true">IF(N17="","",IF(O17="",IF(TODAY()-N17&gt;15,"已超15天未留存","待留存"),IF(O17-N17&lt;=15,"及时","超期")))</f>
        <v/>
      </c>
      <c r="Q17" s="43"/>
    </row>
    <row r="18" customFormat="false" ht="21.75" hidden="false" customHeight="true" outlineLevel="0" collapsed="false">
      <c r="A18" s="49"/>
      <c r="B18" s="48"/>
      <c r="C18" s="43"/>
      <c r="D18" s="44"/>
      <c r="E18" s="44"/>
      <c r="F18" s="36" t="str">
        <f aca="false">IF(OR(D18="",E18=""),"",IF(IFERROR(INDEX(①出口报关!$I$4:$I$303,MATCH(E18,①出口报关!$A$4:$A$303,0)),"")=D18,"一致","SKU与报关单不符"))</f>
        <v/>
      </c>
      <c r="G18" s="45"/>
      <c r="H18" s="45"/>
      <c r="I18" s="31" t="str">
        <f aca="false">IF(AND(G18="",H18=""),"",N(G18)-N(H18))</f>
        <v/>
      </c>
      <c r="J18" s="46"/>
      <c r="K18" s="46"/>
      <c r="L18" s="34" t="str">
        <f aca="false">IF(AND(J18="",K18=""),"",N(J18)-N(K18))</f>
        <v/>
      </c>
      <c r="M18" s="35" t="str">
        <f aca="false">IF(B18="","",IF(COUNTIFS(③回款收汇!$A$4:$A$203,B18,③回款收汇!$R$4:$R$203,"&gt;0")&gt;0,"已收汇","待收汇"))</f>
        <v/>
      </c>
      <c r="N18" s="41"/>
      <c r="O18" s="41"/>
      <c r="P18" s="35" t="str">
        <f aca="true">IF(N18="","",IF(O18="",IF(TODAY()-N18&gt;15,"已超15天未留存","待留存"),IF(O18-N18&lt;=15,"及时","超期")))</f>
        <v/>
      </c>
      <c r="Q18" s="43"/>
    </row>
    <row r="19" customFormat="false" ht="21.75" hidden="false" customHeight="true" outlineLevel="0" collapsed="false">
      <c r="A19" s="49"/>
      <c r="B19" s="48"/>
      <c r="C19" s="43"/>
      <c r="D19" s="44"/>
      <c r="E19" s="44"/>
      <c r="F19" s="36" t="str">
        <f aca="false">IF(OR(D19="",E19=""),"",IF(IFERROR(INDEX(①出口报关!$I$4:$I$303,MATCH(E19,①出口报关!$A$4:$A$303,0)),"")=D19,"一致","SKU与报关单不符"))</f>
        <v/>
      </c>
      <c r="G19" s="45"/>
      <c r="H19" s="45"/>
      <c r="I19" s="31" t="str">
        <f aca="false">IF(AND(G19="",H19=""),"",N(G19)-N(H19))</f>
        <v/>
      </c>
      <c r="J19" s="46"/>
      <c r="K19" s="46"/>
      <c r="L19" s="34" t="str">
        <f aca="false">IF(AND(J19="",K19=""),"",N(J19)-N(K19))</f>
        <v/>
      </c>
      <c r="M19" s="35" t="str">
        <f aca="false">IF(B19="","",IF(COUNTIFS(③回款收汇!$A$4:$A$203,B19,③回款收汇!$R$4:$R$203,"&gt;0")&gt;0,"已收汇","待收汇"))</f>
        <v/>
      </c>
      <c r="N19" s="41"/>
      <c r="O19" s="41"/>
      <c r="P19" s="35" t="str">
        <f aca="true">IF(N19="","",IF(O19="",IF(TODAY()-N19&gt;15,"已超15天未留存","待留存"),IF(O19-N19&lt;=15,"及时","超期")))</f>
        <v/>
      </c>
      <c r="Q19" s="43"/>
    </row>
    <row r="20" customFormat="false" ht="21.75" hidden="false" customHeight="true" outlineLevel="0" collapsed="false">
      <c r="A20" s="49"/>
      <c r="B20" s="48"/>
      <c r="C20" s="43"/>
      <c r="D20" s="44"/>
      <c r="E20" s="44"/>
      <c r="F20" s="36" t="str">
        <f aca="false">IF(OR(D20="",E20=""),"",IF(IFERROR(INDEX(①出口报关!$I$4:$I$303,MATCH(E20,①出口报关!$A$4:$A$303,0)),"")=D20,"一致","SKU与报关单不符"))</f>
        <v/>
      </c>
      <c r="G20" s="45"/>
      <c r="H20" s="45"/>
      <c r="I20" s="31" t="str">
        <f aca="false">IF(AND(G20="",H20=""),"",N(G20)-N(H20))</f>
        <v/>
      </c>
      <c r="J20" s="46"/>
      <c r="K20" s="46"/>
      <c r="L20" s="34" t="str">
        <f aca="false">IF(AND(J20="",K20=""),"",N(J20)-N(K20))</f>
        <v/>
      </c>
      <c r="M20" s="35" t="str">
        <f aca="false">IF(B20="","",IF(COUNTIFS(③回款收汇!$A$4:$A$203,B20,③回款收汇!$R$4:$R$203,"&gt;0")&gt;0,"已收汇","待收汇"))</f>
        <v/>
      </c>
      <c r="N20" s="41"/>
      <c r="O20" s="41"/>
      <c r="P20" s="35" t="str">
        <f aca="true">IF(N20="","",IF(O20="",IF(TODAY()-N20&gt;15,"已超15天未留存","待留存"),IF(O20-N20&lt;=15,"及时","超期")))</f>
        <v/>
      </c>
      <c r="Q20" s="43"/>
    </row>
    <row r="21" customFormat="false" ht="21.75" hidden="false" customHeight="true" outlineLevel="0" collapsed="false">
      <c r="A21" s="49"/>
      <c r="B21" s="48"/>
      <c r="C21" s="43"/>
      <c r="D21" s="44"/>
      <c r="E21" s="44"/>
      <c r="F21" s="36" t="str">
        <f aca="false">IF(OR(D21="",E21=""),"",IF(IFERROR(INDEX(①出口报关!$I$4:$I$303,MATCH(E21,①出口报关!$A$4:$A$303,0)),"")=D21,"一致","SKU与报关单不符"))</f>
        <v/>
      </c>
      <c r="G21" s="45"/>
      <c r="H21" s="45"/>
      <c r="I21" s="31" t="str">
        <f aca="false">IF(AND(G21="",H21=""),"",N(G21)-N(H21))</f>
        <v/>
      </c>
      <c r="J21" s="46"/>
      <c r="K21" s="46"/>
      <c r="L21" s="34" t="str">
        <f aca="false">IF(AND(J21="",K21=""),"",N(J21)-N(K21))</f>
        <v/>
      </c>
      <c r="M21" s="35" t="str">
        <f aca="false">IF(B21="","",IF(COUNTIFS(③回款收汇!$A$4:$A$203,B21,③回款收汇!$R$4:$R$203,"&gt;0")&gt;0,"已收汇","待收汇"))</f>
        <v/>
      </c>
      <c r="N21" s="41"/>
      <c r="O21" s="41"/>
      <c r="P21" s="35" t="str">
        <f aca="true">IF(N21="","",IF(O21="",IF(TODAY()-N21&gt;15,"已超15天未留存","待留存"),IF(O21-N21&lt;=15,"及时","超期")))</f>
        <v/>
      </c>
      <c r="Q21" s="43"/>
    </row>
    <row r="22" customFormat="false" ht="21.75" hidden="false" customHeight="true" outlineLevel="0" collapsed="false">
      <c r="A22" s="49"/>
      <c r="B22" s="48"/>
      <c r="C22" s="43"/>
      <c r="D22" s="44"/>
      <c r="E22" s="44"/>
      <c r="F22" s="36" t="str">
        <f aca="false">IF(OR(D22="",E22=""),"",IF(IFERROR(INDEX(①出口报关!$I$4:$I$303,MATCH(E22,①出口报关!$A$4:$A$303,0)),"")=D22,"一致","SKU与报关单不符"))</f>
        <v/>
      </c>
      <c r="G22" s="45"/>
      <c r="H22" s="45"/>
      <c r="I22" s="31" t="str">
        <f aca="false">IF(AND(G22="",H22=""),"",N(G22)-N(H22))</f>
        <v/>
      </c>
      <c r="J22" s="46"/>
      <c r="K22" s="46"/>
      <c r="L22" s="34" t="str">
        <f aca="false">IF(AND(J22="",K22=""),"",N(J22)-N(K22))</f>
        <v/>
      </c>
      <c r="M22" s="35" t="str">
        <f aca="false">IF(B22="","",IF(COUNTIFS(③回款收汇!$A$4:$A$203,B22,③回款收汇!$R$4:$R$203,"&gt;0")&gt;0,"已收汇","待收汇"))</f>
        <v/>
      </c>
      <c r="N22" s="41"/>
      <c r="O22" s="41"/>
      <c r="P22" s="35" t="str">
        <f aca="true">IF(N22="","",IF(O22="",IF(TODAY()-N22&gt;15,"已超15天未留存","待留存"),IF(O22-N22&lt;=15,"及时","超期")))</f>
        <v/>
      </c>
      <c r="Q22" s="43"/>
    </row>
    <row r="23" customFormat="false" ht="21.75" hidden="false" customHeight="true" outlineLevel="0" collapsed="false">
      <c r="A23" s="49"/>
      <c r="B23" s="48"/>
      <c r="C23" s="43"/>
      <c r="D23" s="44"/>
      <c r="E23" s="44"/>
      <c r="F23" s="36" t="str">
        <f aca="false">IF(OR(D23="",E23=""),"",IF(IFERROR(INDEX(①出口报关!$I$4:$I$303,MATCH(E23,①出口报关!$A$4:$A$303,0)),"")=D23,"一致","SKU与报关单不符"))</f>
        <v/>
      </c>
      <c r="G23" s="45"/>
      <c r="H23" s="45"/>
      <c r="I23" s="31" t="str">
        <f aca="false">IF(AND(G23="",H23=""),"",N(G23)-N(H23))</f>
        <v/>
      </c>
      <c r="J23" s="46"/>
      <c r="K23" s="46"/>
      <c r="L23" s="34" t="str">
        <f aca="false">IF(AND(J23="",K23=""),"",N(J23)-N(K23))</f>
        <v/>
      </c>
      <c r="M23" s="35" t="str">
        <f aca="false">IF(B23="","",IF(COUNTIFS(③回款收汇!$A$4:$A$203,B23,③回款收汇!$R$4:$R$203,"&gt;0")&gt;0,"已收汇","待收汇"))</f>
        <v/>
      </c>
      <c r="N23" s="41"/>
      <c r="O23" s="41"/>
      <c r="P23" s="35" t="str">
        <f aca="true">IF(N23="","",IF(O23="",IF(TODAY()-N23&gt;15,"已超15天未留存","待留存"),IF(O23-N23&lt;=15,"及时","超期")))</f>
        <v/>
      </c>
      <c r="Q23" s="43"/>
    </row>
    <row r="24" customFormat="false" ht="21.75" hidden="false" customHeight="true" outlineLevel="0" collapsed="false">
      <c r="A24" s="49"/>
      <c r="B24" s="48"/>
      <c r="C24" s="43"/>
      <c r="D24" s="44"/>
      <c r="E24" s="44"/>
      <c r="F24" s="36" t="str">
        <f aca="false">IF(OR(D24="",E24=""),"",IF(IFERROR(INDEX(①出口报关!$I$4:$I$303,MATCH(E24,①出口报关!$A$4:$A$303,0)),"")=D24,"一致","SKU与报关单不符"))</f>
        <v/>
      </c>
      <c r="G24" s="45"/>
      <c r="H24" s="45"/>
      <c r="I24" s="31" t="str">
        <f aca="false">IF(AND(G24="",H24=""),"",N(G24)-N(H24))</f>
        <v/>
      </c>
      <c r="J24" s="46"/>
      <c r="K24" s="46"/>
      <c r="L24" s="34" t="str">
        <f aca="false">IF(AND(J24="",K24=""),"",N(J24)-N(K24))</f>
        <v/>
      </c>
      <c r="M24" s="35" t="str">
        <f aca="false">IF(B24="","",IF(COUNTIFS(③回款收汇!$A$4:$A$203,B24,③回款收汇!$R$4:$R$203,"&gt;0")&gt;0,"已收汇","待收汇"))</f>
        <v/>
      </c>
      <c r="N24" s="41"/>
      <c r="O24" s="41"/>
      <c r="P24" s="35" t="str">
        <f aca="true">IF(N24="","",IF(O24="",IF(TODAY()-N24&gt;15,"已超15天未留存","待留存"),IF(O24-N24&lt;=15,"及时","超期")))</f>
        <v/>
      </c>
      <c r="Q24" s="43"/>
    </row>
    <row r="25" customFormat="false" ht="21.75" hidden="false" customHeight="true" outlineLevel="0" collapsed="false">
      <c r="A25" s="49"/>
      <c r="B25" s="48"/>
      <c r="C25" s="43"/>
      <c r="D25" s="44"/>
      <c r="E25" s="44"/>
      <c r="F25" s="36" t="str">
        <f aca="false">IF(OR(D25="",E25=""),"",IF(IFERROR(INDEX(①出口报关!$I$4:$I$303,MATCH(E25,①出口报关!$A$4:$A$303,0)),"")=D25,"一致","SKU与报关单不符"))</f>
        <v/>
      </c>
      <c r="G25" s="45"/>
      <c r="H25" s="45"/>
      <c r="I25" s="31" t="str">
        <f aca="false">IF(AND(G25="",H25=""),"",N(G25)-N(H25))</f>
        <v/>
      </c>
      <c r="J25" s="46"/>
      <c r="K25" s="46"/>
      <c r="L25" s="34" t="str">
        <f aca="false">IF(AND(J25="",K25=""),"",N(J25)-N(K25))</f>
        <v/>
      </c>
      <c r="M25" s="35" t="str">
        <f aca="false">IF(B25="","",IF(COUNTIFS(③回款收汇!$A$4:$A$203,B25,③回款收汇!$R$4:$R$203,"&gt;0")&gt;0,"已收汇","待收汇"))</f>
        <v/>
      </c>
      <c r="N25" s="41"/>
      <c r="O25" s="41"/>
      <c r="P25" s="35" t="str">
        <f aca="true">IF(N25="","",IF(O25="",IF(TODAY()-N25&gt;15,"已超15天未留存","待留存"),IF(O25-N25&lt;=15,"及时","超期")))</f>
        <v/>
      </c>
      <c r="Q25" s="43"/>
    </row>
    <row r="26" customFormat="false" ht="21.75" hidden="false" customHeight="true" outlineLevel="0" collapsed="false">
      <c r="A26" s="49"/>
      <c r="B26" s="48"/>
      <c r="C26" s="43"/>
      <c r="D26" s="44"/>
      <c r="E26" s="44"/>
      <c r="F26" s="36" t="str">
        <f aca="false">IF(OR(D26="",E26=""),"",IF(IFERROR(INDEX(①出口报关!$I$4:$I$303,MATCH(E26,①出口报关!$A$4:$A$303,0)),"")=D26,"一致","SKU与报关单不符"))</f>
        <v/>
      </c>
      <c r="G26" s="45"/>
      <c r="H26" s="45"/>
      <c r="I26" s="31" t="str">
        <f aca="false">IF(AND(G26="",H26=""),"",N(G26)-N(H26))</f>
        <v/>
      </c>
      <c r="J26" s="46"/>
      <c r="K26" s="46"/>
      <c r="L26" s="34" t="str">
        <f aca="false">IF(AND(J26="",K26=""),"",N(J26)-N(K26))</f>
        <v/>
      </c>
      <c r="M26" s="35" t="str">
        <f aca="false">IF(B26="","",IF(COUNTIFS(③回款收汇!$A$4:$A$203,B26,③回款收汇!$R$4:$R$203,"&gt;0")&gt;0,"已收汇","待收汇"))</f>
        <v/>
      </c>
      <c r="N26" s="41"/>
      <c r="O26" s="41"/>
      <c r="P26" s="35" t="str">
        <f aca="true">IF(N26="","",IF(O26="",IF(TODAY()-N26&gt;15,"已超15天未留存","待留存"),IF(O26-N26&lt;=15,"及时","超期")))</f>
        <v/>
      </c>
      <c r="Q26" s="43"/>
    </row>
    <row r="27" customFormat="false" ht="21.75" hidden="false" customHeight="true" outlineLevel="0" collapsed="false">
      <c r="A27" s="49"/>
      <c r="B27" s="48"/>
      <c r="C27" s="43"/>
      <c r="D27" s="44"/>
      <c r="E27" s="44"/>
      <c r="F27" s="36" t="str">
        <f aca="false">IF(OR(D27="",E27=""),"",IF(IFERROR(INDEX(①出口报关!$I$4:$I$303,MATCH(E27,①出口报关!$A$4:$A$303,0)),"")=D27,"一致","SKU与报关单不符"))</f>
        <v/>
      </c>
      <c r="G27" s="45"/>
      <c r="H27" s="45"/>
      <c r="I27" s="31" t="str">
        <f aca="false">IF(AND(G27="",H27=""),"",N(G27)-N(H27))</f>
        <v/>
      </c>
      <c r="J27" s="46"/>
      <c r="K27" s="46"/>
      <c r="L27" s="34" t="str">
        <f aca="false">IF(AND(J27="",K27=""),"",N(J27)-N(K27))</f>
        <v/>
      </c>
      <c r="M27" s="35" t="str">
        <f aca="false">IF(B27="","",IF(COUNTIFS(③回款收汇!$A$4:$A$203,B27,③回款收汇!$R$4:$R$203,"&gt;0")&gt;0,"已收汇","待收汇"))</f>
        <v/>
      </c>
      <c r="N27" s="41"/>
      <c r="O27" s="41"/>
      <c r="P27" s="35" t="str">
        <f aca="true">IF(N27="","",IF(O27="",IF(TODAY()-N27&gt;15,"已超15天未留存","待留存"),IF(O27-N27&lt;=15,"及时","超期")))</f>
        <v/>
      </c>
      <c r="Q27" s="43"/>
    </row>
    <row r="28" customFormat="false" ht="21.75" hidden="false" customHeight="true" outlineLevel="0" collapsed="false">
      <c r="A28" s="49"/>
      <c r="B28" s="48"/>
      <c r="C28" s="43"/>
      <c r="D28" s="44"/>
      <c r="E28" s="44"/>
      <c r="F28" s="36" t="str">
        <f aca="false">IF(OR(D28="",E28=""),"",IF(IFERROR(INDEX(①出口报关!$I$4:$I$303,MATCH(E28,①出口报关!$A$4:$A$303,0)),"")=D28,"一致","SKU与报关单不符"))</f>
        <v/>
      </c>
      <c r="G28" s="45"/>
      <c r="H28" s="45"/>
      <c r="I28" s="31" t="str">
        <f aca="false">IF(AND(G28="",H28=""),"",N(G28)-N(H28))</f>
        <v/>
      </c>
      <c r="J28" s="46"/>
      <c r="K28" s="46"/>
      <c r="L28" s="34" t="str">
        <f aca="false">IF(AND(J28="",K28=""),"",N(J28)-N(K28))</f>
        <v/>
      </c>
      <c r="M28" s="35" t="str">
        <f aca="false">IF(B28="","",IF(COUNTIFS(③回款收汇!$A$4:$A$203,B28,③回款收汇!$R$4:$R$203,"&gt;0")&gt;0,"已收汇","待收汇"))</f>
        <v/>
      </c>
      <c r="N28" s="41"/>
      <c r="O28" s="41"/>
      <c r="P28" s="35" t="str">
        <f aca="true">IF(N28="","",IF(O28="",IF(TODAY()-N28&gt;15,"已超15天未留存","待留存"),IF(O28-N28&lt;=15,"及时","超期")))</f>
        <v/>
      </c>
      <c r="Q28" s="43"/>
    </row>
    <row r="29" customFormat="false" ht="21.75" hidden="false" customHeight="true" outlineLevel="0" collapsed="false">
      <c r="A29" s="49"/>
      <c r="B29" s="48"/>
      <c r="C29" s="43"/>
      <c r="D29" s="44"/>
      <c r="E29" s="44"/>
      <c r="F29" s="36" t="str">
        <f aca="false">IF(OR(D29="",E29=""),"",IF(IFERROR(INDEX(①出口报关!$I$4:$I$303,MATCH(E29,①出口报关!$A$4:$A$303,0)),"")=D29,"一致","SKU与报关单不符"))</f>
        <v/>
      </c>
      <c r="G29" s="45"/>
      <c r="H29" s="45"/>
      <c r="I29" s="31" t="str">
        <f aca="false">IF(AND(G29="",H29=""),"",N(G29)-N(H29))</f>
        <v/>
      </c>
      <c r="J29" s="46"/>
      <c r="K29" s="46"/>
      <c r="L29" s="34" t="str">
        <f aca="false">IF(AND(J29="",K29=""),"",N(J29)-N(K29))</f>
        <v/>
      </c>
      <c r="M29" s="35" t="str">
        <f aca="false">IF(B29="","",IF(COUNTIFS(③回款收汇!$A$4:$A$203,B29,③回款收汇!$R$4:$R$203,"&gt;0")&gt;0,"已收汇","待收汇"))</f>
        <v/>
      </c>
      <c r="N29" s="41"/>
      <c r="O29" s="41"/>
      <c r="P29" s="35" t="str">
        <f aca="true">IF(N29="","",IF(O29="",IF(TODAY()-N29&gt;15,"已超15天未留存","待留存"),IF(O29-N29&lt;=15,"及时","超期")))</f>
        <v/>
      </c>
      <c r="Q29" s="43"/>
    </row>
    <row r="30" customFormat="false" ht="21.75" hidden="false" customHeight="true" outlineLevel="0" collapsed="false">
      <c r="A30" s="49"/>
      <c r="B30" s="48"/>
      <c r="C30" s="43"/>
      <c r="D30" s="44"/>
      <c r="E30" s="44"/>
      <c r="F30" s="36" t="str">
        <f aca="false">IF(OR(D30="",E30=""),"",IF(IFERROR(INDEX(①出口报关!$I$4:$I$303,MATCH(E30,①出口报关!$A$4:$A$303,0)),"")=D30,"一致","SKU与报关单不符"))</f>
        <v/>
      </c>
      <c r="G30" s="45"/>
      <c r="H30" s="45"/>
      <c r="I30" s="31" t="str">
        <f aca="false">IF(AND(G30="",H30=""),"",N(G30)-N(H30))</f>
        <v/>
      </c>
      <c r="J30" s="46"/>
      <c r="K30" s="46"/>
      <c r="L30" s="34" t="str">
        <f aca="false">IF(AND(J30="",K30=""),"",N(J30)-N(K30))</f>
        <v/>
      </c>
      <c r="M30" s="35" t="str">
        <f aca="false">IF(B30="","",IF(COUNTIFS(③回款收汇!$A$4:$A$203,B30,③回款收汇!$R$4:$R$203,"&gt;0")&gt;0,"已收汇","待收汇"))</f>
        <v/>
      </c>
      <c r="N30" s="41"/>
      <c r="O30" s="41"/>
      <c r="P30" s="35" t="str">
        <f aca="true">IF(N30="","",IF(O30="",IF(TODAY()-N30&gt;15,"已超15天未留存","待留存"),IF(O30-N30&lt;=15,"及时","超期")))</f>
        <v/>
      </c>
      <c r="Q30" s="43"/>
    </row>
    <row r="31" customFormat="false" ht="21.75" hidden="false" customHeight="true" outlineLevel="0" collapsed="false">
      <c r="A31" s="49"/>
      <c r="B31" s="48"/>
      <c r="C31" s="43"/>
      <c r="D31" s="44"/>
      <c r="E31" s="44"/>
      <c r="F31" s="36" t="str">
        <f aca="false">IF(OR(D31="",E31=""),"",IF(IFERROR(INDEX(①出口报关!$I$4:$I$303,MATCH(E31,①出口报关!$A$4:$A$303,0)),"")=D31,"一致","SKU与报关单不符"))</f>
        <v/>
      </c>
      <c r="G31" s="45"/>
      <c r="H31" s="45"/>
      <c r="I31" s="31" t="str">
        <f aca="false">IF(AND(G31="",H31=""),"",N(G31)-N(H31))</f>
        <v/>
      </c>
      <c r="J31" s="46"/>
      <c r="K31" s="46"/>
      <c r="L31" s="34" t="str">
        <f aca="false">IF(AND(J31="",K31=""),"",N(J31)-N(K31))</f>
        <v/>
      </c>
      <c r="M31" s="35" t="str">
        <f aca="false">IF(B31="","",IF(COUNTIFS(③回款收汇!$A$4:$A$203,B31,③回款收汇!$R$4:$R$203,"&gt;0")&gt;0,"已收汇","待收汇"))</f>
        <v/>
      </c>
      <c r="N31" s="41"/>
      <c r="O31" s="41"/>
      <c r="P31" s="35" t="str">
        <f aca="true">IF(N31="","",IF(O31="",IF(TODAY()-N31&gt;15,"已超15天未留存","待留存"),IF(O31-N31&lt;=15,"及时","超期")))</f>
        <v/>
      </c>
      <c r="Q31" s="43"/>
    </row>
    <row r="32" customFormat="false" ht="21.75" hidden="false" customHeight="true" outlineLevel="0" collapsed="false">
      <c r="A32" s="49"/>
      <c r="B32" s="48"/>
      <c r="C32" s="43"/>
      <c r="D32" s="44"/>
      <c r="E32" s="44"/>
      <c r="F32" s="36" t="str">
        <f aca="false">IF(OR(D32="",E32=""),"",IF(IFERROR(INDEX(①出口报关!$I$4:$I$303,MATCH(E32,①出口报关!$A$4:$A$303,0)),"")=D32,"一致","SKU与报关单不符"))</f>
        <v/>
      </c>
      <c r="G32" s="45"/>
      <c r="H32" s="45"/>
      <c r="I32" s="31" t="str">
        <f aca="false">IF(AND(G32="",H32=""),"",N(G32)-N(H32))</f>
        <v/>
      </c>
      <c r="J32" s="46"/>
      <c r="K32" s="46"/>
      <c r="L32" s="34" t="str">
        <f aca="false">IF(AND(J32="",K32=""),"",N(J32)-N(K32))</f>
        <v/>
      </c>
      <c r="M32" s="35" t="str">
        <f aca="false">IF(B32="","",IF(COUNTIFS(③回款收汇!$A$4:$A$203,B32,③回款收汇!$R$4:$R$203,"&gt;0")&gt;0,"已收汇","待收汇"))</f>
        <v/>
      </c>
      <c r="N32" s="41"/>
      <c r="O32" s="41"/>
      <c r="P32" s="35" t="str">
        <f aca="true">IF(N32="","",IF(O32="",IF(TODAY()-N32&gt;15,"已超15天未留存","待留存"),IF(O32-N32&lt;=15,"及时","超期")))</f>
        <v/>
      </c>
      <c r="Q32" s="43"/>
    </row>
    <row r="33" customFormat="false" ht="21.75" hidden="false" customHeight="true" outlineLevel="0" collapsed="false">
      <c r="A33" s="49"/>
      <c r="B33" s="48"/>
      <c r="C33" s="43"/>
      <c r="D33" s="44"/>
      <c r="E33" s="44"/>
      <c r="F33" s="36" t="str">
        <f aca="false">IF(OR(D33="",E33=""),"",IF(IFERROR(INDEX(①出口报关!$I$4:$I$303,MATCH(E33,①出口报关!$A$4:$A$303,0)),"")=D33,"一致","SKU与报关单不符"))</f>
        <v/>
      </c>
      <c r="G33" s="45"/>
      <c r="H33" s="45"/>
      <c r="I33" s="31" t="str">
        <f aca="false">IF(AND(G33="",H33=""),"",N(G33)-N(H33))</f>
        <v/>
      </c>
      <c r="J33" s="46"/>
      <c r="K33" s="46"/>
      <c r="L33" s="34" t="str">
        <f aca="false">IF(AND(J33="",K33=""),"",N(J33)-N(K33))</f>
        <v/>
      </c>
      <c r="M33" s="35" t="str">
        <f aca="false">IF(B33="","",IF(COUNTIFS(③回款收汇!$A$4:$A$203,B33,③回款收汇!$R$4:$R$203,"&gt;0")&gt;0,"已收汇","待收汇"))</f>
        <v/>
      </c>
      <c r="N33" s="41"/>
      <c r="O33" s="41"/>
      <c r="P33" s="35" t="str">
        <f aca="true">IF(N33="","",IF(O33="",IF(TODAY()-N33&gt;15,"已超15天未留存","待留存"),IF(O33-N33&lt;=15,"及时","超期")))</f>
        <v/>
      </c>
      <c r="Q33" s="43"/>
    </row>
    <row r="34" customFormat="false" ht="21.75" hidden="false" customHeight="true" outlineLevel="0" collapsed="false">
      <c r="A34" s="49"/>
      <c r="B34" s="48"/>
      <c r="C34" s="43"/>
      <c r="D34" s="44"/>
      <c r="E34" s="44"/>
      <c r="F34" s="36" t="str">
        <f aca="false">IF(OR(D34="",E34=""),"",IF(IFERROR(INDEX(①出口报关!$I$4:$I$303,MATCH(E34,①出口报关!$A$4:$A$303,0)),"")=D34,"一致","SKU与报关单不符"))</f>
        <v/>
      </c>
      <c r="G34" s="45"/>
      <c r="H34" s="45"/>
      <c r="I34" s="31" t="str">
        <f aca="false">IF(AND(G34="",H34=""),"",N(G34)-N(H34))</f>
        <v/>
      </c>
      <c r="J34" s="46"/>
      <c r="K34" s="46"/>
      <c r="L34" s="34" t="str">
        <f aca="false">IF(AND(J34="",K34=""),"",N(J34)-N(K34))</f>
        <v/>
      </c>
      <c r="M34" s="35" t="str">
        <f aca="false">IF(B34="","",IF(COUNTIFS(③回款收汇!$A$4:$A$203,B34,③回款收汇!$R$4:$R$203,"&gt;0")&gt;0,"已收汇","待收汇"))</f>
        <v/>
      </c>
      <c r="N34" s="41"/>
      <c r="O34" s="41"/>
      <c r="P34" s="35" t="str">
        <f aca="true">IF(N34="","",IF(O34="",IF(TODAY()-N34&gt;15,"已超15天未留存","待留存"),IF(O34-N34&lt;=15,"及时","超期")))</f>
        <v/>
      </c>
      <c r="Q34" s="43"/>
    </row>
    <row r="35" customFormat="false" ht="21.75" hidden="false" customHeight="true" outlineLevel="0" collapsed="false">
      <c r="A35" s="49"/>
      <c r="B35" s="48"/>
      <c r="C35" s="43"/>
      <c r="D35" s="44"/>
      <c r="E35" s="44"/>
      <c r="F35" s="36" t="str">
        <f aca="false">IF(OR(D35="",E35=""),"",IF(IFERROR(INDEX(①出口报关!$I$4:$I$303,MATCH(E35,①出口报关!$A$4:$A$303,0)),"")=D35,"一致","SKU与报关单不符"))</f>
        <v/>
      </c>
      <c r="G35" s="45"/>
      <c r="H35" s="45"/>
      <c r="I35" s="31" t="str">
        <f aca="false">IF(AND(G35="",H35=""),"",N(G35)-N(H35))</f>
        <v/>
      </c>
      <c r="J35" s="46"/>
      <c r="K35" s="46"/>
      <c r="L35" s="34" t="str">
        <f aca="false">IF(AND(J35="",K35=""),"",N(J35)-N(K35))</f>
        <v/>
      </c>
      <c r="M35" s="35" t="str">
        <f aca="false">IF(B35="","",IF(COUNTIFS(③回款收汇!$A$4:$A$203,B35,③回款收汇!$R$4:$R$203,"&gt;0")&gt;0,"已收汇","待收汇"))</f>
        <v/>
      </c>
      <c r="N35" s="41"/>
      <c r="O35" s="41"/>
      <c r="P35" s="35" t="str">
        <f aca="true">IF(N35="","",IF(O35="",IF(TODAY()-N35&gt;15,"已超15天未留存","待留存"),IF(O35-N35&lt;=15,"及时","超期")))</f>
        <v/>
      </c>
      <c r="Q35" s="43"/>
    </row>
    <row r="36" customFormat="false" ht="21.75" hidden="false" customHeight="true" outlineLevel="0" collapsed="false">
      <c r="A36" s="49"/>
      <c r="B36" s="48"/>
      <c r="C36" s="43"/>
      <c r="D36" s="44"/>
      <c r="E36" s="44"/>
      <c r="F36" s="36" t="str">
        <f aca="false">IF(OR(D36="",E36=""),"",IF(IFERROR(INDEX(①出口报关!$I$4:$I$303,MATCH(E36,①出口报关!$A$4:$A$303,0)),"")=D36,"一致","SKU与报关单不符"))</f>
        <v/>
      </c>
      <c r="G36" s="45"/>
      <c r="H36" s="45"/>
      <c r="I36" s="31" t="str">
        <f aca="false">IF(AND(G36="",H36=""),"",N(G36)-N(H36))</f>
        <v/>
      </c>
      <c r="J36" s="46"/>
      <c r="K36" s="46"/>
      <c r="L36" s="34" t="str">
        <f aca="false">IF(AND(J36="",K36=""),"",N(J36)-N(K36))</f>
        <v/>
      </c>
      <c r="M36" s="35" t="str">
        <f aca="false">IF(B36="","",IF(COUNTIFS(③回款收汇!$A$4:$A$203,B36,③回款收汇!$R$4:$R$203,"&gt;0")&gt;0,"已收汇","待收汇"))</f>
        <v/>
      </c>
      <c r="N36" s="41"/>
      <c r="O36" s="41"/>
      <c r="P36" s="35" t="str">
        <f aca="true">IF(N36="","",IF(O36="",IF(TODAY()-N36&gt;15,"已超15天未留存","待留存"),IF(O36-N36&lt;=15,"及时","超期")))</f>
        <v/>
      </c>
      <c r="Q36" s="43"/>
    </row>
    <row r="37" customFormat="false" ht="21.75" hidden="false" customHeight="true" outlineLevel="0" collapsed="false">
      <c r="A37" s="49"/>
      <c r="B37" s="48"/>
      <c r="C37" s="43"/>
      <c r="D37" s="44"/>
      <c r="E37" s="44"/>
      <c r="F37" s="36" t="str">
        <f aca="false">IF(OR(D37="",E37=""),"",IF(IFERROR(INDEX(①出口报关!$I$4:$I$303,MATCH(E37,①出口报关!$A$4:$A$303,0)),"")=D37,"一致","SKU与报关单不符"))</f>
        <v/>
      </c>
      <c r="G37" s="45"/>
      <c r="H37" s="45"/>
      <c r="I37" s="31" t="str">
        <f aca="false">IF(AND(G37="",H37=""),"",N(G37)-N(H37))</f>
        <v/>
      </c>
      <c r="J37" s="46"/>
      <c r="K37" s="46"/>
      <c r="L37" s="34" t="str">
        <f aca="false">IF(AND(J37="",K37=""),"",N(J37)-N(K37))</f>
        <v/>
      </c>
      <c r="M37" s="35" t="str">
        <f aca="false">IF(B37="","",IF(COUNTIFS(③回款收汇!$A$4:$A$203,B37,③回款收汇!$R$4:$R$203,"&gt;0")&gt;0,"已收汇","待收汇"))</f>
        <v/>
      </c>
      <c r="N37" s="41"/>
      <c r="O37" s="41"/>
      <c r="P37" s="35" t="str">
        <f aca="true">IF(N37="","",IF(O37="",IF(TODAY()-N37&gt;15,"已超15天未留存","待留存"),IF(O37-N37&lt;=15,"及时","超期")))</f>
        <v/>
      </c>
      <c r="Q37" s="43"/>
    </row>
    <row r="38" customFormat="false" ht="21.75" hidden="false" customHeight="true" outlineLevel="0" collapsed="false">
      <c r="A38" s="49"/>
      <c r="B38" s="48"/>
      <c r="C38" s="43"/>
      <c r="D38" s="44"/>
      <c r="E38" s="44"/>
      <c r="F38" s="36" t="str">
        <f aca="false">IF(OR(D38="",E38=""),"",IF(IFERROR(INDEX(①出口报关!$I$4:$I$303,MATCH(E38,①出口报关!$A$4:$A$303,0)),"")=D38,"一致","SKU与报关单不符"))</f>
        <v/>
      </c>
      <c r="G38" s="45"/>
      <c r="H38" s="45"/>
      <c r="I38" s="31" t="str">
        <f aca="false">IF(AND(G38="",H38=""),"",N(G38)-N(H38))</f>
        <v/>
      </c>
      <c r="J38" s="46"/>
      <c r="K38" s="46"/>
      <c r="L38" s="34" t="str">
        <f aca="false">IF(AND(J38="",K38=""),"",N(J38)-N(K38))</f>
        <v/>
      </c>
      <c r="M38" s="35" t="str">
        <f aca="false">IF(B38="","",IF(COUNTIFS(③回款收汇!$A$4:$A$203,B38,③回款收汇!$R$4:$R$203,"&gt;0")&gt;0,"已收汇","待收汇"))</f>
        <v/>
      </c>
      <c r="N38" s="41"/>
      <c r="O38" s="41"/>
      <c r="P38" s="35" t="str">
        <f aca="true">IF(N38="","",IF(O38="",IF(TODAY()-N38&gt;15,"已超15天未留存","待留存"),IF(O38-N38&lt;=15,"及时","超期")))</f>
        <v/>
      </c>
      <c r="Q38" s="43"/>
    </row>
    <row r="39" customFormat="false" ht="21.75" hidden="false" customHeight="true" outlineLevel="0" collapsed="false">
      <c r="A39" s="49"/>
      <c r="B39" s="48"/>
      <c r="C39" s="43"/>
      <c r="D39" s="44"/>
      <c r="E39" s="44"/>
      <c r="F39" s="36" t="str">
        <f aca="false">IF(OR(D39="",E39=""),"",IF(IFERROR(INDEX(①出口报关!$I$4:$I$303,MATCH(E39,①出口报关!$A$4:$A$303,0)),"")=D39,"一致","SKU与报关单不符"))</f>
        <v/>
      </c>
      <c r="G39" s="45"/>
      <c r="H39" s="45"/>
      <c r="I39" s="31" t="str">
        <f aca="false">IF(AND(G39="",H39=""),"",N(G39)-N(H39))</f>
        <v/>
      </c>
      <c r="J39" s="46"/>
      <c r="K39" s="46"/>
      <c r="L39" s="34" t="str">
        <f aca="false">IF(AND(J39="",K39=""),"",N(J39)-N(K39))</f>
        <v/>
      </c>
      <c r="M39" s="35" t="str">
        <f aca="false">IF(B39="","",IF(COUNTIFS(③回款收汇!$A$4:$A$203,B39,③回款收汇!$R$4:$R$203,"&gt;0")&gt;0,"已收汇","待收汇"))</f>
        <v/>
      </c>
      <c r="N39" s="41"/>
      <c r="O39" s="41"/>
      <c r="P39" s="35" t="str">
        <f aca="true">IF(N39="","",IF(O39="",IF(TODAY()-N39&gt;15,"已超15天未留存","待留存"),IF(O39-N39&lt;=15,"及时","超期")))</f>
        <v/>
      </c>
      <c r="Q39" s="43"/>
    </row>
    <row r="40" customFormat="false" ht="21.75" hidden="false" customHeight="true" outlineLevel="0" collapsed="false">
      <c r="A40" s="49"/>
      <c r="B40" s="48"/>
      <c r="C40" s="43"/>
      <c r="D40" s="44"/>
      <c r="E40" s="44"/>
      <c r="F40" s="36" t="str">
        <f aca="false">IF(OR(D40="",E40=""),"",IF(IFERROR(INDEX(①出口报关!$I$4:$I$303,MATCH(E40,①出口报关!$A$4:$A$303,0)),"")=D40,"一致","SKU与报关单不符"))</f>
        <v/>
      </c>
      <c r="G40" s="45"/>
      <c r="H40" s="45"/>
      <c r="I40" s="31" t="str">
        <f aca="false">IF(AND(G40="",H40=""),"",N(G40)-N(H40))</f>
        <v/>
      </c>
      <c r="J40" s="46"/>
      <c r="K40" s="46"/>
      <c r="L40" s="34" t="str">
        <f aca="false">IF(AND(J40="",K40=""),"",N(J40)-N(K40))</f>
        <v/>
      </c>
      <c r="M40" s="35" t="str">
        <f aca="false">IF(B40="","",IF(COUNTIFS(③回款收汇!$A$4:$A$203,B40,③回款收汇!$R$4:$R$203,"&gt;0")&gt;0,"已收汇","待收汇"))</f>
        <v/>
      </c>
      <c r="N40" s="41"/>
      <c r="O40" s="41"/>
      <c r="P40" s="35" t="str">
        <f aca="true">IF(N40="","",IF(O40="",IF(TODAY()-N40&gt;15,"已超15天未留存","待留存"),IF(O40-N40&lt;=15,"及时","超期")))</f>
        <v/>
      </c>
      <c r="Q40" s="43"/>
    </row>
    <row r="41" customFormat="false" ht="21.75" hidden="false" customHeight="true" outlineLevel="0" collapsed="false">
      <c r="A41" s="49"/>
      <c r="B41" s="48"/>
      <c r="C41" s="43"/>
      <c r="D41" s="44"/>
      <c r="E41" s="44"/>
      <c r="F41" s="36" t="str">
        <f aca="false">IF(OR(D41="",E41=""),"",IF(IFERROR(INDEX(①出口报关!$I$4:$I$303,MATCH(E41,①出口报关!$A$4:$A$303,0)),"")=D41,"一致","SKU与报关单不符"))</f>
        <v/>
      </c>
      <c r="G41" s="45"/>
      <c r="H41" s="45"/>
      <c r="I41" s="31" t="str">
        <f aca="false">IF(AND(G41="",H41=""),"",N(G41)-N(H41))</f>
        <v/>
      </c>
      <c r="J41" s="46"/>
      <c r="K41" s="46"/>
      <c r="L41" s="34" t="str">
        <f aca="false">IF(AND(J41="",K41=""),"",N(J41)-N(K41))</f>
        <v/>
      </c>
      <c r="M41" s="35" t="str">
        <f aca="false">IF(B41="","",IF(COUNTIFS(③回款收汇!$A$4:$A$203,B41,③回款收汇!$R$4:$R$203,"&gt;0")&gt;0,"已收汇","待收汇"))</f>
        <v/>
      </c>
      <c r="N41" s="41"/>
      <c r="O41" s="41"/>
      <c r="P41" s="35" t="str">
        <f aca="true">IF(N41="","",IF(O41="",IF(TODAY()-N41&gt;15,"已超15天未留存","待留存"),IF(O41-N41&lt;=15,"及时","超期")))</f>
        <v/>
      </c>
      <c r="Q41" s="43"/>
    </row>
    <row r="42" customFormat="false" ht="21.75" hidden="false" customHeight="true" outlineLevel="0" collapsed="false">
      <c r="A42" s="49"/>
      <c r="B42" s="48"/>
      <c r="C42" s="43"/>
      <c r="D42" s="44"/>
      <c r="E42" s="44"/>
      <c r="F42" s="36" t="str">
        <f aca="false">IF(OR(D42="",E42=""),"",IF(IFERROR(INDEX(①出口报关!$I$4:$I$303,MATCH(E42,①出口报关!$A$4:$A$303,0)),"")=D42,"一致","SKU与报关单不符"))</f>
        <v/>
      </c>
      <c r="G42" s="45"/>
      <c r="H42" s="45"/>
      <c r="I42" s="31" t="str">
        <f aca="false">IF(AND(G42="",H42=""),"",N(G42)-N(H42))</f>
        <v/>
      </c>
      <c r="J42" s="46"/>
      <c r="K42" s="46"/>
      <c r="L42" s="34" t="str">
        <f aca="false">IF(AND(J42="",K42=""),"",N(J42)-N(K42))</f>
        <v/>
      </c>
      <c r="M42" s="35" t="str">
        <f aca="false">IF(B42="","",IF(COUNTIFS(③回款收汇!$A$4:$A$203,B42,③回款收汇!$R$4:$R$203,"&gt;0")&gt;0,"已收汇","待收汇"))</f>
        <v/>
      </c>
      <c r="N42" s="41"/>
      <c r="O42" s="41"/>
      <c r="P42" s="35" t="str">
        <f aca="true">IF(N42="","",IF(O42="",IF(TODAY()-N42&gt;15,"已超15天未留存","待留存"),IF(O42-N42&lt;=15,"及时","超期")))</f>
        <v/>
      </c>
      <c r="Q42" s="43"/>
    </row>
    <row r="43" customFormat="false" ht="21.75" hidden="false" customHeight="true" outlineLevel="0" collapsed="false">
      <c r="A43" s="49"/>
      <c r="B43" s="48"/>
      <c r="C43" s="43"/>
      <c r="D43" s="44"/>
      <c r="E43" s="44"/>
      <c r="F43" s="36" t="str">
        <f aca="false">IF(OR(D43="",E43=""),"",IF(IFERROR(INDEX(①出口报关!$I$4:$I$303,MATCH(E43,①出口报关!$A$4:$A$303,0)),"")=D43,"一致","SKU与报关单不符"))</f>
        <v/>
      </c>
      <c r="G43" s="45"/>
      <c r="H43" s="45"/>
      <c r="I43" s="31" t="str">
        <f aca="false">IF(AND(G43="",H43=""),"",N(G43)-N(H43))</f>
        <v/>
      </c>
      <c r="J43" s="46"/>
      <c r="K43" s="46"/>
      <c r="L43" s="34" t="str">
        <f aca="false">IF(AND(J43="",K43=""),"",N(J43)-N(K43))</f>
        <v/>
      </c>
      <c r="M43" s="35" t="str">
        <f aca="false">IF(B43="","",IF(COUNTIFS(③回款收汇!$A$4:$A$203,B43,③回款收汇!$R$4:$R$203,"&gt;0")&gt;0,"已收汇","待收汇"))</f>
        <v/>
      </c>
      <c r="N43" s="41"/>
      <c r="O43" s="41"/>
      <c r="P43" s="35" t="str">
        <f aca="true">IF(N43="","",IF(O43="",IF(TODAY()-N43&gt;15,"已超15天未留存","待留存"),IF(O43-N43&lt;=15,"及时","超期")))</f>
        <v/>
      </c>
      <c r="Q43" s="43"/>
    </row>
    <row r="44" customFormat="false" ht="21.75" hidden="false" customHeight="true" outlineLevel="0" collapsed="false">
      <c r="A44" s="49"/>
      <c r="B44" s="48"/>
      <c r="C44" s="43"/>
      <c r="D44" s="44"/>
      <c r="E44" s="44"/>
      <c r="F44" s="36" t="str">
        <f aca="false">IF(OR(D44="",E44=""),"",IF(IFERROR(INDEX(①出口报关!$I$4:$I$303,MATCH(E44,①出口报关!$A$4:$A$303,0)),"")=D44,"一致","SKU与报关单不符"))</f>
        <v/>
      </c>
      <c r="G44" s="45"/>
      <c r="H44" s="45"/>
      <c r="I44" s="31" t="str">
        <f aca="false">IF(AND(G44="",H44=""),"",N(G44)-N(H44))</f>
        <v/>
      </c>
      <c r="J44" s="46"/>
      <c r="K44" s="46"/>
      <c r="L44" s="34" t="str">
        <f aca="false">IF(AND(J44="",K44=""),"",N(J44)-N(K44))</f>
        <v/>
      </c>
      <c r="M44" s="35" t="str">
        <f aca="false">IF(B44="","",IF(COUNTIFS(③回款收汇!$A$4:$A$203,B44,③回款收汇!$R$4:$R$203,"&gt;0")&gt;0,"已收汇","待收汇"))</f>
        <v/>
      </c>
      <c r="N44" s="41"/>
      <c r="O44" s="41"/>
      <c r="P44" s="35" t="str">
        <f aca="true">IF(N44="","",IF(O44="",IF(TODAY()-N44&gt;15,"已超15天未留存","待留存"),IF(O44-N44&lt;=15,"及时","超期")))</f>
        <v/>
      </c>
      <c r="Q44" s="43"/>
    </row>
    <row r="45" customFormat="false" ht="21.75" hidden="false" customHeight="true" outlineLevel="0" collapsed="false">
      <c r="A45" s="49"/>
      <c r="B45" s="48"/>
      <c r="C45" s="43"/>
      <c r="D45" s="44"/>
      <c r="E45" s="44"/>
      <c r="F45" s="36" t="str">
        <f aca="false">IF(OR(D45="",E45=""),"",IF(IFERROR(INDEX(①出口报关!$I$4:$I$303,MATCH(E45,①出口报关!$A$4:$A$303,0)),"")=D45,"一致","SKU与报关单不符"))</f>
        <v/>
      </c>
      <c r="G45" s="45"/>
      <c r="H45" s="45"/>
      <c r="I45" s="31" t="str">
        <f aca="false">IF(AND(G45="",H45=""),"",N(G45)-N(H45))</f>
        <v/>
      </c>
      <c r="J45" s="46"/>
      <c r="K45" s="46"/>
      <c r="L45" s="34" t="str">
        <f aca="false">IF(AND(J45="",K45=""),"",N(J45)-N(K45))</f>
        <v/>
      </c>
      <c r="M45" s="35" t="str">
        <f aca="false">IF(B45="","",IF(COUNTIFS(③回款收汇!$A$4:$A$203,B45,③回款收汇!$R$4:$R$203,"&gt;0")&gt;0,"已收汇","待收汇"))</f>
        <v/>
      </c>
      <c r="N45" s="41"/>
      <c r="O45" s="41"/>
      <c r="P45" s="35" t="str">
        <f aca="true">IF(N45="","",IF(O45="",IF(TODAY()-N45&gt;15,"已超15天未留存","待留存"),IF(O45-N45&lt;=15,"及时","超期")))</f>
        <v/>
      </c>
      <c r="Q45" s="43"/>
    </row>
    <row r="46" customFormat="false" ht="21.75" hidden="false" customHeight="true" outlineLevel="0" collapsed="false">
      <c r="A46" s="49"/>
      <c r="B46" s="48"/>
      <c r="C46" s="43"/>
      <c r="D46" s="44"/>
      <c r="E46" s="44"/>
      <c r="F46" s="36" t="str">
        <f aca="false">IF(OR(D46="",E46=""),"",IF(IFERROR(INDEX(①出口报关!$I$4:$I$303,MATCH(E46,①出口报关!$A$4:$A$303,0)),"")=D46,"一致","SKU与报关单不符"))</f>
        <v/>
      </c>
      <c r="G46" s="45"/>
      <c r="H46" s="45"/>
      <c r="I46" s="31" t="str">
        <f aca="false">IF(AND(G46="",H46=""),"",N(G46)-N(H46))</f>
        <v/>
      </c>
      <c r="J46" s="46"/>
      <c r="K46" s="46"/>
      <c r="L46" s="34" t="str">
        <f aca="false">IF(AND(J46="",K46=""),"",N(J46)-N(K46))</f>
        <v/>
      </c>
      <c r="M46" s="35" t="str">
        <f aca="false">IF(B46="","",IF(COUNTIFS(③回款收汇!$A$4:$A$203,B46,③回款收汇!$R$4:$R$203,"&gt;0")&gt;0,"已收汇","待收汇"))</f>
        <v/>
      </c>
      <c r="N46" s="41"/>
      <c r="O46" s="41"/>
      <c r="P46" s="35" t="str">
        <f aca="true">IF(N46="","",IF(O46="",IF(TODAY()-N46&gt;15,"已超15天未留存","待留存"),IF(O46-N46&lt;=15,"及时","超期")))</f>
        <v/>
      </c>
      <c r="Q46" s="43"/>
    </row>
    <row r="47" customFormat="false" ht="21.75" hidden="false" customHeight="true" outlineLevel="0" collapsed="false">
      <c r="A47" s="49"/>
      <c r="B47" s="48"/>
      <c r="C47" s="43"/>
      <c r="D47" s="44"/>
      <c r="E47" s="44"/>
      <c r="F47" s="36" t="str">
        <f aca="false">IF(OR(D47="",E47=""),"",IF(IFERROR(INDEX(①出口报关!$I$4:$I$303,MATCH(E47,①出口报关!$A$4:$A$303,0)),"")=D47,"一致","SKU与报关单不符"))</f>
        <v/>
      </c>
      <c r="G47" s="45"/>
      <c r="H47" s="45"/>
      <c r="I47" s="31" t="str">
        <f aca="false">IF(AND(G47="",H47=""),"",N(G47)-N(H47))</f>
        <v/>
      </c>
      <c r="J47" s="46"/>
      <c r="K47" s="46"/>
      <c r="L47" s="34" t="str">
        <f aca="false">IF(AND(J47="",K47=""),"",N(J47)-N(K47))</f>
        <v/>
      </c>
      <c r="M47" s="35" t="str">
        <f aca="false">IF(B47="","",IF(COUNTIFS(③回款收汇!$A$4:$A$203,B47,③回款收汇!$R$4:$R$203,"&gt;0")&gt;0,"已收汇","待收汇"))</f>
        <v/>
      </c>
      <c r="N47" s="41"/>
      <c r="O47" s="41"/>
      <c r="P47" s="35" t="str">
        <f aca="true">IF(N47="","",IF(O47="",IF(TODAY()-N47&gt;15,"已超15天未留存","待留存"),IF(O47-N47&lt;=15,"及时","超期")))</f>
        <v/>
      </c>
      <c r="Q47" s="43"/>
    </row>
    <row r="48" customFormat="false" ht="21.75" hidden="false" customHeight="true" outlineLevel="0" collapsed="false">
      <c r="A48" s="49"/>
      <c r="B48" s="48"/>
      <c r="C48" s="43"/>
      <c r="D48" s="44"/>
      <c r="E48" s="44"/>
      <c r="F48" s="36" t="str">
        <f aca="false">IF(OR(D48="",E48=""),"",IF(IFERROR(INDEX(①出口报关!$I$4:$I$303,MATCH(E48,①出口报关!$A$4:$A$303,0)),"")=D48,"一致","SKU与报关单不符"))</f>
        <v/>
      </c>
      <c r="G48" s="45"/>
      <c r="H48" s="45"/>
      <c r="I48" s="31" t="str">
        <f aca="false">IF(AND(G48="",H48=""),"",N(G48)-N(H48))</f>
        <v/>
      </c>
      <c r="J48" s="46"/>
      <c r="K48" s="46"/>
      <c r="L48" s="34" t="str">
        <f aca="false">IF(AND(J48="",K48=""),"",N(J48)-N(K48))</f>
        <v/>
      </c>
      <c r="M48" s="35" t="str">
        <f aca="false">IF(B48="","",IF(COUNTIFS(③回款收汇!$A$4:$A$203,B48,③回款收汇!$R$4:$R$203,"&gt;0")&gt;0,"已收汇","待收汇"))</f>
        <v/>
      </c>
      <c r="N48" s="41"/>
      <c r="O48" s="41"/>
      <c r="P48" s="35" t="str">
        <f aca="true">IF(N48="","",IF(O48="",IF(TODAY()-N48&gt;15,"已超15天未留存","待留存"),IF(O48-N48&lt;=15,"及时","超期")))</f>
        <v/>
      </c>
      <c r="Q48" s="43"/>
    </row>
    <row r="49" customFormat="false" ht="21.75" hidden="false" customHeight="true" outlineLevel="0" collapsed="false">
      <c r="A49" s="49"/>
      <c r="B49" s="48"/>
      <c r="C49" s="43"/>
      <c r="D49" s="44"/>
      <c r="E49" s="44"/>
      <c r="F49" s="36" t="str">
        <f aca="false">IF(OR(D49="",E49=""),"",IF(IFERROR(INDEX(①出口报关!$I$4:$I$303,MATCH(E49,①出口报关!$A$4:$A$303,0)),"")=D49,"一致","SKU与报关单不符"))</f>
        <v/>
      </c>
      <c r="G49" s="45"/>
      <c r="H49" s="45"/>
      <c r="I49" s="31" t="str">
        <f aca="false">IF(AND(G49="",H49=""),"",N(G49)-N(H49))</f>
        <v/>
      </c>
      <c r="J49" s="46"/>
      <c r="K49" s="46"/>
      <c r="L49" s="34" t="str">
        <f aca="false">IF(AND(J49="",K49=""),"",N(J49)-N(K49))</f>
        <v/>
      </c>
      <c r="M49" s="35" t="str">
        <f aca="false">IF(B49="","",IF(COUNTIFS(③回款收汇!$A$4:$A$203,B49,③回款收汇!$R$4:$R$203,"&gt;0")&gt;0,"已收汇","待收汇"))</f>
        <v/>
      </c>
      <c r="N49" s="41"/>
      <c r="O49" s="41"/>
      <c r="P49" s="35" t="str">
        <f aca="true">IF(N49="","",IF(O49="",IF(TODAY()-N49&gt;15,"已超15天未留存","待留存"),IF(O49-N49&lt;=15,"及时","超期")))</f>
        <v/>
      </c>
      <c r="Q49" s="43"/>
    </row>
    <row r="50" customFormat="false" ht="21.75" hidden="false" customHeight="true" outlineLevel="0" collapsed="false">
      <c r="A50" s="49"/>
      <c r="B50" s="48"/>
      <c r="C50" s="43"/>
      <c r="D50" s="44"/>
      <c r="E50" s="44"/>
      <c r="F50" s="36" t="str">
        <f aca="false">IF(OR(D50="",E50=""),"",IF(IFERROR(INDEX(①出口报关!$I$4:$I$303,MATCH(E50,①出口报关!$A$4:$A$303,0)),"")=D50,"一致","SKU与报关单不符"))</f>
        <v/>
      </c>
      <c r="G50" s="45"/>
      <c r="H50" s="45"/>
      <c r="I50" s="31" t="str">
        <f aca="false">IF(AND(G50="",H50=""),"",N(G50)-N(H50))</f>
        <v/>
      </c>
      <c r="J50" s="46"/>
      <c r="K50" s="46"/>
      <c r="L50" s="34" t="str">
        <f aca="false">IF(AND(J50="",K50=""),"",N(J50)-N(K50))</f>
        <v/>
      </c>
      <c r="M50" s="35" t="str">
        <f aca="false">IF(B50="","",IF(COUNTIFS(③回款收汇!$A$4:$A$203,B50,③回款收汇!$R$4:$R$203,"&gt;0")&gt;0,"已收汇","待收汇"))</f>
        <v/>
      </c>
      <c r="N50" s="41"/>
      <c r="O50" s="41"/>
      <c r="P50" s="35" t="str">
        <f aca="true">IF(N50="","",IF(O50="",IF(TODAY()-N50&gt;15,"已超15天未留存","待留存"),IF(O50-N50&lt;=15,"及时","超期")))</f>
        <v/>
      </c>
      <c r="Q50" s="43"/>
    </row>
    <row r="51" customFormat="false" ht="21.75" hidden="false" customHeight="true" outlineLevel="0" collapsed="false">
      <c r="A51" s="49"/>
      <c r="B51" s="48"/>
      <c r="C51" s="43"/>
      <c r="D51" s="44"/>
      <c r="E51" s="44"/>
      <c r="F51" s="36" t="str">
        <f aca="false">IF(OR(D51="",E51=""),"",IF(IFERROR(INDEX(①出口报关!$I$4:$I$303,MATCH(E51,①出口报关!$A$4:$A$303,0)),"")=D51,"一致","SKU与报关单不符"))</f>
        <v/>
      </c>
      <c r="G51" s="45"/>
      <c r="H51" s="45"/>
      <c r="I51" s="31" t="str">
        <f aca="false">IF(AND(G51="",H51=""),"",N(G51)-N(H51))</f>
        <v/>
      </c>
      <c r="J51" s="46"/>
      <c r="K51" s="46"/>
      <c r="L51" s="34" t="str">
        <f aca="false">IF(AND(J51="",K51=""),"",N(J51)-N(K51))</f>
        <v/>
      </c>
      <c r="M51" s="35" t="str">
        <f aca="false">IF(B51="","",IF(COUNTIFS(③回款收汇!$A$4:$A$203,B51,③回款收汇!$R$4:$R$203,"&gt;0")&gt;0,"已收汇","待收汇"))</f>
        <v/>
      </c>
      <c r="N51" s="41"/>
      <c r="O51" s="41"/>
      <c r="P51" s="35" t="str">
        <f aca="true">IF(N51="","",IF(O51="",IF(TODAY()-N51&gt;15,"已超15天未留存","待留存"),IF(O51-N51&lt;=15,"及时","超期")))</f>
        <v/>
      </c>
      <c r="Q51" s="43"/>
    </row>
    <row r="52" customFormat="false" ht="21.75" hidden="false" customHeight="true" outlineLevel="0" collapsed="false">
      <c r="A52" s="49"/>
      <c r="B52" s="48"/>
      <c r="C52" s="43"/>
      <c r="D52" s="44"/>
      <c r="E52" s="44"/>
      <c r="F52" s="36" t="str">
        <f aca="false">IF(OR(D52="",E52=""),"",IF(IFERROR(INDEX(①出口报关!$I$4:$I$303,MATCH(E52,①出口报关!$A$4:$A$303,0)),"")=D52,"一致","SKU与报关单不符"))</f>
        <v/>
      </c>
      <c r="G52" s="45"/>
      <c r="H52" s="45"/>
      <c r="I52" s="31" t="str">
        <f aca="false">IF(AND(G52="",H52=""),"",N(G52)-N(H52))</f>
        <v/>
      </c>
      <c r="J52" s="46"/>
      <c r="K52" s="46"/>
      <c r="L52" s="34" t="str">
        <f aca="false">IF(AND(J52="",K52=""),"",N(J52)-N(K52))</f>
        <v/>
      </c>
      <c r="M52" s="35" t="str">
        <f aca="false">IF(B52="","",IF(COUNTIFS(③回款收汇!$A$4:$A$203,B52,③回款收汇!$R$4:$R$203,"&gt;0")&gt;0,"已收汇","待收汇"))</f>
        <v/>
      </c>
      <c r="N52" s="41"/>
      <c r="O52" s="41"/>
      <c r="P52" s="35" t="str">
        <f aca="true">IF(N52="","",IF(O52="",IF(TODAY()-N52&gt;15,"已超15天未留存","待留存"),IF(O52-N52&lt;=15,"及时","超期")))</f>
        <v/>
      </c>
      <c r="Q52" s="43"/>
    </row>
    <row r="53" customFormat="false" ht="21.75" hidden="false" customHeight="true" outlineLevel="0" collapsed="false">
      <c r="A53" s="49"/>
      <c r="B53" s="48"/>
      <c r="C53" s="43"/>
      <c r="D53" s="44"/>
      <c r="E53" s="44"/>
      <c r="F53" s="36" t="str">
        <f aca="false">IF(OR(D53="",E53=""),"",IF(IFERROR(INDEX(①出口报关!$I$4:$I$303,MATCH(E53,①出口报关!$A$4:$A$303,0)),"")=D53,"一致","SKU与报关单不符"))</f>
        <v/>
      </c>
      <c r="G53" s="45"/>
      <c r="H53" s="45"/>
      <c r="I53" s="31" t="str">
        <f aca="false">IF(AND(G53="",H53=""),"",N(G53)-N(H53))</f>
        <v/>
      </c>
      <c r="J53" s="46"/>
      <c r="K53" s="46"/>
      <c r="L53" s="34" t="str">
        <f aca="false">IF(AND(J53="",K53=""),"",N(J53)-N(K53))</f>
        <v/>
      </c>
      <c r="M53" s="35" t="str">
        <f aca="false">IF(B53="","",IF(COUNTIFS(③回款收汇!$A$4:$A$203,B53,③回款收汇!$R$4:$R$203,"&gt;0")&gt;0,"已收汇","待收汇"))</f>
        <v/>
      </c>
      <c r="N53" s="41"/>
      <c r="O53" s="41"/>
      <c r="P53" s="35" t="str">
        <f aca="true">IF(N53="","",IF(O53="",IF(TODAY()-N53&gt;15,"已超15天未留存","待留存"),IF(O53-N53&lt;=15,"及时","超期")))</f>
        <v/>
      </c>
      <c r="Q53" s="43"/>
    </row>
    <row r="54" customFormat="false" ht="21.75" hidden="false" customHeight="true" outlineLevel="0" collapsed="false">
      <c r="A54" s="49"/>
      <c r="B54" s="48"/>
      <c r="C54" s="43"/>
      <c r="D54" s="44"/>
      <c r="E54" s="44"/>
      <c r="F54" s="36" t="str">
        <f aca="false">IF(OR(D54="",E54=""),"",IF(IFERROR(INDEX(①出口报关!$I$4:$I$303,MATCH(E54,①出口报关!$A$4:$A$303,0)),"")=D54,"一致","SKU与报关单不符"))</f>
        <v/>
      </c>
      <c r="G54" s="45"/>
      <c r="H54" s="45"/>
      <c r="I54" s="31" t="str">
        <f aca="false">IF(AND(G54="",H54=""),"",N(G54)-N(H54))</f>
        <v/>
      </c>
      <c r="J54" s="46"/>
      <c r="K54" s="46"/>
      <c r="L54" s="34" t="str">
        <f aca="false">IF(AND(J54="",K54=""),"",N(J54)-N(K54))</f>
        <v/>
      </c>
      <c r="M54" s="35" t="str">
        <f aca="false">IF(B54="","",IF(COUNTIFS(③回款收汇!$A$4:$A$203,B54,③回款收汇!$R$4:$R$203,"&gt;0")&gt;0,"已收汇","待收汇"))</f>
        <v/>
      </c>
      <c r="N54" s="41"/>
      <c r="O54" s="41"/>
      <c r="P54" s="35" t="str">
        <f aca="true">IF(N54="","",IF(O54="",IF(TODAY()-N54&gt;15,"已超15天未留存","待留存"),IF(O54-N54&lt;=15,"及时","超期")))</f>
        <v/>
      </c>
      <c r="Q54" s="43"/>
    </row>
    <row r="55" customFormat="false" ht="21.75" hidden="false" customHeight="true" outlineLevel="0" collapsed="false">
      <c r="A55" s="49"/>
      <c r="B55" s="48"/>
      <c r="C55" s="43"/>
      <c r="D55" s="44"/>
      <c r="E55" s="44"/>
      <c r="F55" s="36" t="str">
        <f aca="false">IF(OR(D55="",E55=""),"",IF(IFERROR(INDEX(①出口报关!$I$4:$I$303,MATCH(E55,①出口报关!$A$4:$A$303,0)),"")=D55,"一致","SKU与报关单不符"))</f>
        <v/>
      </c>
      <c r="G55" s="45"/>
      <c r="H55" s="45"/>
      <c r="I55" s="31" t="str">
        <f aca="false">IF(AND(G55="",H55=""),"",N(G55)-N(H55))</f>
        <v/>
      </c>
      <c r="J55" s="46"/>
      <c r="K55" s="46"/>
      <c r="L55" s="34" t="str">
        <f aca="false">IF(AND(J55="",K55=""),"",N(J55)-N(K55))</f>
        <v/>
      </c>
      <c r="M55" s="35" t="str">
        <f aca="false">IF(B55="","",IF(COUNTIFS(③回款收汇!$A$4:$A$203,B55,③回款收汇!$R$4:$R$203,"&gt;0")&gt;0,"已收汇","待收汇"))</f>
        <v/>
      </c>
      <c r="N55" s="41"/>
      <c r="O55" s="41"/>
      <c r="P55" s="35" t="str">
        <f aca="true">IF(N55="","",IF(O55="",IF(TODAY()-N55&gt;15,"已超15天未留存","待留存"),IF(O55-N55&lt;=15,"及时","超期")))</f>
        <v/>
      </c>
      <c r="Q55" s="43"/>
    </row>
    <row r="56" customFormat="false" ht="21.75" hidden="false" customHeight="true" outlineLevel="0" collapsed="false">
      <c r="A56" s="49"/>
      <c r="B56" s="48"/>
      <c r="C56" s="43"/>
      <c r="D56" s="44"/>
      <c r="E56" s="44"/>
      <c r="F56" s="36" t="str">
        <f aca="false">IF(OR(D56="",E56=""),"",IF(IFERROR(INDEX(①出口报关!$I$4:$I$303,MATCH(E56,①出口报关!$A$4:$A$303,0)),"")=D56,"一致","SKU与报关单不符"))</f>
        <v/>
      </c>
      <c r="G56" s="45"/>
      <c r="H56" s="45"/>
      <c r="I56" s="31" t="str">
        <f aca="false">IF(AND(G56="",H56=""),"",N(G56)-N(H56))</f>
        <v/>
      </c>
      <c r="J56" s="46"/>
      <c r="K56" s="46"/>
      <c r="L56" s="34" t="str">
        <f aca="false">IF(AND(J56="",K56=""),"",N(J56)-N(K56))</f>
        <v/>
      </c>
      <c r="M56" s="35" t="str">
        <f aca="false">IF(B56="","",IF(COUNTIFS(③回款收汇!$A$4:$A$203,B56,③回款收汇!$R$4:$R$203,"&gt;0")&gt;0,"已收汇","待收汇"))</f>
        <v/>
      </c>
      <c r="N56" s="41"/>
      <c r="O56" s="41"/>
      <c r="P56" s="35" t="str">
        <f aca="true">IF(N56="","",IF(O56="",IF(TODAY()-N56&gt;15,"已超15天未留存","待留存"),IF(O56-N56&lt;=15,"及时","超期")))</f>
        <v/>
      </c>
      <c r="Q56" s="43"/>
    </row>
    <row r="57" customFormat="false" ht="21.75" hidden="false" customHeight="true" outlineLevel="0" collapsed="false">
      <c r="A57" s="49"/>
      <c r="B57" s="48"/>
      <c r="C57" s="43"/>
      <c r="D57" s="44"/>
      <c r="E57" s="44"/>
      <c r="F57" s="36" t="str">
        <f aca="false">IF(OR(D57="",E57=""),"",IF(IFERROR(INDEX(①出口报关!$I$4:$I$303,MATCH(E57,①出口报关!$A$4:$A$303,0)),"")=D57,"一致","SKU与报关单不符"))</f>
        <v/>
      </c>
      <c r="G57" s="45"/>
      <c r="H57" s="45"/>
      <c r="I57" s="31" t="str">
        <f aca="false">IF(AND(G57="",H57=""),"",N(G57)-N(H57))</f>
        <v/>
      </c>
      <c r="J57" s="46"/>
      <c r="K57" s="46"/>
      <c r="L57" s="34" t="str">
        <f aca="false">IF(AND(J57="",K57=""),"",N(J57)-N(K57))</f>
        <v/>
      </c>
      <c r="M57" s="35" t="str">
        <f aca="false">IF(B57="","",IF(COUNTIFS(③回款收汇!$A$4:$A$203,B57,③回款收汇!$R$4:$R$203,"&gt;0")&gt;0,"已收汇","待收汇"))</f>
        <v/>
      </c>
      <c r="N57" s="41"/>
      <c r="O57" s="41"/>
      <c r="P57" s="35" t="str">
        <f aca="true">IF(N57="","",IF(O57="",IF(TODAY()-N57&gt;15,"已超15天未留存","待留存"),IF(O57-N57&lt;=15,"及时","超期")))</f>
        <v/>
      </c>
      <c r="Q57" s="43"/>
    </row>
    <row r="58" customFormat="false" ht="21.75" hidden="false" customHeight="true" outlineLevel="0" collapsed="false">
      <c r="A58" s="49"/>
      <c r="B58" s="48"/>
      <c r="C58" s="43"/>
      <c r="D58" s="44"/>
      <c r="E58" s="44"/>
      <c r="F58" s="36" t="str">
        <f aca="false">IF(OR(D58="",E58=""),"",IF(IFERROR(INDEX(①出口报关!$I$4:$I$303,MATCH(E58,①出口报关!$A$4:$A$303,0)),"")=D58,"一致","SKU与报关单不符"))</f>
        <v/>
      </c>
      <c r="G58" s="45"/>
      <c r="H58" s="45"/>
      <c r="I58" s="31" t="str">
        <f aca="false">IF(AND(G58="",H58=""),"",N(G58)-N(H58))</f>
        <v/>
      </c>
      <c r="J58" s="46"/>
      <c r="K58" s="46"/>
      <c r="L58" s="34" t="str">
        <f aca="false">IF(AND(J58="",K58=""),"",N(J58)-N(K58))</f>
        <v/>
      </c>
      <c r="M58" s="35" t="str">
        <f aca="false">IF(B58="","",IF(COUNTIFS(③回款收汇!$A$4:$A$203,B58,③回款收汇!$R$4:$R$203,"&gt;0")&gt;0,"已收汇","待收汇"))</f>
        <v/>
      </c>
      <c r="N58" s="41"/>
      <c r="O58" s="41"/>
      <c r="P58" s="35" t="str">
        <f aca="true">IF(N58="","",IF(O58="",IF(TODAY()-N58&gt;15,"已超15天未留存","待留存"),IF(O58-N58&lt;=15,"及时","超期")))</f>
        <v/>
      </c>
      <c r="Q58" s="43"/>
    </row>
    <row r="59" customFormat="false" ht="21.75" hidden="false" customHeight="true" outlineLevel="0" collapsed="false">
      <c r="A59" s="49"/>
      <c r="B59" s="48"/>
      <c r="C59" s="43"/>
      <c r="D59" s="44"/>
      <c r="E59" s="44"/>
      <c r="F59" s="36" t="str">
        <f aca="false">IF(OR(D59="",E59=""),"",IF(IFERROR(INDEX(①出口报关!$I$4:$I$303,MATCH(E59,①出口报关!$A$4:$A$303,0)),"")=D59,"一致","SKU与报关单不符"))</f>
        <v/>
      </c>
      <c r="G59" s="45"/>
      <c r="H59" s="45"/>
      <c r="I59" s="31" t="str">
        <f aca="false">IF(AND(G59="",H59=""),"",N(G59)-N(H59))</f>
        <v/>
      </c>
      <c r="J59" s="46"/>
      <c r="K59" s="46"/>
      <c r="L59" s="34" t="str">
        <f aca="false">IF(AND(J59="",K59=""),"",N(J59)-N(K59))</f>
        <v/>
      </c>
      <c r="M59" s="35" t="str">
        <f aca="false">IF(B59="","",IF(COUNTIFS(③回款收汇!$A$4:$A$203,B59,③回款收汇!$R$4:$R$203,"&gt;0")&gt;0,"已收汇","待收汇"))</f>
        <v/>
      </c>
      <c r="N59" s="41"/>
      <c r="O59" s="41"/>
      <c r="P59" s="35" t="str">
        <f aca="true">IF(N59="","",IF(O59="",IF(TODAY()-N59&gt;15,"已超15天未留存","待留存"),IF(O59-N59&lt;=15,"及时","超期")))</f>
        <v/>
      </c>
      <c r="Q59" s="43"/>
    </row>
    <row r="60" customFormat="false" ht="21.75" hidden="false" customHeight="true" outlineLevel="0" collapsed="false">
      <c r="A60" s="49"/>
      <c r="B60" s="48"/>
      <c r="C60" s="43"/>
      <c r="D60" s="44"/>
      <c r="E60" s="44"/>
      <c r="F60" s="36" t="str">
        <f aca="false">IF(OR(D60="",E60=""),"",IF(IFERROR(INDEX(①出口报关!$I$4:$I$303,MATCH(E60,①出口报关!$A$4:$A$303,0)),"")=D60,"一致","SKU与报关单不符"))</f>
        <v/>
      </c>
      <c r="G60" s="45"/>
      <c r="H60" s="45"/>
      <c r="I60" s="31" t="str">
        <f aca="false">IF(AND(G60="",H60=""),"",N(G60)-N(H60))</f>
        <v/>
      </c>
      <c r="J60" s="46"/>
      <c r="K60" s="46"/>
      <c r="L60" s="34" t="str">
        <f aca="false">IF(AND(J60="",K60=""),"",N(J60)-N(K60))</f>
        <v/>
      </c>
      <c r="M60" s="35" t="str">
        <f aca="false">IF(B60="","",IF(COUNTIFS(③回款收汇!$A$4:$A$203,B60,③回款收汇!$R$4:$R$203,"&gt;0")&gt;0,"已收汇","待收汇"))</f>
        <v/>
      </c>
      <c r="N60" s="41"/>
      <c r="O60" s="41"/>
      <c r="P60" s="35" t="str">
        <f aca="true">IF(N60="","",IF(O60="",IF(TODAY()-N60&gt;15,"已超15天未留存","待留存"),IF(O60-N60&lt;=15,"及时","超期")))</f>
        <v/>
      </c>
      <c r="Q60" s="43"/>
    </row>
    <row r="61" customFormat="false" ht="21.75" hidden="false" customHeight="true" outlineLevel="0" collapsed="false">
      <c r="A61" s="49"/>
      <c r="B61" s="48"/>
      <c r="C61" s="43"/>
      <c r="D61" s="44"/>
      <c r="E61" s="44"/>
      <c r="F61" s="36" t="str">
        <f aca="false">IF(OR(D61="",E61=""),"",IF(IFERROR(INDEX(①出口报关!$I$4:$I$303,MATCH(E61,①出口报关!$A$4:$A$303,0)),"")=D61,"一致","SKU与报关单不符"))</f>
        <v/>
      </c>
      <c r="G61" s="45"/>
      <c r="H61" s="45"/>
      <c r="I61" s="31" t="str">
        <f aca="false">IF(AND(G61="",H61=""),"",N(G61)-N(H61))</f>
        <v/>
      </c>
      <c r="J61" s="46"/>
      <c r="K61" s="46"/>
      <c r="L61" s="34" t="str">
        <f aca="false">IF(AND(J61="",K61=""),"",N(J61)-N(K61))</f>
        <v/>
      </c>
      <c r="M61" s="35" t="str">
        <f aca="false">IF(B61="","",IF(COUNTIFS(③回款收汇!$A$4:$A$203,B61,③回款收汇!$R$4:$R$203,"&gt;0")&gt;0,"已收汇","待收汇"))</f>
        <v/>
      </c>
      <c r="N61" s="41"/>
      <c r="O61" s="41"/>
      <c r="P61" s="35" t="str">
        <f aca="true">IF(N61="","",IF(O61="",IF(TODAY()-N61&gt;15,"已超15天未留存","待留存"),IF(O61-N61&lt;=15,"及时","超期")))</f>
        <v/>
      </c>
      <c r="Q61" s="43"/>
    </row>
    <row r="62" customFormat="false" ht="21.75" hidden="false" customHeight="true" outlineLevel="0" collapsed="false">
      <c r="A62" s="49"/>
      <c r="B62" s="48"/>
      <c r="C62" s="43"/>
      <c r="D62" s="44"/>
      <c r="E62" s="44"/>
      <c r="F62" s="36" t="str">
        <f aca="false">IF(OR(D62="",E62=""),"",IF(IFERROR(INDEX(①出口报关!$I$4:$I$303,MATCH(E62,①出口报关!$A$4:$A$303,0)),"")=D62,"一致","SKU与报关单不符"))</f>
        <v/>
      </c>
      <c r="G62" s="45"/>
      <c r="H62" s="45"/>
      <c r="I62" s="31" t="str">
        <f aca="false">IF(AND(G62="",H62=""),"",N(G62)-N(H62))</f>
        <v/>
      </c>
      <c r="J62" s="46"/>
      <c r="K62" s="46"/>
      <c r="L62" s="34" t="str">
        <f aca="false">IF(AND(J62="",K62=""),"",N(J62)-N(K62))</f>
        <v/>
      </c>
      <c r="M62" s="35" t="str">
        <f aca="false">IF(B62="","",IF(COUNTIFS(③回款收汇!$A$4:$A$203,B62,③回款收汇!$R$4:$R$203,"&gt;0")&gt;0,"已收汇","待收汇"))</f>
        <v/>
      </c>
      <c r="N62" s="41"/>
      <c r="O62" s="41"/>
      <c r="P62" s="35" t="str">
        <f aca="true">IF(N62="","",IF(O62="",IF(TODAY()-N62&gt;15,"已超15天未留存","待留存"),IF(O62-N62&lt;=15,"及时","超期")))</f>
        <v/>
      </c>
      <c r="Q62" s="43"/>
    </row>
    <row r="63" customFormat="false" ht="21.75" hidden="false" customHeight="true" outlineLevel="0" collapsed="false">
      <c r="A63" s="49"/>
      <c r="B63" s="48"/>
      <c r="C63" s="43"/>
      <c r="D63" s="44"/>
      <c r="E63" s="44"/>
      <c r="F63" s="36" t="str">
        <f aca="false">IF(OR(D63="",E63=""),"",IF(IFERROR(INDEX(①出口报关!$I$4:$I$303,MATCH(E63,①出口报关!$A$4:$A$303,0)),"")=D63,"一致","SKU与报关单不符"))</f>
        <v/>
      </c>
      <c r="G63" s="45"/>
      <c r="H63" s="45"/>
      <c r="I63" s="31" t="str">
        <f aca="false">IF(AND(G63="",H63=""),"",N(G63)-N(H63))</f>
        <v/>
      </c>
      <c r="J63" s="46"/>
      <c r="K63" s="46"/>
      <c r="L63" s="34" t="str">
        <f aca="false">IF(AND(J63="",K63=""),"",N(J63)-N(K63))</f>
        <v/>
      </c>
      <c r="M63" s="35" t="str">
        <f aca="false">IF(B63="","",IF(COUNTIFS(③回款收汇!$A$4:$A$203,B63,③回款收汇!$R$4:$R$203,"&gt;0")&gt;0,"已收汇","待收汇"))</f>
        <v/>
      </c>
      <c r="N63" s="41"/>
      <c r="O63" s="41"/>
      <c r="P63" s="35" t="str">
        <f aca="true">IF(N63="","",IF(O63="",IF(TODAY()-N63&gt;15,"已超15天未留存","待留存"),IF(O63-N63&lt;=15,"及时","超期")))</f>
        <v/>
      </c>
      <c r="Q63" s="43"/>
    </row>
    <row r="64" customFormat="false" ht="21.75" hidden="false" customHeight="true" outlineLevel="0" collapsed="false">
      <c r="A64" s="49"/>
      <c r="B64" s="48"/>
      <c r="C64" s="43"/>
      <c r="D64" s="44"/>
      <c r="E64" s="44"/>
      <c r="F64" s="36" t="str">
        <f aca="false">IF(OR(D64="",E64=""),"",IF(IFERROR(INDEX(①出口报关!$I$4:$I$303,MATCH(E64,①出口报关!$A$4:$A$303,0)),"")=D64,"一致","SKU与报关单不符"))</f>
        <v/>
      </c>
      <c r="G64" s="45"/>
      <c r="H64" s="45"/>
      <c r="I64" s="31" t="str">
        <f aca="false">IF(AND(G64="",H64=""),"",N(G64)-N(H64))</f>
        <v/>
      </c>
      <c r="J64" s="46"/>
      <c r="K64" s="46"/>
      <c r="L64" s="34" t="str">
        <f aca="false">IF(AND(J64="",K64=""),"",N(J64)-N(K64))</f>
        <v/>
      </c>
      <c r="M64" s="35" t="str">
        <f aca="false">IF(B64="","",IF(COUNTIFS(③回款收汇!$A$4:$A$203,B64,③回款收汇!$R$4:$R$203,"&gt;0")&gt;0,"已收汇","待收汇"))</f>
        <v/>
      </c>
      <c r="N64" s="41"/>
      <c r="O64" s="41"/>
      <c r="P64" s="35" t="str">
        <f aca="true">IF(N64="","",IF(O64="",IF(TODAY()-N64&gt;15,"已超15天未留存","待留存"),IF(O64-N64&lt;=15,"及时","超期")))</f>
        <v/>
      </c>
      <c r="Q64" s="43"/>
    </row>
    <row r="65" customFormat="false" ht="21.75" hidden="false" customHeight="true" outlineLevel="0" collapsed="false">
      <c r="A65" s="49"/>
      <c r="B65" s="48"/>
      <c r="C65" s="43"/>
      <c r="D65" s="44"/>
      <c r="E65" s="44"/>
      <c r="F65" s="36" t="str">
        <f aca="false">IF(OR(D65="",E65=""),"",IF(IFERROR(INDEX(①出口报关!$I$4:$I$303,MATCH(E65,①出口报关!$A$4:$A$303,0)),"")=D65,"一致","SKU与报关单不符"))</f>
        <v/>
      </c>
      <c r="G65" s="45"/>
      <c r="H65" s="45"/>
      <c r="I65" s="31" t="str">
        <f aca="false">IF(AND(G65="",H65=""),"",N(G65)-N(H65))</f>
        <v/>
      </c>
      <c r="J65" s="46"/>
      <c r="K65" s="46"/>
      <c r="L65" s="34" t="str">
        <f aca="false">IF(AND(J65="",K65=""),"",N(J65)-N(K65))</f>
        <v/>
      </c>
      <c r="M65" s="35" t="str">
        <f aca="false">IF(B65="","",IF(COUNTIFS(③回款收汇!$A$4:$A$203,B65,③回款收汇!$R$4:$R$203,"&gt;0")&gt;0,"已收汇","待收汇"))</f>
        <v/>
      </c>
      <c r="N65" s="41"/>
      <c r="O65" s="41"/>
      <c r="P65" s="35" t="str">
        <f aca="true">IF(N65="","",IF(O65="",IF(TODAY()-N65&gt;15,"已超15天未留存","待留存"),IF(O65-N65&lt;=15,"及时","超期")))</f>
        <v/>
      </c>
      <c r="Q65" s="43"/>
    </row>
    <row r="66" customFormat="false" ht="21.75" hidden="false" customHeight="true" outlineLevel="0" collapsed="false">
      <c r="A66" s="49"/>
      <c r="B66" s="48"/>
      <c r="C66" s="43"/>
      <c r="D66" s="44"/>
      <c r="E66" s="44"/>
      <c r="F66" s="36" t="str">
        <f aca="false">IF(OR(D66="",E66=""),"",IF(IFERROR(INDEX(①出口报关!$I$4:$I$303,MATCH(E66,①出口报关!$A$4:$A$303,0)),"")=D66,"一致","SKU与报关单不符"))</f>
        <v/>
      </c>
      <c r="G66" s="45"/>
      <c r="H66" s="45"/>
      <c r="I66" s="31" t="str">
        <f aca="false">IF(AND(G66="",H66=""),"",N(G66)-N(H66))</f>
        <v/>
      </c>
      <c r="J66" s="46"/>
      <c r="K66" s="46"/>
      <c r="L66" s="34" t="str">
        <f aca="false">IF(AND(J66="",K66=""),"",N(J66)-N(K66))</f>
        <v/>
      </c>
      <c r="M66" s="35" t="str">
        <f aca="false">IF(B66="","",IF(COUNTIFS(③回款收汇!$A$4:$A$203,B66,③回款收汇!$R$4:$R$203,"&gt;0")&gt;0,"已收汇","待收汇"))</f>
        <v/>
      </c>
      <c r="N66" s="41"/>
      <c r="O66" s="41"/>
      <c r="P66" s="35" t="str">
        <f aca="true">IF(N66="","",IF(O66="",IF(TODAY()-N66&gt;15,"已超15天未留存","待留存"),IF(O66-N66&lt;=15,"及时","超期")))</f>
        <v/>
      </c>
      <c r="Q66" s="43"/>
    </row>
    <row r="67" customFormat="false" ht="21.75" hidden="false" customHeight="true" outlineLevel="0" collapsed="false">
      <c r="A67" s="49"/>
      <c r="B67" s="48"/>
      <c r="C67" s="43"/>
      <c r="D67" s="44"/>
      <c r="E67" s="44"/>
      <c r="F67" s="36" t="str">
        <f aca="false">IF(OR(D67="",E67=""),"",IF(IFERROR(INDEX(①出口报关!$I$4:$I$303,MATCH(E67,①出口报关!$A$4:$A$303,0)),"")=D67,"一致","SKU与报关单不符"))</f>
        <v/>
      </c>
      <c r="G67" s="45"/>
      <c r="H67" s="45"/>
      <c r="I67" s="31" t="str">
        <f aca="false">IF(AND(G67="",H67=""),"",N(G67)-N(H67))</f>
        <v/>
      </c>
      <c r="J67" s="46"/>
      <c r="K67" s="46"/>
      <c r="L67" s="34" t="str">
        <f aca="false">IF(AND(J67="",K67=""),"",N(J67)-N(K67))</f>
        <v/>
      </c>
      <c r="M67" s="35" t="str">
        <f aca="false">IF(B67="","",IF(COUNTIFS(③回款收汇!$A$4:$A$203,B67,③回款收汇!$R$4:$R$203,"&gt;0")&gt;0,"已收汇","待收汇"))</f>
        <v/>
      </c>
      <c r="N67" s="41"/>
      <c r="O67" s="41"/>
      <c r="P67" s="35" t="str">
        <f aca="true">IF(N67="","",IF(O67="",IF(TODAY()-N67&gt;15,"已超15天未留存","待留存"),IF(O67-N67&lt;=15,"及时","超期")))</f>
        <v/>
      </c>
      <c r="Q67" s="43"/>
    </row>
    <row r="68" customFormat="false" ht="21.75" hidden="false" customHeight="true" outlineLevel="0" collapsed="false">
      <c r="A68" s="49"/>
      <c r="B68" s="48"/>
      <c r="C68" s="43"/>
      <c r="D68" s="44"/>
      <c r="E68" s="44"/>
      <c r="F68" s="36" t="str">
        <f aca="false">IF(OR(D68="",E68=""),"",IF(IFERROR(INDEX(①出口报关!$I$4:$I$303,MATCH(E68,①出口报关!$A$4:$A$303,0)),"")=D68,"一致","SKU与报关单不符"))</f>
        <v/>
      </c>
      <c r="G68" s="45"/>
      <c r="H68" s="45"/>
      <c r="I68" s="31" t="str">
        <f aca="false">IF(AND(G68="",H68=""),"",N(G68)-N(H68))</f>
        <v/>
      </c>
      <c r="J68" s="46"/>
      <c r="K68" s="46"/>
      <c r="L68" s="34" t="str">
        <f aca="false">IF(AND(J68="",K68=""),"",N(J68)-N(K68))</f>
        <v/>
      </c>
      <c r="M68" s="35" t="str">
        <f aca="false">IF(B68="","",IF(COUNTIFS(③回款收汇!$A$4:$A$203,B68,③回款收汇!$R$4:$R$203,"&gt;0")&gt;0,"已收汇","待收汇"))</f>
        <v/>
      </c>
      <c r="N68" s="41"/>
      <c r="O68" s="41"/>
      <c r="P68" s="35" t="str">
        <f aca="true">IF(N68="","",IF(O68="",IF(TODAY()-N68&gt;15,"已超15天未留存","待留存"),IF(O68-N68&lt;=15,"及时","超期")))</f>
        <v/>
      </c>
      <c r="Q68" s="43"/>
    </row>
    <row r="69" customFormat="false" ht="21.75" hidden="false" customHeight="true" outlineLevel="0" collapsed="false">
      <c r="A69" s="49"/>
      <c r="B69" s="48"/>
      <c r="C69" s="43"/>
      <c r="D69" s="44"/>
      <c r="E69" s="44"/>
      <c r="F69" s="36" t="str">
        <f aca="false">IF(OR(D69="",E69=""),"",IF(IFERROR(INDEX(①出口报关!$I$4:$I$303,MATCH(E69,①出口报关!$A$4:$A$303,0)),"")=D69,"一致","SKU与报关单不符"))</f>
        <v/>
      </c>
      <c r="G69" s="45"/>
      <c r="H69" s="45"/>
      <c r="I69" s="31" t="str">
        <f aca="false">IF(AND(G69="",H69=""),"",N(G69)-N(H69))</f>
        <v/>
      </c>
      <c r="J69" s="46"/>
      <c r="K69" s="46"/>
      <c r="L69" s="34" t="str">
        <f aca="false">IF(AND(J69="",K69=""),"",N(J69)-N(K69))</f>
        <v/>
      </c>
      <c r="M69" s="35" t="str">
        <f aca="false">IF(B69="","",IF(COUNTIFS(③回款收汇!$A$4:$A$203,B69,③回款收汇!$R$4:$R$203,"&gt;0")&gt;0,"已收汇","待收汇"))</f>
        <v/>
      </c>
      <c r="N69" s="41"/>
      <c r="O69" s="41"/>
      <c r="P69" s="35" t="str">
        <f aca="true">IF(N69="","",IF(O69="",IF(TODAY()-N69&gt;15,"已超15天未留存","待留存"),IF(O69-N69&lt;=15,"及时","超期")))</f>
        <v/>
      </c>
      <c r="Q69" s="43"/>
    </row>
    <row r="70" customFormat="false" ht="21.75" hidden="false" customHeight="true" outlineLevel="0" collapsed="false">
      <c r="A70" s="49"/>
      <c r="B70" s="48"/>
      <c r="C70" s="43"/>
      <c r="D70" s="44"/>
      <c r="E70" s="44"/>
      <c r="F70" s="36" t="str">
        <f aca="false">IF(OR(D70="",E70=""),"",IF(IFERROR(INDEX(①出口报关!$I$4:$I$303,MATCH(E70,①出口报关!$A$4:$A$303,0)),"")=D70,"一致","SKU与报关单不符"))</f>
        <v/>
      </c>
      <c r="G70" s="45"/>
      <c r="H70" s="45"/>
      <c r="I70" s="31" t="str">
        <f aca="false">IF(AND(G70="",H70=""),"",N(G70)-N(H70))</f>
        <v/>
      </c>
      <c r="J70" s="46"/>
      <c r="K70" s="46"/>
      <c r="L70" s="34" t="str">
        <f aca="false">IF(AND(J70="",K70=""),"",N(J70)-N(K70))</f>
        <v/>
      </c>
      <c r="M70" s="35" t="str">
        <f aca="false">IF(B70="","",IF(COUNTIFS(③回款收汇!$A$4:$A$203,B70,③回款收汇!$R$4:$R$203,"&gt;0")&gt;0,"已收汇","待收汇"))</f>
        <v/>
      </c>
      <c r="N70" s="41"/>
      <c r="O70" s="41"/>
      <c r="P70" s="35" t="str">
        <f aca="true">IF(N70="","",IF(O70="",IF(TODAY()-N70&gt;15,"已超15天未留存","待留存"),IF(O70-N70&lt;=15,"及时","超期")))</f>
        <v/>
      </c>
      <c r="Q70" s="43"/>
    </row>
    <row r="71" customFormat="false" ht="21.75" hidden="false" customHeight="true" outlineLevel="0" collapsed="false">
      <c r="A71" s="49"/>
      <c r="B71" s="48"/>
      <c r="C71" s="43"/>
      <c r="D71" s="44"/>
      <c r="E71" s="44"/>
      <c r="F71" s="36" t="str">
        <f aca="false">IF(OR(D71="",E71=""),"",IF(IFERROR(INDEX(①出口报关!$I$4:$I$303,MATCH(E71,①出口报关!$A$4:$A$303,0)),"")=D71,"一致","SKU与报关单不符"))</f>
        <v/>
      </c>
      <c r="G71" s="45"/>
      <c r="H71" s="45"/>
      <c r="I71" s="31" t="str">
        <f aca="false">IF(AND(G71="",H71=""),"",N(G71)-N(H71))</f>
        <v/>
      </c>
      <c r="J71" s="46"/>
      <c r="K71" s="46"/>
      <c r="L71" s="34" t="str">
        <f aca="false">IF(AND(J71="",K71=""),"",N(J71)-N(K71))</f>
        <v/>
      </c>
      <c r="M71" s="35" t="str">
        <f aca="false">IF(B71="","",IF(COUNTIFS(③回款收汇!$A$4:$A$203,B71,③回款收汇!$R$4:$R$203,"&gt;0")&gt;0,"已收汇","待收汇"))</f>
        <v/>
      </c>
      <c r="N71" s="41"/>
      <c r="O71" s="41"/>
      <c r="P71" s="35" t="str">
        <f aca="true">IF(N71="","",IF(O71="",IF(TODAY()-N71&gt;15,"已超15天未留存","待留存"),IF(O71-N71&lt;=15,"及时","超期")))</f>
        <v/>
      </c>
      <c r="Q71" s="43"/>
    </row>
    <row r="72" customFormat="false" ht="21.75" hidden="false" customHeight="true" outlineLevel="0" collapsed="false">
      <c r="A72" s="49"/>
      <c r="B72" s="48"/>
      <c r="C72" s="43"/>
      <c r="D72" s="44"/>
      <c r="E72" s="44"/>
      <c r="F72" s="36" t="str">
        <f aca="false">IF(OR(D72="",E72=""),"",IF(IFERROR(INDEX(①出口报关!$I$4:$I$303,MATCH(E72,①出口报关!$A$4:$A$303,0)),"")=D72,"一致","SKU与报关单不符"))</f>
        <v/>
      </c>
      <c r="G72" s="45"/>
      <c r="H72" s="45"/>
      <c r="I72" s="31" t="str">
        <f aca="false">IF(AND(G72="",H72=""),"",N(G72)-N(H72))</f>
        <v/>
      </c>
      <c r="J72" s="46"/>
      <c r="K72" s="46"/>
      <c r="L72" s="34" t="str">
        <f aca="false">IF(AND(J72="",K72=""),"",N(J72)-N(K72))</f>
        <v/>
      </c>
      <c r="M72" s="35" t="str">
        <f aca="false">IF(B72="","",IF(COUNTIFS(③回款收汇!$A$4:$A$203,B72,③回款收汇!$R$4:$R$203,"&gt;0")&gt;0,"已收汇","待收汇"))</f>
        <v/>
      </c>
      <c r="N72" s="41"/>
      <c r="O72" s="41"/>
      <c r="P72" s="35" t="str">
        <f aca="true">IF(N72="","",IF(O72="",IF(TODAY()-N72&gt;15,"已超15天未留存","待留存"),IF(O72-N72&lt;=15,"及时","超期")))</f>
        <v/>
      </c>
      <c r="Q72" s="43"/>
    </row>
    <row r="73" customFormat="false" ht="21.75" hidden="false" customHeight="true" outlineLevel="0" collapsed="false">
      <c r="A73" s="49"/>
      <c r="B73" s="48"/>
      <c r="C73" s="43"/>
      <c r="D73" s="44"/>
      <c r="E73" s="44"/>
      <c r="F73" s="36" t="str">
        <f aca="false">IF(OR(D73="",E73=""),"",IF(IFERROR(INDEX(①出口报关!$I$4:$I$303,MATCH(E73,①出口报关!$A$4:$A$303,0)),"")=D73,"一致","SKU与报关单不符"))</f>
        <v/>
      </c>
      <c r="G73" s="45"/>
      <c r="H73" s="45"/>
      <c r="I73" s="31" t="str">
        <f aca="false">IF(AND(G73="",H73=""),"",N(G73)-N(H73))</f>
        <v/>
      </c>
      <c r="J73" s="46"/>
      <c r="K73" s="46"/>
      <c r="L73" s="34" t="str">
        <f aca="false">IF(AND(J73="",K73=""),"",N(J73)-N(K73))</f>
        <v/>
      </c>
      <c r="M73" s="35" t="str">
        <f aca="false">IF(B73="","",IF(COUNTIFS(③回款收汇!$A$4:$A$203,B73,③回款收汇!$R$4:$R$203,"&gt;0")&gt;0,"已收汇","待收汇"))</f>
        <v/>
      </c>
      <c r="N73" s="41"/>
      <c r="O73" s="41"/>
      <c r="P73" s="35" t="str">
        <f aca="true">IF(N73="","",IF(O73="",IF(TODAY()-N73&gt;15,"已超15天未留存","待留存"),IF(O73-N73&lt;=15,"及时","超期")))</f>
        <v/>
      </c>
      <c r="Q73" s="43"/>
    </row>
    <row r="74" customFormat="false" ht="21.75" hidden="false" customHeight="true" outlineLevel="0" collapsed="false">
      <c r="A74" s="49"/>
      <c r="B74" s="48"/>
      <c r="C74" s="43"/>
      <c r="D74" s="44"/>
      <c r="E74" s="44"/>
      <c r="F74" s="36" t="str">
        <f aca="false">IF(OR(D74="",E74=""),"",IF(IFERROR(INDEX(①出口报关!$I$4:$I$303,MATCH(E74,①出口报关!$A$4:$A$303,0)),"")=D74,"一致","SKU与报关单不符"))</f>
        <v/>
      </c>
      <c r="G74" s="45"/>
      <c r="H74" s="45"/>
      <c r="I74" s="31" t="str">
        <f aca="false">IF(AND(G74="",H74=""),"",N(G74)-N(H74))</f>
        <v/>
      </c>
      <c r="J74" s="46"/>
      <c r="K74" s="46"/>
      <c r="L74" s="34" t="str">
        <f aca="false">IF(AND(J74="",K74=""),"",N(J74)-N(K74))</f>
        <v/>
      </c>
      <c r="M74" s="35" t="str">
        <f aca="false">IF(B74="","",IF(COUNTIFS(③回款收汇!$A$4:$A$203,B74,③回款收汇!$R$4:$R$203,"&gt;0")&gt;0,"已收汇","待收汇"))</f>
        <v/>
      </c>
      <c r="N74" s="41"/>
      <c r="O74" s="41"/>
      <c r="P74" s="35" t="str">
        <f aca="true">IF(N74="","",IF(O74="",IF(TODAY()-N74&gt;15,"已超15天未留存","待留存"),IF(O74-N74&lt;=15,"及时","超期")))</f>
        <v/>
      </c>
      <c r="Q74" s="43"/>
    </row>
    <row r="75" customFormat="false" ht="21.75" hidden="false" customHeight="true" outlineLevel="0" collapsed="false">
      <c r="A75" s="49"/>
      <c r="B75" s="48"/>
      <c r="C75" s="43"/>
      <c r="D75" s="44"/>
      <c r="E75" s="44"/>
      <c r="F75" s="36" t="str">
        <f aca="false">IF(OR(D75="",E75=""),"",IF(IFERROR(INDEX(①出口报关!$I$4:$I$303,MATCH(E75,①出口报关!$A$4:$A$303,0)),"")=D75,"一致","SKU与报关单不符"))</f>
        <v/>
      </c>
      <c r="G75" s="45"/>
      <c r="H75" s="45"/>
      <c r="I75" s="31" t="str">
        <f aca="false">IF(AND(G75="",H75=""),"",N(G75)-N(H75))</f>
        <v/>
      </c>
      <c r="J75" s="46"/>
      <c r="K75" s="46"/>
      <c r="L75" s="34" t="str">
        <f aca="false">IF(AND(J75="",K75=""),"",N(J75)-N(K75))</f>
        <v/>
      </c>
      <c r="M75" s="35" t="str">
        <f aca="false">IF(B75="","",IF(COUNTIFS(③回款收汇!$A$4:$A$203,B75,③回款收汇!$R$4:$R$203,"&gt;0")&gt;0,"已收汇","待收汇"))</f>
        <v/>
      </c>
      <c r="N75" s="41"/>
      <c r="O75" s="41"/>
      <c r="P75" s="35" t="str">
        <f aca="true">IF(N75="","",IF(O75="",IF(TODAY()-N75&gt;15,"已超15天未留存","待留存"),IF(O75-N75&lt;=15,"及时","超期")))</f>
        <v/>
      </c>
      <c r="Q75" s="43"/>
    </row>
    <row r="76" customFormat="false" ht="21.75" hidden="false" customHeight="true" outlineLevel="0" collapsed="false">
      <c r="A76" s="49"/>
      <c r="B76" s="48"/>
      <c r="C76" s="43"/>
      <c r="D76" s="44"/>
      <c r="E76" s="44"/>
      <c r="F76" s="36" t="str">
        <f aca="false">IF(OR(D76="",E76=""),"",IF(IFERROR(INDEX(①出口报关!$I$4:$I$303,MATCH(E76,①出口报关!$A$4:$A$303,0)),"")=D76,"一致","SKU与报关单不符"))</f>
        <v/>
      </c>
      <c r="G76" s="45"/>
      <c r="H76" s="45"/>
      <c r="I76" s="31" t="str">
        <f aca="false">IF(AND(G76="",H76=""),"",N(G76)-N(H76))</f>
        <v/>
      </c>
      <c r="J76" s="46"/>
      <c r="K76" s="46"/>
      <c r="L76" s="34" t="str">
        <f aca="false">IF(AND(J76="",K76=""),"",N(J76)-N(K76))</f>
        <v/>
      </c>
      <c r="M76" s="35" t="str">
        <f aca="false">IF(B76="","",IF(COUNTIFS(③回款收汇!$A$4:$A$203,B76,③回款收汇!$R$4:$R$203,"&gt;0")&gt;0,"已收汇","待收汇"))</f>
        <v/>
      </c>
      <c r="N76" s="41"/>
      <c r="O76" s="41"/>
      <c r="P76" s="35" t="str">
        <f aca="true">IF(N76="","",IF(O76="",IF(TODAY()-N76&gt;15,"已超15天未留存","待留存"),IF(O76-N76&lt;=15,"及时","超期")))</f>
        <v/>
      </c>
      <c r="Q76" s="43"/>
    </row>
    <row r="77" customFormat="false" ht="21.75" hidden="false" customHeight="true" outlineLevel="0" collapsed="false">
      <c r="A77" s="49"/>
      <c r="B77" s="48"/>
      <c r="C77" s="43"/>
      <c r="D77" s="44"/>
      <c r="E77" s="44"/>
      <c r="F77" s="36" t="str">
        <f aca="false">IF(OR(D77="",E77=""),"",IF(IFERROR(INDEX(①出口报关!$I$4:$I$303,MATCH(E77,①出口报关!$A$4:$A$303,0)),"")=D77,"一致","SKU与报关单不符"))</f>
        <v/>
      </c>
      <c r="G77" s="45"/>
      <c r="H77" s="45"/>
      <c r="I77" s="31" t="str">
        <f aca="false">IF(AND(G77="",H77=""),"",N(G77)-N(H77))</f>
        <v/>
      </c>
      <c r="J77" s="46"/>
      <c r="K77" s="46"/>
      <c r="L77" s="34" t="str">
        <f aca="false">IF(AND(J77="",K77=""),"",N(J77)-N(K77))</f>
        <v/>
      </c>
      <c r="M77" s="35" t="str">
        <f aca="false">IF(B77="","",IF(COUNTIFS(③回款收汇!$A$4:$A$203,B77,③回款收汇!$R$4:$R$203,"&gt;0")&gt;0,"已收汇","待收汇"))</f>
        <v/>
      </c>
      <c r="N77" s="41"/>
      <c r="O77" s="41"/>
      <c r="P77" s="35" t="str">
        <f aca="true">IF(N77="","",IF(O77="",IF(TODAY()-N77&gt;15,"已超15天未留存","待留存"),IF(O77-N77&lt;=15,"及时","超期")))</f>
        <v/>
      </c>
      <c r="Q77" s="43"/>
    </row>
    <row r="78" customFormat="false" ht="21.75" hidden="false" customHeight="true" outlineLevel="0" collapsed="false">
      <c r="A78" s="49"/>
      <c r="B78" s="48"/>
      <c r="C78" s="43"/>
      <c r="D78" s="44"/>
      <c r="E78" s="44"/>
      <c r="F78" s="36" t="str">
        <f aca="false">IF(OR(D78="",E78=""),"",IF(IFERROR(INDEX(①出口报关!$I$4:$I$303,MATCH(E78,①出口报关!$A$4:$A$303,0)),"")=D78,"一致","SKU与报关单不符"))</f>
        <v/>
      </c>
      <c r="G78" s="45"/>
      <c r="H78" s="45"/>
      <c r="I78" s="31" t="str">
        <f aca="false">IF(AND(G78="",H78=""),"",N(G78)-N(H78))</f>
        <v/>
      </c>
      <c r="J78" s="46"/>
      <c r="K78" s="46"/>
      <c r="L78" s="34" t="str">
        <f aca="false">IF(AND(J78="",K78=""),"",N(J78)-N(K78))</f>
        <v/>
      </c>
      <c r="M78" s="35" t="str">
        <f aca="false">IF(B78="","",IF(COUNTIFS(③回款收汇!$A$4:$A$203,B78,③回款收汇!$R$4:$R$203,"&gt;0")&gt;0,"已收汇","待收汇"))</f>
        <v/>
      </c>
      <c r="N78" s="41"/>
      <c r="O78" s="41"/>
      <c r="P78" s="35" t="str">
        <f aca="true">IF(N78="","",IF(O78="",IF(TODAY()-N78&gt;15,"已超15天未留存","待留存"),IF(O78-N78&lt;=15,"及时","超期")))</f>
        <v/>
      </c>
      <c r="Q78" s="43"/>
    </row>
    <row r="79" customFormat="false" ht="21.75" hidden="false" customHeight="true" outlineLevel="0" collapsed="false">
      <c r="A79" s="49"/>
      <c r="B79" s="48"/>
      <c r="C79" s="43"/>
      <c r="D79" s="44"/>
      <c r="E79" s="44"/>
      <c r="F79" s="36" t="str">
        <f aca="false">IF(OR(D79="",E79=""),"",IF(IFERROR(INDEX(①出口报关!$I$4:$I$303,MATCH(E79,①出口报关!$A$4:$A$303,0)),"")=D79,"一致","SKU与报关单不符"))</f>
        <v/>
      </c>
      <c r="G79" s="45"/>
      <c r="H79" s="45"/>
      <c r="I79" s="31" t="str">
        <f aca="false">IF(AND(G79="",H79=""),"",N(G79)-N(H79))</f>
        <v/>
      </c>
      <c r="J79" s="46"/>
      <c r="K79" s="46"/>
      <c r="L79" s="34" t="str">
        <f aca="false">IF(AND(J79="",K79=""),"",N(J79)-N(K79))</f>
        <v/>
      </c>
      <c r="M79" s="35" t="str">
        <f aca="false">IF(B79="","",IF(COUNTIFS(③回款收汇!$A$4:$A$203,B79,③回款收汇!$R$4:$R$203,"&gt;0")&gt;0,"已收汇","待收汇"))</f>
        <v/>
      </c>
      <c r="N79" s="41"/>
      <c r="O79" s="41"/>
      <c r="P79" s="35" t="str">
        <f aca="true">IF(N79="","",IF(O79="",IF(TODAY()-N79&gt;15,"已超15天未留存","待留存"),IF(O79-N79&lt;=15,"及时","超期")))</f>
        <v/>
      </c>
      <c r="Q79" s="43"/>
    </row>
    <row r="80" customFormat="false" ht="21.75" hidden="false" customHeight="true" outlineLevel="0" collapsed="false">
      <c r="A80" s="49"/>
      <c r="B80" s="48"/>
      <c r="C80" s="43"/>
      <c r="D80" s="44"/>
      <c r="E80" s="44"/>
      <c r="F80" s="36" t="str">
        <f aca="false">IF(OR(D80="",E80=""),"",IF(IFERROR(INDEX(①出口报关!$I$4:$I$303,MATCH(E80,①出口报关!$A$4:$A$303,0)),"")=D80,"一致","SKU与报关单不符"))</f>
        <v/>
      </c>
      <c r="G80" s="45"/>
      <c r="H80" s="45"/>
      <c r="I80" s="31" t="str">
        <f aca="false">IF(AND(G80="",H80=""),"",N(G80)-N(H80))</f>
        <v/>
      </c>
      <c r="J80" s="46"/>
      <c r="K80" s="46"/>
      <c r="L80" s="34" t="str">
        <f aca="false">IF(AND(J80="",K80=""),"",N(J80)-N(K80))</f>
        <v/>
      </c>
      <c r="M80" s="35" t="str">
        <f aca="false">IF(B80="","",IF(COUNTIFS(③回款收汇!$A$4:$A$203,B80,③回款收汇!$R$4:$R$203,"&gt;0")&gt;0,"已收汇","待收汇"))</f>
        <v/>
      </c>
      <c r="N80" s="41"/>
      <c r="O80" s="41"/>
      <c r="P80" s="35" t="str">
        <f aca="true">IF(N80="","",IF(O80="",IF(TODAY()-N80&gt;15,"已超15天未留存","待留存"),IF(O80-N80&lt;=15,"及时","超期")))</f>
        <v/>
      </c>
      <c r="Q80" s="43"/>
    </row>
    <row r="81" customFormat="false" ht="21.75" hidden="false" customHeight="true" outlineLevel="0" collapsed="false">
      <c r="A81" s="49"/>
      <c r="B81" s="48"/>
      <c r="C81" s="43"/>
      <c r="D81" s="44"/>
      <c r="E81" s="44"/>
      <c r="F81" s="36" t="str">
        <f aca="false">IF(OR(D81="",E81=""),"",IF(IFERROR(INDEX(①出口报关!$I$4:$I$303,MATCH(E81,①出口报关!$A$4:$A$303,0)),"")=D81,"一致","SKU与报关单不符"))</f>
        <v/>
      </c>
      <c r="G81" s="45"/>
      <c r="H81" s="45"/>
      <c r="I81" s="31" t="str">
        <f aca="false">IF(AND(G81="",H81=""),"",N(G81)-N(H81))</f>
        <v/>
      </c>
      <c r="J81" s="46"/>
      <c r="K81" s="46"/>
      <c r="L81" s="34" t="str">
        <f aca="false">IF(AND(J81="",K81=""),"",N(J81)-N(K81))</f>
        <v/>
      </c>
      <c r="M81" s="35" t="str">
        <f aca="false">IF(B81="","",IF(COUNTIFS(③回款收汇!$A$4:$A$203,B81,③回款收汇!$R$4:$R$203,"&gt;0")&gt;0,"已收汇","待收汇"))</f>
        <v/>
      </c>
      <c r="N81" s="41"/>
      <c r="O81" s="41"/>
      <c r="P81" s="35" t="str">
        <f aca="true">IF(N81="","",IF(O81="",IF(TODAY()-N81&gt;15,"已超15天未留存","待留存"),IF(O81-N81&lt;=15,"及时","超期")))</f>
        <v/>
      </c>
      <c r="Q81" s="43"/>
    </row>
    <row r="82" customFormat="false" ht="21.75" hidden="false" customHeight="true" outlineLevel="0" collapsed="false">
      <c r="A82" s="49"/>
      <c r="B82" s="48"/>
      <c r="C82" s="43"/>
      <c r="D82" s="44"/>
      <c r="E82" s="44"/>
      <c r="F82" s="36" t="str">
        <f aca="false">IF(OR(D82="",E82=""),"",IF(IFERROR(INDEX(①出口报关!$I$4:$I$303,MATCH(E82,①出口报关!$A$4:$A$303,0)),"")=D82,"一致","SKU与报关单不符"))</f>
        <v/>
      </c>
      <c r="G82" s="45"/>
      <c r="H82" s="45"/>
      <c r="I82" s="31" t="str">
        <f aca="false">IF(AND(G82="",H82=""),"",N(G82)-N(H82))</f>
        <v/>
      </c>
      <c r="J82" s="46"/>
      <c r="K82" s="46"/>
      <c r="L82" s="34" t="str">
        <f aca="false">IF(AND(J82="",K82=""),"",N(J82)-N(K82))</f>
        <v/>
      </c>
      <c r="M82" s="35" t="str">
        <f aca="false">IF(B82="","",IF(COUNTIFS(③回款收汇!$A$4:$A$203,B82,③回款收汇!$R$4:$R$203,"&gt;0")&gt;0,"已收汇","待收汇"))</f>
        <v/>
      </c>
      <c r="N82" s="41"/>
      <c r="O82" s="41"/>
      <c r="P82" s="35" t="str">
        <f aca="true">IF(N82="","",IF(O82="",IF(TODAY()-N82&gt;15,"已超15天未留存","待留存"),IF(O82-N82&lt;=15,"及时","超期")))</f>
        <v/>
      </c>
      <c r="Q82" s="43"/>
    </row>
    <row r="83" customFormat="false" ht="21.75" hidden="false" customHeight="true" outlineLevel="0" collapsed="false">
      <c r="A83" s="49"/>
      <c r="B83" s="48"/>
      <c r="C83" s="43"/>
      <c r="D83" s="44"/>
      <c r="E83" s="44"/>
      <c r="F83" s="36" t="str">
        <f aca="false">IF(OR(D83="",E83=""),"",IF(IFERROR(INDEX(①出口报关!$I$4:$I$303,MATCH(E83,①出口报关!$A$4:$A$303,0)),"")=D83,"一致","SKU与报关单不符"))</f>
        <v/>
      </c>
      <c r="G83" s="45"/>
      <c r="H83" s="45"/>
      <c r="I83" s="31" t="str">
        <f aca="false">IF(AND(G83="",H83=""),"",N(G83)-N(H83))</f>
        <v/>
      </c>
      <c r="J83" s="46"/>
      <c r="K83" s="46"/>
      <c r="L83" s="34" t="str">
        <f aca="false">IF(AND(J83="",K83=""),"",N(J83)-N(K83))</f>
        <v/>
      </c>
      <c r="M83" s="35" t="str">
        <f aca="false">IF(B83="","",IF(COUNTIFS(③回款收汇!$A$4:$A$203,B83,③回款收汇!$R$4:$R$203,"&gt;0")&gt;0,"已收汇","待收汇"))</f>
        <v/>
      </c>
      <c r="N83" s="41"/>
      <c r="O83" s="41"/>
      <c r="P83" s="35" t="str">
        <f aca="true">IF(N83="","",IF(O83="",IF(TODAY()-N83&gt;15,"已超15天未留存","待留存"),IF(O83-N83&lt;=15,"及时","超期")))</f>
        <v/>
      </c>
      <c r="Q83" s="43"/>
    </row>
    <row r="84" customFormat="false" ht="21.75" hidden="false" customHeight="true" outlineLevel="0" collapsed="false">
      <c r="A84" s="49"/>
      <c r="B84" s="48"/>
      <c r="C84" s="43"/>
      <c r="D84" s="44"/>
      <c r="E84" s="44"/>
      <c r="F84" s="36" t="str">
        <f aca="false">IF(OR(D84="",E84=""),"",IF(IFERROR(INDEX(①出口报关!$I$4:$I$303,MATCH(E84,①出口报关!$A$4:$A$303,0)),"")=D84,"一致","SKU与报关单不符"))</f>
        <v/>
      </c>
      <c r="G84" s="45"/>
      <c r="H84" s="45"/>
      <c r="I84" s="31" t="str">
        <f aca="false">IF(AND(G84="",H84=""),"",N(G84)-N(H84))</f>
        <v/>
      </c>
      <c r="J84" s="46"/>
      <c r="K84" s="46"/>
      <c r="L84" s="34" t="str">
        <f aca="false">IF(AND(J84="",K84=""),"",N(J84)-N(K84))</f>
        <v/>
      </c>
      <c r="M84" s="35" t="str">
        <f aca="false">IF(B84="","",IF(COUNTIFS(③回款收汇!$A$4:$A$203,B84,③回款收汇!$R$4:$R$203,"&gt;0")&gt;0,"已收汇","待收汇"))</f>
        <v/>
      </c>
      <c r="N84" s="41"/>
      <c r="O84" s="41"/>
      <c r="P84" s="35" t="str">
        <f aca="true">IF(N84="","",IF(O84="",IF(TODAY()-N84&gt;15,"已超15天未留存","待留存"),IF(O84-N84&lt;=15,"及时","超期")))</f>
        <v/>
      </c>
      <c r="Q84" s="43"/>
    </row>
    <row r="85" customFormat="false" ht="21.75" hidden="false" customHeight="true" outlineLevel="0" collapsed="false">
      <c r="A85" s="49"/>
      <c r="B85" s="48"/>
      <c r="C85" s="43"/>
      <c r="D85" s="44"/>
      <c r="E85" s="44"/>
      <c r="F85" s="36" t="str">
        <f aca="false">IF(OR(D85="",E85=""),"",IF(IFERROR(INDEX(①出口报关!$I$4:$I$303,MATCH(E85,①出口报关!$A$4:$A$303,0)),"")=D85,"一致","SKU与报关单不符"))</f>
        <v/>
      </c>
      <c r="G85" s="45"/>
      <c r="H85" s="45"/>
      <c r="I85" s="31" t="str">
        <f aca="false">IF(AND(G85="",H85=""),"",N(G85)-N(H85))</f>
        <v/>
      </c>
      <c r="J85" s="46"/>
      <c r="K85" s="46"/>
      <c r="L85" s="34" t="str">
        <f aca="false">IF(AND(J85="",K85=""),"",N(J85)-N(K85))</f>
        <v/>
      </c>
      <c r="M85" s="35" t="str">
        <f aca="false">IF(B85="","",IF(COUNTIFS(③回款收汇!$A$4:$A$203,B85,③回款收汇!$R$4:$R$203,"&gt;0")&gt;0,"已收汇","待收汇"))</f>
        <v/>
      </c>
      <c r="N85" s="41"/>
      <c r="O85" s="41"/>
      <c r="P85" s="35" t="str">
        <f aca="true">IF(N85="","",IF(O85="",IF(TODAY()-N85&gt;15,"已超15天未留存","待留存"),IF(O85-N85&lt;=15,"及时","超期")))</f>
        <v/>
      </c>
      <c r="Q85" s="43"/>
    </row>
    <row r="86" customFormat="false" ht="21.75" hidden="false" customHeight="true" outlineLevel="0" collapsed="false">
      <c r="A86" s="49"/>
      <c r="B86" s="48"/>
      <c r="C86" s="43"/>
      <c r="D86" s="44"/>
      <c r="E86" s="44"/>
      <c r="F86" s="36" t="str">
        <f aca="false">IF(OR(D86="",E86=""),"",IF(IFERROR(INDEX(①出口报关!$I$4:$I$303,MATCH(E86,①出口报关!$A$4:$A$303,0)),"")=D86,"一致","SKU与报关单不符"))</f>
        <v/>
      </c>
      <c r="G86" s="45"/>
      <c r="H86" s="45"/>
      <c r="I86" s="31" t="str">
        <f aca="false">IF(AND(G86="",H86=""),"",N(G86)-N(H86))</f>
        <v/>
      </c>
      <c r="J86" s="46"/>
      <c r="K86" s="46"/>
      <c r="L86" s="34" t="str">
        <f aca="false">IF(AND(J86="",K86=""),"",N(J86)-N(K86))</f>
        <v/>
      </c>
      <c r="M86" s="35" t="str">
        <f aca="false">IF(B86="","",IF(COUNTIFS(③回款收汇!$A$4:$A$203,B86,③回款收汇!$R$4:$R$203,"&gt;0")&gt;0,"已收汇","待收汇"))</f>
        <v/>
      </c>
      <c r="N86" s="41"/>
      <c r="O86" s="41"/>
      <c r="P86" s="35" t="str">
        <f aca="true">IF(N86="","",IF(O86="",IF(TODAY()-N86&gt;15,"已超15天未留存","待留存"),IF(O86-N86&lt;=15,"及时","超期")))</f>
        <v/>
      </c>
      <c r="Q86" s="43"/>
    </row>
    <row r="87" customFormat="false" ht="21.75" hidden="false" customHeight="true" outlineLevel="0" collapsed="false">
      <c r="A87" s="49"/>
      <c r="B87" s="48"/>
      <c r="C87" s="43"/>
      <c r="D87" s="44"/>
      <c r="E87" s="44"/>
      <c r="F87" s="36" t="str">
        <f aca="false">IF(OR(D87="",E87=""),"",IF(IFERROR(INDEX(①出口报关!$I$4:$I$303,MATCH(E87,①出口报关!$A$4:$A$303,0)),"")=D87,"一致","SKU与报关单不符"))</f>
        <v/>
      </c>
      <c r="G87" s="45"/>
      <c r="H87" s="45"/>
      <c r="I87" s="31" t="str">
        <f aca="false">IF(AND(G87="",H87=""),"",N(G87)-N(H87))</f>
        <v/>
      </c>
      <c r="J87" s="46"/>
      <c r="K87" s="46"/>
      <c r="L87" s="34" t="str">
        <f aca="false">IF(AND(J87="",K87=""),"",N(J87)-N(K87))</f>
        <v/>
      </c>
      <c r="M87" s="35" t="str">
        <f aca="false">IF(B87="","",IF(COUNTIFS(③回款收汇!$A$4:$A$203,B87,③回款收汇!$R$4:$R$203,"&gt;0")&gt;0,"已收汇","待收汇"))</f>
        <v/>
      </c>
      <c r="N87" s="41"/>
      <c r="O87" s="41"/>
      <c r="P87" s="35" t="str">
        <f aca="true">IF(N87="","",IF(O87="",IF(TODAY()-N87&gt;15,"已超15天未留存","待留存"),IF(O87-N87&lt;=15,"及时","超期")))</f>
        <v/>
      </c>
      <c r="Q87" s="43"/>
    </row>
    <row r="88" customFormat="false" ht="21.75" hidden="false" customHeight="true" outlineLevel="0" collapsed="false">
      <c r="A88" s="49"/>
      <c r="B88" s="48"/>
      <c r="C88" s="43"/>
      <c r="D88" s="44"/>
      <c r="E88" s="44"/>
      <c r="F88" s="36" t="str">
        <f aca="false">IF(OR(D88="",E88=""),"",IF(IFERROR(INDEX(①出口报关!$I$4:$I$303,MATCH(E88,①出口报关!$A$4:$A$303,0)),"")=D88,"一致","SKU与报关单不符"))</f>
        <v/>
      </c>
      <c r="G88" s="45"/>
      <c r="H88" s="45"/>
      <c r="I88" s="31" t="str">
        <f aca="false">IF(AND(G88="",H88=""),"",N(G88)-N(H88))</f>
        <v/>
      </c>
      <c r="J88" s="46"/>
      <c r="K88" s="46"/>
      <c r="L88" s="34" t="str">
        <f aca="false">IF(AND(J88="",K88=""),"",N(J88)-N(K88))</f>
        <v/>
      </c>
      <c r="M88" s="35" t="str">
        <f aca="false">IF(B88="","",IF(COUNTIFS(③回款收汇!$A$4:$A$203,B88,③回款收汇!$R$4:$R$203,"&gt;0")&gt;0,"已收汇","待收汇"))</f>
        <v/>
      </c>
      <c r="N88" s="41"/>
      <c r="O88" s="41"/>
      <c r="P88" s="35" t="str">
        <f aca="true">IF(N88="","",IF(O88="",IF(TODAY()-N88&gt;15,"已超15天未留存","待留存"),IF(O88-N88&lt;=15,"及时","超期")))</f>
        <v/>
      </c>
      <c r="Q88" s="43"/>
    </row>
    <row r="89" customFormat="false" ht="21.75" hidden="false" customHeight="true" outlineLevel="0" collapsed="false">
      <c r="A89" s="49"/>
      <c r="B89" s="48"/>
      <c r="C89" s="43"/>
      <c r="D89" s="44"/>
      <c r="E89" s="44"/>
      <c r="F89" s="36" t="str">
        <f aca="false">IF(OR(D89="",E89=""),"",IF(IFERROR(INDEX(①出口报关!$I$4:$I$303,MATCH(E89,①出口报关!$A$4:$A$303,0)),"")=D89,"一致","SKU与报关单不符"))</f>
        <v/>
      </c>
      <c r="G89" s="45"/>
      <c r="H89" s="45"/>
      <c r="I89" s="31" t="str">
        <f aca="false">IF(AND(G89="",H89=""),"",N(G89)-N(H89))</f>
        <v/>
      </c>
      <c r="J89" s="46"/>
      <c r="K89" s="46"/>
      <c r="L89" s="34" t="str">
        <f aca="false">IF(AND(J89="",K89=""),"",N(J89)-N(K89))</f>
        <v/>
      </c>
      <c r="M89" s="35" t="str">
        <f aca="false">IF(B89="","",IF(COUNTIFS(③回款收汇!$A$4:$A$203,B89,③回款收汇!$R$4:$R$203,"&gt;0")&gt;0,"已收汇","待收汇"))</f>
        <v/>
      </c>
      <c r="N89" s="41"/>
      <c r="O89" s="41"/>
      <c r="P89" s="35" t="str">
        <f aca="true">IF(N89="","",IF(O89="",IF(TODAY()-N89&gt;15,"已超15天未留存","待留存"),IF(O89-N89&lt;=15,"及时","超期")))</f>
        <v/>
      </c>
      <c r="Q89" s="43"/>
    </row>
    <row r="90" customFormat="false" ht="21.75" hidden="false" customHeight="true" outlineLevel="0" collapsed="false">
      <c r="A90" s="49"/>
      <c r="B90" s="48"/>
      <c r="C90" s="43"/>
      <c r="D90" s="44"/>
      <c r="E90" s="44"/>
      <c r="F90" s="36" t="str">
        <f aca="false">IF(OR(D90="",E90=""),"",IF(IFERROR(INDEX(①出口报关!$I$4:$I$303,MATCH(E90,①出口报关!$A$4:$A$303,0)),"")=D90,"一致","SKU与报关单不符"))</f>
        <v/>
      </c>
      <c r="G90" s="45"/>
      <c r="H90" s="45"/>
      <c r="I90" s="31" t="str">
        <f aca="false">IF(AND(G90="",H90=""),"",N(G90)-N(H90))</f>
        <v/>
      </c>
      <c r="J90" s="46"/>
      <c r="K90" s="46"/>
      <c r="L90" s="34" t="str">
        <f aca="false">IF(AND(J90="",K90=""),"",N(J90)-N(K90))</f>
        <v/>
      </c>
      <c r="M90" s="35" t="str">
        <f aca="false">IF(B90="","",IF(COUNTIFS(③回款收汇!$A$4:$A$203,B90,③回款收汇!$R$4:$R$203,"&gt;0")&gt;0,"已收汇","待收汇"))</f>
        <v/>
      </c>
      <c r="N90" s="41"/>
      <c r="O90" s="41"/>
      <c r="P90" s="35" t="str">
        <f aca="true">IF(N90="","",IF(O90="",IF(TODAY()-N90&gt;15,"已超15天未留存","待留存"),IF(O90-N90&lt;=15,"及时","超期")))</f>
        <v/>
      </c>
      <c r="Q90" s="43"/>
    </row>
    <row r="91" customFormat="false" ht="21.75" hidden="false" customHeight="true" outlineLevel="0" collapsed="false">
      <c r="A91" s="49"/>
      <c r="B91" s="48"/>
      <c r="C91" s="43"/>
      <c r="D91" s="44"/>
      <c r="E91" s="44"/>
      <c r="F91" s="36" t="str">
        <f aca="false">IF(OR(D91="",E91=""),"",IF(IFERROR(INDEX(①出口报关!$I$4:$I$303,MATCH(E91,①出口报关!$A$4:$A$303,0)),"")=D91,"一致","SKU与报关单不符"))</f>
        <v/>
      </c>
      <c r="G91" s="45"/>
      <c r="H91" s="45"/>
      <c r="I91" s="31" t="str">
        <f aca="false">IF(AND(G91="",H91=""),"",N(G91)-N(H91))</f>
        <v/>
      </c>
      <c r="J91" s="46"/>
      <c r="K91" s="46"/>
      <c r="L91" s="34" t="str">
        <f aca="false">IF(AND(J91="",K91=""),"",N(J91)-N(K91))</f>
        <v/>
      </c>
      <c r="M91" s="35" t="str">
        <f aca="false">IF(B91="","",IF(COUNTIFS(③回款收汇!$A$4:$A$203,B91,③回款收汇!$R$4:$R$203,"&gt;0")&gt;0,"已收汇","待收汇"))</f>
        <v/>
      </c>
      <c r="N91" s="41"/>
      <c r="O91" s="41"/>
      <c r="P91" s="35" t="str">
        <f aca="true">IF(N91="","",IF(O91="",IF(TODAY()-N91&gt;15,"已超15天未留存","待留存"),IF(O91-N91&lt;=15,"及时","超期")))</f>
        <v/>
      </c>
      <c r="Q91" s="43"/>
    </row>
    <row r="92" customFormat="false" ht="21.75" hidden="false" customHeight="true" outlineLevel="0" collapsed="false">
      <c r="A92" s="49"/>
      <c r="B92" s="48"/>
      <c r="C92" s="43"/>
      <c r="D92" s="44"/>
      <c r="E92" s="44"/>
      <c r="F92" s="36" t="str">
        <f aca="false">IF(OR(D92="",E92=""),"",IF(IFERROR(INDEX(①出口报关!$I$4:$I$303,MATCH(E92,①出口报关!$A$4:$A$303,0)),"")=D92,"一致","SKU与报关单不符"))</f>
        <v/>
      </c>
      <c r="G92" s="45"/>
      <c r="H92" s="45"/>
      <c r="I92" s="31" t="str">
        <f aca="false">IF(AND(G92="",H92=""),"",N(G92)-N(H92))</f>
        <v/>
      </c>
      <c r="J92" s="46"/>
      <c r="K92" s="46"/>
      <c r="L92" s="34" t="str">
        <f aca="false">IF(AND(J92="",K92=""),"",N(J92)-N(K92))</f>
        <v/>
      </c>
      <c r="M92" s="35" t="str">
        <f aca="false">IF(B92="","",IF(COUNTIFS(③回款收汇!$A$4:$A$203,B92,③回款收汇!$R$4:$R$203,"&gt;0")&gt;0,"已收汇","待收汇"))</f>
        <v/>
      </c>
      <c r="N92" s="41"/>
      <c r="O92" s="41"/>
      <c r="P92" s="35" t="str">
        <f aca="true">IF(N92="","",IF(O92="",IF(TODAY()-N92&gt;15,"已超15天未留存","待留存"),IF(O92-N92&lt;=15,"及时","超期")))</f>
        <v/>
      </c>
      <c r="Q92" s="43"/>
    </row>
    <row r="93" customFormat="false" ht="21.75" hidden="false" customHeight="true" outlineLevel="0" collapsed="false">
      <c r="A93" s="49"/>
      <c r="B93" s="48"/>
      <c r="C93" s="43"/>
      <c r="D93" s="44"/>
      <c r="E93" s="44"/>
      <c r="F93" s="36" t="str">
        <f aca="false">IF(OR(D93="",E93=""),"",IF(IFERROR(INDEX(①出口报关!$I$4:$I$303,MATCH(E93,①出口报关!$A$4:$A$303,0)),"")=D93,"一致","SKU与报关单不符"))</f>
        <v/>
      </c>
      <c r="G93" s="45"/>
      <c r="H93" s="45"/>
      <c r="I93" s="31" t="str">
        <f aca="false">IF(AND(G93="",H93=""),"",N(G93)-N(H93))</f>
        <v/>
      </c>
      <c r="J93" s="46"/>
      <c r="K93" s="46"/>
      <c r="L93" s="34" t="str">
        <f aca="false">IF(AND(J93="",K93=""),"",N(J93)-N(K93))</f>
        <v/>
      </c>
      <c r="M93" s="35" t="str">
        <f aca="false">IF(B93="","",IF(COUNTIFS(③回款收汇!$A$4:$A$203,B93,③回款收汇!$R$4:$R$203,"&gt;0")&gt;0,"已收汇","待收汇"))</f>
        <v/>
      </c>
      <c r="N93" s="41"/>
      <c r="O93" s="41"/>
      <c r="P93" s="35" t="str">
        <f aca="true">IF(N93="","",IF(O93="",IF(TODAY()-N93&gt;15,"已超15天未留存","待留存"),IF(O93-N93&lt;=15,"及时","超期")))</f>
        <v/>
      </c>
      <c r="Q93" s="43"/>
    </row>
    <row r="94" customFormat="false" ht="21.75" hidden="false" customHeight="true" outlineLevel="0" collapsed="false">
      <c r="A94" s="49"/>
      <c r="B94" s="48"/>
      <c r="C94" s="43"/>
      <c r="D94" s="44"/>
      <c r="E94" s="44"/>
      <c r="F94" s="36" t="str">
        <f aca="false">IF(OR(D94="",E94=""),"",IF(IFERROR(INDEX(①出口报关!$I$4:$I$303,MATCH(E94,①出口报关!$A$4:$A$303,0)),"")=D94,"一致","SKU与报关单不符"))</f>
        <v/>
      </c>
      <c r="G94" s="45"/>
      <c r="H94" s="45"/>
      <c r="I94" s="31" t="str">
        <f aca="false">IF(AND(G94="",H94=""),"",N(G94)-N(H94))</f>
        <v/>
      </c>
      <c r="J94" s="46"/>
      <c r="K94" s="46"/>
      <c r="L94" s="34" t="str">
        <f aca="false">IF(AND(J94="",K94=""),"",N(J94)-N(K94))</f>
        <v/>
      </c>
      <c r="M94" s="35" t="str">
        <f aca="false">IF(B94="","",IF(COUNTIFS(③回款收汇!$A$4:$A$203,B94,③回款收汇!$R$4:$R$203,"&gt;0")&gt;0,"已收汇","待收汇"))</f>
        <v/>
      </c>
      <c r="N94" s="41"/>
      <c r="O94" s="41"/>
      <c r="P94" s="35" t="str">
        <f aca="true">IF(N94="","",IF(O94="",IF(TODAY()-N94&gt;15,"已超15天未留存","待留存"),IF(O94-N94&lt;=15,"及时","超期")))</f>
        <v/>
      </c>
      <c r="Q94" s="43"/>
    </row>
    <row r="95" customFormat="false" ht="21.75" hidden="false" customHeight="true" outlineLevel="0" collapsed="false">
      <c r="A95" s="49"/>
      <c r="B95" s="48"/>
      <c r="C95" s="43"/>
      <c r="D95" s="44"/>
      <c r="E95" s="44"/>
      <c r="F95" s="36" t="str">
        <f aca="false">IF(OR(D95="",E95=""),"",IF(IFERROR(INDEX(①出口报关!$I$4:$I$303,MATCH(E95,①出口报关!$A$4:$A$303,0)),"")=D95,"一致","SKU与报关单不符"))</f>
        <v/>
      </c>
      <c r="G95" s="45"/>
      <c r="H95" s="45"/>
      <c r="I95" s="31" t="str">
        <f aca="false">IF(AND(G95="",H95=""),"",N(G95)-N(H95))</f>
        <v/>
      </c>
      <c r="J95" s="46"/>
      <c r="K95" s="46"/>
      <c r="L95" s="34" t="str">
        <f aca="false">IF(AND(J95="",K95=""),"",N(J95)-N(K95))</f>
        <v/>
      </c>
      <c r="M95" s="35" t="str">
        <f aca="false">IF(B95="","",IF(COUNTIFS(③回款收汇!$A$4:$A$203,B95,③回款收汇!$R$4:$R$203,"&gt;0")&gt;0,"已收汇","待收汇"))</f>
        <v/>
      </c>
      <c r="N95" s="41"/>
      <c r="O95" s="41"/>
      <c r="P95" s="35" t="str">
        <f aca="true">IF(N95="","",IF(O95="",IF(TODAY()-N95&gt;15,"已超15天未留存","待留存"),IF(O95-N95&lt;=15,"及时","超期")))</f>
        <v/>
      </c>
      <c r="Q95" s="43"/>
    </row>
    <row r="96" customFormat="false" ht="21.75" hidden="false" customHeight="true" outlineLevel="0" collapsed="false">
      <c r="A96" s="49"/>
      <c r="B96" s="48"/>
      <c r="C96" s="43"/>
      <c r="D96" s="44"/>
      <c r="E96" s="44"/>
      <c r="F96" s="36" t="str">
        <f aca="false">IF(OR(D96="",E96=""),"",IF(IFERROR(INDEX(①出口报关!$I$4:$I$303,MATCH(E96,①出口报关!$A$4:$A$303,0)),"")=D96,"一致","SKU与报关单不符"))</f>
        <v/>
      </c>
      <c r="G96" s="45"/>
      <c r="H96" s="45"/>
      <c r="I96" s="31" t="str">
        <f aca="false">IF(AND(G96="",H96=""),"",N(G96)-N(H96))</f>
        <v/>
      </c>
      <c r="J96" s="46"/>
      <c r="K96" s="46"/>
      <c r="L96" s="34" t="str">
        <f aca="false">IF(AND(J96="",K96=""),"",N(J96)-N(K96))</f>
        <v/>
      </c>
      <c r="M96" s="35" t="str">
        <f aca="false">IF(B96="","",IF(COUNTIFS(③回款收汇!$A$4:$A$203,B96,③回款收汇!$R$4:$R$203,"&gt;0")&gt;0,"已收汇","待收汇"))</f>
        <v/>
      </c>
      <c r="N96" s="41"/>
      <c r="O96" s="41"/>
      <c r="P96" s="35" t="str">
        <f aca="true">IF(N96="","",IF(O96="",IF(TODAY()-N96&gt;15,"已超15天未留存","待留存"),IF(O96-N96&lt;=15,"及时","超期")))</f>
        <v/>
      </c>
      <c r="Q96" s="43"/>
    </row>
    <row r="97" customFormat="false" ht="21.75" hidden="false" customHeight="true" outlineLevel="0" collapsed="false">
      <c r="A97" s="49"/>
      <c r="B97" s="48"/>
      <c r="C97" s="43"/>
      <c r="D97" s="44"/>
      <c r="E97" s="44"/>
      <c r="F97" s="36" t="str">
        <f aca="false">IF(OR(D97="",E97=""),"",IF(IFERROR(INDEX(①出口报关!$I$4:$I$303,MATCH(E97,①出口报关!$A$4:$A$303,0)),"")=D97,"一致","SKU与报关单不符"))</f>
        <v/>
      </c>
      <c r="G97" s="45"/>
      <c r="H97" s="45"/>
      <c r="I97" s="31" t="str">
        <f aca="false">IF(AND(G97="",H97=""),"",N(G97)-N(H97))</f>
        <v/>
      </c>
      <c r="J97" s="46"/>
      <c r="K97" s="46"/>
      <c r="L97" s="34" t="str">
        <f aca="false">IF(AND(J97="",K97=""),"",N(J97)-N(K97))</f>
        <v/>
      </c>
      <c r="M97" s="35" t="str">
        <f aca="false">IF(B97="","",IF(COUNTIFS(③回款收汇!$A$4:$A$203,B97,③回款收汇!$R$4:$R$203,"&gt;0")&gt;0,"已收汇","待收汇"))</f>
        <v/>
      </c>
      <c r="N97" s="41"/>
      <c r="O97" s="41"/>
      <c r="P97" s="35" t="str">
        <f aca="true">IF(N97="","",IF(O97="",IF(TODAY()-N97&gt;15,"已超15天未留存","待留存"),IF(O97-N97&lt;=15,"及时","超期")))</f>
        <v/>
      </c>
      <c r="Q97" s="43"/>
    </row>
    <row r="98" customFormat="false" ht="21.75" hidden="false" customHeight="true" outlineLevel="0" collapsed="false">
      <c r="A98" s="49"/>
      <c r="B98" s="48"/>
      <c r="C98" s="43"/>
      <c r="D98" s="44"/>
      <c r="E98" s="44"/>
      <c r="F98" s="36" t="str">
        <f aca="false">IF(OR(D98="",E98=""),"",IF(IFERROR(INDEX(①出口报关!$I$4:$I$303,MATCH(E98,①出口报关!$A$4:$A$303,0)),"")=D98,"一致","SKU与报关单不符"))</f>
        <v/>
      </c>
      <c r="G98" s="45"/>
      <c r="H98" s="45"/>
      <c r="I98" s="31" t="str">
        <f aca="false">IF(AND(G98="",H98=""),"",N(G98)-N(H98))</f>
        <v/>
      </c>
      <c r="J98" s="46"/>
      <c r="K98" s="46"/>
      <c r="L98" s="34" t="str">
        <f aca="false">IF(AND(J98="",K98=""),"",N(J98)-N(K98))</f>
        <v/>
      </c>
      <c r="M98" s="35" t="str">
        <f aca="false">IF(B98="","",IF(COUNTIFS(③回款收汇!$A$4:$A$203,B98,③回款收汇!$R$4:$R$203,"&gt;0")&gt;0,"已收汇","待收汇"))</f>
        <v/>
      </c>
      <c r="N98" s="41"/>
      <c r="O98" s="41"/>
      <c r="P98" s="35" t="str">
        <f aca="true">IF(N98="","",IF(O98="",IF(TODAY()-N98&gt;15,"已超15天未留存","待留存"),IF(O98-N98&lt;=15,"及时","超期")))</f>
        <v/>
      </c>
      <c r="Q98" s="43"/>
    </row>
    <row r="99" customFormat="false" ht="21.75" hidden="false" customHeight="true" outlineLevel="0" collapsed="false">
      <c r="A99" s="49"/>
      <c r="B99" s="48"/>
      <c r="C99" s="43"/>
      <c r="D99" s="44"/>
      <c r="E99" s="44"/>
      <c r="F99" s="36" t="str">
        <f aca="false">IF(OR(D99="",E99=""),"",IF(IFERROR(INDEX(①出口报关!$I$4:$I$303,MATCH(E99,①出口报关!$A$4:$A$303,0)),"")=D99,"一致","SKU与报关单不符"))</f>
        <v/>
      </c>
      <c r="G99" s="45"/>
      <c r="H99" s="45"/>
      <c r="I99" s="31" t="str">
        <f aca="false">IF(AND(G99="",H99=""),"",N(G99)-N(H99))</f>
        <v/>
      </c>
      <c r="J99" s="46"/>
      <c r="K99" s="46"/>
      <c r="L99" s="34" t="str">
        <f aca="false">IF(AND(J99="",K99=""),"",N(J99)-N(K99))</f>
        <v/>
      </c>
      <c r="M99" s="35" t="str">
        <f aca="false">IF(B99="","",IF(COUNTIFS(③回款收汇!$A$4:$A$203,B99,③回款收汇!$R$4:$R$203,"&gt;0")&gt;0,"已收汇","待收汇"))</f>
        <v/>
      </c>
      <c r="N99" s="41"/>
      <c r="O99" s="41"/>
      <c r="P99" s="35" t="str">
        <f aca="true">IF(N99="","",IF(O99="",IF(TODAY()-N99&gt;15,"已超15天未留存","待留存"),IF(O99-N99&lt;=15,"及时","超期")))</f>
        <v/>
      </c>
      <c r="Q99" s="43"/>
    </row>
    <row r="100" customFormat="false" ht="21.75" hidden="false" customHeight="true" outlineLevel="0" collapsed="false">
      <c r="A100" s="49"/>
      <c r="B100" s="48"/>
      <c r="C100" s="43"/>
      <c r="D100" s="44"/>
      <c r="E100" s="44"/>
      <c r="F100" s="36" t="str">
        <f aca="false">IF(OR(D100="",E100=""),"",IF(IFERROR(INDEX(①出口报关!$I$4:$I$303,MATCH(E100,①出口报关!$A$4:$A$303,0)),"")=D100,"一致","SKU与报关单不符"))</f>
        <v/>
      </c>
      <c r="G100" s="45"/>
      <c r="H100" s="45"/>
      <c r="I100" s="31" t="str">
        <f aca="false">IF(AND(G100="",H100=""),"",N(G100)-N(H100))</f>
        <v/>
      </c>
      <c r="J100" s="46"/>
      <c r="K100" s="46"/>
      <c r="L100" s="34" t="str">
        <f aca="false">IF(AND(J100="",K100=""),"",N(J100)-N(K100))</f>
        <v/>
      </c>
      <c r="M100" s="35" t="str">
        <f aca="false">IF(B100="","",IF(COUNTIFS(③回款收汇!$A$4:$A$203,B100,③回款收汇!$R$4:$R$203,"&gt;0")&gt;0,"已收汇","待收汇"))</f>
        <v/>
      </c>
      <c r="N100" s="41"/>
      <c r="O100" s="41"/>
      <c r="P100" s="35" t="str">
        <f aca="true">IF(N100="","",IF(O100="",IF(TODAY()-N100&gt;15,"已超15天未留存","待留存"),IF(O100-N100&lt;=15,"及时","超期")))</f>
        <v/>
      </c>
      <c r="Q100" s="43"/>
    </row>
    <row r="101" customFormat="false" ht="21.75" hidden="false" customHeight="true" outlineLevel="0" collapsed="false">
      <c r="A101" s="49"/>
      <c r="B101" s="48"/>
      <c r="C101" s="43"/>
      <c r="D101" s="44"/>
      <c r="E101" s="44"/>
      <c r="F101" s="36" t="str">
        <f aca="false">IF(OR(D101="",E101=""),"",IF(IFERROR(INDEX(①出口报关!$I$4:$I$303,MATCH(E101,①出口报关!$A$4:$A$303,0)),"")=D101,"一致","SKU与报关单不符"))</f>
        <v/>
      </c>
      <c r="G101" s="45"/>
      <c r="H101" s="45"/>
      <c r="I101" s="31" t="str">
        <f aca="false">IF(AND(G101="",H101=""),"",N(G101)-N(H101))</f>
        <v/>
      </c>
      <c r="J101" s="46"/>
      <c r="K101" s="46"/>
      <c r="L101" s="34" t="str">
        <f aca="false">IF(AND(J101="",K101=""),"",N(J101)-N(K101))</f>
        <v/>
      </c>
      <c r="M101" s="35" t="str">
        <f aca="false">IF(B101="","",IF(COUNTIFS(③回款收汇!$A$4:$A$203,B101,③回款收汇!$R$4:$R$203,"&gt;0")&gt;0,"已收汇","待收汇"))</f>
        <v/>
      </c>
      <c r="N101" s="41"/>
      <c r="O101" s="41"/>
      <c r="P101" s="35" t="str">
        <f aca="true">IF(N101="","",IF(O101="",IF(TODAY()-N101&gt;15,"已超15天未留存","待留存"),IF(O101-N101&lt;=15,"及时","超期")))</f>
        <v/>
      </c>
      <c r="Q101" s="43"/>
    </row>
    <row r="102" customFormat="false" ht="21.75" hidden="false" customHeight="true" outlineLevel="0" collapsed="false">
      <c r="A102" s="49"/>
      <c r="B102" s="48"/>
      <c r="C102" s="43"/>
      <c r="D102" s="44"/>
      <c r="E102" s="44"/>
      <c r="F102" s="36" t="str">
        <f aca="false">IF(OR(D102="",E102=""),"",IF(IFERROR(INDEX(①出口报关!$I$4:$I$303,MATCH(E102,①出口报关!$A$4:$A$303,0)),"")=D102,"一致","SKU与报关单不符"))</f>
        <v/>
      </c>
      <c r="G102" s="45"/>
      <c r="H102" s="45"/>
      <c r="I102" s="31" t="str">
        <f aca="false">IF(AND(G102="",H102=""),"",N(G102)-N(H102))</f>
        <v/>
      </c>
      <c r="J102" s="46"/>
      <c r="K102" s="46"/>
      <c r="L102" s="34" t="str">
        <f aca="false">IF(AND(J102="",K102=""),"",N(J102)-N(K102))</f>
        <v/>
      </c>
      <c r="M102" s="35" t="str">
        <f aca="false">IF(B102="","",IF(COUNTIFS(③回款收汇!$A$4:$A$203,B102,③回款收汇!$R$4:$R$203,"&gt;0")&gt;0,"已收汇","待收汇"))</f>
        <v/>
      </c>
      <c r="N102" s="41"/>
      <c r="O102" s="41"/>
      <c r="P102" s="35" t="str">
        <f aca="true">IF(N102="","",IF(O102="",IF(TODAY()-N102&gt;15,"已超15天未留存","待留存"),IF(O102-N102&lt;=15,"及时","超期")))</f>
        <v/>
      </c>
      <c r="Q102" s="43"/>
    </row>
    <row r="103" customFormat="false" ht="21.75" hidden="false" customHeight="true" outlineLevel="0" collapsed="false">
      <c r="A103" s="49"/>
      <c r="B103" s="48"/>
      <c r="C103" s="43"/>
      <c r="D103" s="44"/>
      <c r="E103" s="44"/>
      <c r="F103" s="36" t="str">
        <f aca="false">IF(OR(D103="",E103=""),"",IF(IFERROR(INDEX(①出口报关!$I$4:$I$303,MATCH(E103,①出口报关!$A$4:$A$303,0)),"")=D103,"一致","SKU与报关单不符"))</f>
        <v/>
      </c>
      <c r="G103" s="45"/>
      <c r="H103" s="45"/>
      <c r="I103" s="31" t="str">
        <f aca="false">IF(AND(G103="",H103=""),"",N(G103)-N(H103))</f>
        <v/>
      </c>
      <c r="J103" s="46"/>
      <c r="K103" s="46"/>
      <c r="L103" s="34" t="str">
        <f aca="false">IF(AND(J103="",K103=""),"",N(J103)-N(K103))</f>
        <v/>
      </c>
      <c r="M103" s="35" t="str">
        <f aca="false">IF(B103="","",IF(COUNTIFS(③回款收汇!$A$4:$A$203,B103,③回款收汇!$R$4:$R$203,"&gt;0")&gt;0,"已收汇","待收汇"))</f>
        <v/>
      </c>
      <c r="N103" s="41"/>
      <c r="O103" s="41"/>
      <c r="P103" s="35" t="str">
        <f aca="true">IF(N103="","",IF(O103="",IF(TODAY()-N103&gt;15,"已超15天未留存","待留存"),IF(O103-N103&lt;=15,"及时","超期")))</f>
        <v/>
      </c>
      <c r="Q103" s="43"/>
    </row>
    <row r="104" customFormat="false" ht="21.75" hidden="false" customHeight="true" outlineLevel="0" collapsed="false">
      <c r="A104" s="49"/>
      <c r="B104" s="48"/>
      <c r="C104" s="43"/>
      <c r="D104" s="44"/>
      <c r="E104" s="44"/>
      <c r="F104" s="36" t="str">
        <f aca="false">IF(OR(D104="",E104=""),"",IF(IFERROR(INDEX(①出口报关!$I$4:$I$303,MATCH(E104,①出口报关!$A$4:$A$303,0)),"")=D104,"一致","SKU与报关单不符"))</f>
        <v/>
      </c>
      <c r="G104" s="45"/>
      <c r="H104" s="45"/>
      <c r="I104" s="31" t="str">
        <f aca="false">IF(AND(G104="",H104=""),"",N(G104)-N(H104))</f>
        <v/>
      </c>
      <c r="J104" s="46"/>
      <c r="K104" s="46"/>
      <c r="L104" s="34" t="str">
        <f aca="false">IF(AND(J104="",K104=""),"",N(J104)-N(K104))</f>
        <v/>
      </c>
      <c r="M104" s="35" t="str">
        <f aca="false">IF(B104="","",IF(COUNTIFS(③回款收汇!$A$4:$A$203,B104,③回款收汇!$R$4:$R$203,"&gt;0")&gt;0,"已收汇","待收汇"))</f>
        <v/>
      </c>
      <c r="N104" s="41"/>
      <c r="O104" s="41"/>
      <c r="P104" s="35" t="str">
        <f aca="true">IF(N104="","",IF(O104="",IF(TODAY()-N104&gt;15,"已超15天未留存","待留存"),IF(O104-N104&lt;=15,"及时","超期")))</f>
        <v/>
      </c>
      <c r="Q104" s="43"/>
    </row>
    <row r="105" customFormat="false" ht="21.75" hidden="false" customHeight="true" outlineLevel="0" collapsed="false">
      <c r="A105" s="49"/>
      <c r="B105" s="48"/>
      <c r="C105" s="43"/>
      <c r="D105" s="44"/>
      <c r="E105" s="44"/>
      <c r="F105" s="36" t="str">
        <f aca="false">IF(OR(D105="",E105=""),"",IF(IFERROR(INDEX(①出口报关!$I$4:$I$303,MATCH(E105,①出口报关!$A$4:$A$303,0)),"")=D105,"一致","SKU与报关单不符"))</f>
        <v/>
      </c>
      <c r="G105" s="45"/>
      <c r="H105" s="45"/>
      <c r="I105" s="31" t="str">
        <f aca="false">IF(AND(G105="",H105=""),"",N(G105)-N(H105))</f>
        <v/>
      </c>
      <c r="J105" s="46"/>
      <c r="K105" s="46"/>
      <c r="L105" s="34" t="str">
        <f aca="false">IF(AND(J105="",K105=""),"",N(J105)-N(K105))</f>
        <v/>
      </c>
      <c r="M105" s="35" t="str">
        <f aca="false">IF(B105="","",IF(COUNTIFS(③回款收汇!$A$4:$A$203,B105,③回款收汇!$R$4:$R$203,"&gt;0")&gt;0,"已收汇","待收汇"))</f>
        <v/>
      </c>
      <c r="N105" s="41"/>
      <c r="O105" s="41"/>
      <c r="P105" s="35" t="str">
        <f aca="true">IF(N105="","",IF(O105="",IF(TODAY()-N105&gt;15,"已超15天未留存","待留存"),IF(O105-N105&lt;=15,"及时","超期")))</f>
        <v/>
      </c>
      <c r="Q105" s="43"/>
    </row>
    <row r="106" customFormat="false" ht="21.75" hidden="false" customHeight="true" outlineLevel="0" collapsed="false">
      <c r="A106" s="49"/>
      <c r="B106" s="48"/>
      <c r="C106" s="43"/>
      <c r="D106" s="44"/>
      <c r="E106" s="44"/>
      <c r="F106" s="36" t="str">
        <f aca="false">IF(OR(D106="",E106=""),"",IF(IFERROR(INDEX(①出口报关!$I$4:$I$303,MATCH(E106,①出口报关!$A$4:$A$303,0)),"")=D106,"一致","SKU与报关单不符"))</f>
        <v/>
      </c>
      <c r="G106" s="45"/>
      <c r="H106" s="45"/>
      <c r="I106" s="31" t="str">
        <f aca="false">IF(AND(G106="",H106=""),"",N(G106)-N(H106))</f>
        <v/>
      </c>
      <c r="J106" s="46"/>
      <c r="K106" s="46"/>
      <c r="L106" s="34" t="str">
        <f aca="false">IF(AND(J106="",K106=""),"",N(J106)-N(K106))</f>
        <v/>
      </c>
      <c r="M106" s="35" t="str">
        <f aca="false">IF(B106="","",IF(COUNTIFS(③回款收汇!$A$4:$A$203,B106,③回款收汇!$R$4:$R$203,"&gt;0")&gt;0,"已收汇","待收汇"))</f>
        <v/>
      </c>
      <c r="N106" s="41"/>
      <c r="O106" s="41"/>
      <c r="P106" s="35" t="str">
        <f aca="true">IF(N106="","",IF(O106="",IF(TODAY()-N106&gt;15,"已超15天未留存","待留存"),IF(O106-N106&lt;=15,"及时","超期")))</f>
        <v/>
      </c>
      <c r="Q106" s="43"/>
    </row>
    <row r="107" customFormat="false" ht="21.75" hidden="false" customHeight="true" outlineLevel="0" collapsed="false">
      <c r="A107" s="49"/>
      <c r="B107" s="48"/>
      <c r="C107" s="43"/>
      <c r="D107" s="44"/>
      <c r="E107" s="44"/>
      <c r="F107" s="36" t="str">
        <f aca="false">IF(OR(D107="",E107=""),"",IF(IFERROR(INDEX(①出口报关!$I$4:$I$303,MATCH(E107,①出口报关!$A$4:$A$303,0)),"")=D107,"一致","SKU与报关单不符"))</f>
        <v/>
      </c>
      <c r="G107" s="45"/>
      <c r="H107" s="45"/>
      <c r="I107" s="31" t="str">
        <f aca="false">IF(AND(G107="",H107=""),"",N(G107)-N(H107))</f>
        <v/>
      </c>
      <c r="J107" s="46"/>
      <c r="K107" s="46"/>
      <c r="L107" s="34" t="str">
        <f aca="false">IF(AND(J107="",K107=""),"",N(J107)-N(K107))</f>
        <v/>
      </c>
      <c r="M107" s="35" t="str">
        <f aca="false">IF(B107="","",IF(COUNTIFS(③回款收汇!$A$4:$A$203,B107,③回款收汇!$R$4:$R$203,"&gt;0")&gt;0,"已收汇","待收汇"))</f>
        <v/>
      </c>
      <c r="N107" s="41"/>
      <c r="O107" s="41"/>
      <c r="P107" s="35" t="str">
        <f aca="true">IF(N107="","",IF(O107="",IF(TODAY()-N107&gt;15,"已超15天未留存","待留存"),IF(O107-N107&lt;=15,"及时","超期")))</f>
        <v/>
      </c>
      <c r="Q107" s="43"/>
    </row>
    <row r="108" customFormat="false" ht="21.75" hidden="false" customHeight="true" outlineLevel="0" collapsed="false">
      <c r="A108" s="49"/>
      <c r="B108" s="48"/>
      <c r="C108" s="43"/>
      <c r="D108" s="44"/>
      <c r="E108" s="44"/>
      <c r="F108" s="36" t="str">
        <f aca="false">IF(OR(D108="",E108=""),"",IF(IFERROR(INDEX(①出口报关!$I$4:$I$303,MATCH(E108,①出口报关!$A$4:$A$303,0)),"")=D108,"一致","SKU与报关单不符"))</f>
        <v/>
      </c>
      <c r="G108" s="45"/>
      <c r="H108" s="45"/>
      <c r="I108" s="31" t="str">
        <f aca="false">IF(AND(G108="",H108=""),"",N(G108)-N(H108))</f>
        <v/>
      </c>
      <c r="J108" s="46"/>
      <c r="K108" s="46"/>
      <c r="L108" s="34" t="str">
        <f aca="false">IF(AND(J108="",K108=""),"",N(J108)-N(K108))</f>
        <v/>
      </c>
      <c r="M108" s="35" t="str">
        <f aca="false">IF(B108="","",IF(COUNTIFS(③回款收汇!$A$4:$A$203,B108,③回款收汇!$R$4:$R$203,"&gt;0")&gt;0,"已收汇","待收汇"))</f>
        <v/>
      </c>
      <c r="N108" s="41"/>
      <c r="O108" s="41"/>
      <c r="P108" s="35" t="str">
        <f aca="true">IF(N108="","",IF(O108="",IF(TODAY()-N108&gt;15,"已超15天未留存","待留存"),IF(O108-N108&lt;=15,"及时","超期")))</f>
        <v/>
      </c>
      <c r="Q108" s="43"/>
    </row>
    <row r="109" customFormat="false" ht="21.75" hidden="false" customHeight="true" outlineLevel="0" collapsed="false">
      <c r="A109" s="49"/>
      <c r="B109" s="48"/>
      <c r="C109" s="43"/>
      <c r="D109" s="44"/>
      <c r="E109" s="44"/>
      <c r="F109" s="36" t="str">
        <f aca="false">IF(OR(D109="",E109=""),"",IF(IFERROR(INDEX(①出口报关!$I$4:$I$303,MATCH(E109,①出口报关!$A$4:$A$303,0)),"")=D109,"一致","SKU与报关单不符"))</f>
        <v/>
      </c>
      <c r="G109" s="45"/>
      <c r="H109" s="45"/>
      <c r="I109" s="31" t="str">
        <f aca="false">IF(AND(G109="",H109=""),"",N(G109)-N(H109))</f>
        <v/>
      </c>
      <c r="J109" s="46"/>
      <c r="K109" s="46"/>
      <c r="L109" s="34" t="str">
        <f aca="false">IF(AND(J109="",K109=""),"",N(J109)-N(K109))</f>
        <v/>
      </c>
      <c r="M109" s="35" t="str">
        <f aca="false">IF(B109="","",IF(COUNTIFS(③回款收汇!$A$4:$A$203,B109,③回款收汇!$R$4:$R$203,"&gt;0")&gt;0,"已收汇","待收汇"))</f>
        <v/>
      </c>
      <c r="N109" s="41"/>
      <c r="O109" s="41"/>
      <c r="P109" s="35" t="str">
        <f aca="true">IF(N109="","",IF(O109="",IF(TODAY()-N109&gt;15,"已超15天未留存","待留存"),IF(O109-N109&lt;=15,"及时","超期")))</f>
        <v/>
      </c>
      <c r="Q109" s="43"/>
    </row>
    <row r="110" customFormat="false" ht="21.75" hidden="false" customHeight="true" outlineLevel="0" collapsed="false">
      <c r="A110" s="49"/>
      <c r="B110" s="48"/>
      <c r="C110" s="43"/>
      <c r="D110" s="44"/>
      <c r="E110" s="44"/>
      <c r="F110" s="36" t="str">
        <f aca="false">IF(OR(D110="",E110=""),"",IF(IFERROR(INDEX(①出口报关!$I$4:$I$303,MATCH(E110,①出口报关!$A$4:$A$303,0)),"")=D110,"一致","SKU与报关单不符"))</f>
        <v/>
      </c>
      <c r="G110" s="45"/>
      <c r="H110" s="45"/>
      <c r="I110" s="31" t="str">
        <f aca="false">IF(AND(G110="",H110=""),"",N(G110)-N(H110))</f>
        <v/>
      </c>
      <c r="J110" s="46"/>
      <c r="K110" s="46"/>
      <c r="L110" s="34" t="str">
        <f aca="false">IF(AND(J110="",K110=""),"",N(J110)-N(K110))</f>
        <v/>
      </c>
      <c r="M110" s="35" t="str">
        <f aca="false">IF(B110="","",IF(COUNTIFS(③回款收汇!$A$4:$A$203,B110,③回款收汇!$R$4:$R$203,"&gt;0")&gt;0,"已收汇","待收汇"))</f>
        <v/>
      </c>
      <c r="N110" s="41"/>
      <c r="O110" s="41"/>
      <c r="P110" s="35" t="str">
        <f aca="true">IF(N110="","",IF(O110="",IF(TODAY()-N110&gt;15,"已超15天未留存","待留存"),IF(O110-N110&lt;=15,"及时","超期")))</f>
        <v/>
      </c>
      <c r="Q110" s="43"/>
    </row>
    <row r="111" customFormat="false" ht="21.75" hidden="false" customHeight="true" outlineLevel="0" collapsed="false">
      <c r="A111" s="49"/>
      <c r="B111" s="48"/>
      <c r="C111" s="43"/>
      <c r="D111" s="44"/>
      <c r="E111" s="44"/>
      <c r="F111" s="36" t="str">
        <f aca="false">IF(OR(D111="",E111=""),"",IF(IFERROR(INDEX(①出口报关!$I$4:$I$303,MATCH(E111,①出口报关!$A$4:$A$303,0)),"")=D111,"一致","SKU与报关单不符"))</f>
        <v/>
      </c>
      <c r="G111" s="45"/>
      <c r="H111" s="45"/>
      <c r="I111" s="31" t="str">
        <f aca="false">IF(AND(G111="",H111=""),"",N(G111)-N(H111))</f>
        <v/>
      </c>
      <c r="J111" s="46"/>
      <c r="K111" s="46"/>
      <c r="L111" s="34" t="str">
        <f aca="false">IF(AND(J111="",K111=""),"",N(J111)-N(K111))</f>
        <v/>
      </c>
      <c r="M111" s="35" t="str">
        <f aca="false">IF(B111="","",IF(COUNTIFS(③回款收汇!$A$4:$A$203,B111,③回款收汇!$R$4:$R$203,"&gt;0")&gt;0,"已收汇","待收汇"))</f>
        <v/>
      </c>
      <c r="N111" s="41"/>
      <c r="O111" s="41"/>
      <c r="P111" s="35" t="str">
        <f aca="true">IF(N111="","",IF(O111="",IF(TODAY()-N111&gt;15,"已超15天未留存","待留存"),IF(O111-N111&lt;=15,"及时","超期")))</f>
        <v/>
      </c>
      <c r="Q111" s="43"/>
    </row>
    <row r="112" customFormat="false" ht="21.75" hidden="false" customHeight="true" outlineLevel="0" collapsed="false">
      <c r="A112" s="49"/>
      <c r="B112" s="48"/>
      <c r="C112" s="43"/>
      <c r="D112" s="44"/>
      <c r="E112" s="44"/>
      <c r="F112" s="36" t="str">
        <f aca="false">IF(OR(D112="",E112=""),"",IF(IFERROR(INDEX(①出口报关!$I$4:$I$303,MATCH(E112,①出口报关!$A$4:$A$303,0)),"")=D112,"一致","SKU与报关单不符"))</f>
        <v/>
      </c>
      <c r="G112" s="45"/>
      <c r="H112" s="45"/>
      <c r="I112" s="31" t="str">
        <f aca="false">IF(AND(G112="",H112=""),"",N(G112)-N(H112))</f>
        <v/>
      </c>
      <c r="J112" s="46"/>
      <c r="K112" s="46"/>
      <c r="L112" s="34" t="str">
        <f aca="false">IF(AND(J112="",K112=""),"",N(J112)-N(K112))</f>
        <v/>
      </c>
      <c r="M112" s="35" t="str">
        <f aca="false">IF(B112="","",IF(COUNTIFS(③回款收汇!$A$4:$A$203,B112,③回款收汇!$R$4:$R$203,"&gt;0")&gt;0,"已收汇","待收汇"))</f>
        <v/>
      </c>
      <c r="N112" s="41"/>
      <c r="O112" s="41"/>
      <c r="P112" s="35" t="str">
        <f aca="true">IF(N112="","",IF(O112="",IF(TODAY()-N112&gt;15,"已超15天未留存","待留存"),IF(O112-N112&lt;=15,"及时","超期")))</f>
        <v/>
      </c>
      <c r="Q112" s="43"/>
    </row>
    <row r="113" customFormat="false" ht="21.75" hidden="false" customHeight="true" outlineLevel="0" collapsed="false">
      <c r="A113" s="49"/>
      <c r="B113" s="48"/>
      <c r="C113" s="43"/>
      <c r="D113" s="44"/>
      <c r="E113" s="44"/>
      <c r="F113" s="36" t="str">
        <f aca="false">IF(OR(D113="",E113=""),"",IF(IFERROR(INDEX(①出口报关!$I$4:$I$303,MATCH(E113,①出口报关!$A$4:$A$303,0)),"")=D113,"一致","SKU与报关单不符"))</f>
        <v/>
      </c>
      <c r="G113" s="45"/>
      <c r="H113" s="45"/>
      <c r="I113" s="31" t="str">
        <f aca="false">IF(AND(G113="",H113=""),"",N(G113)-N(H113))</f>
        <v/>
      </c>
      <c r="J113" s="46"/>
      <c r="K113" s="46"/>
      <c r="L113" s="34" t="str">
        <f aca="false">IF(AND(J113="",K113=""),"",N(J113)-N(K113))</f>
        <v/>
      </c>
      <c r="M113" s="35" t="str">
        <f aca="false">IF(B113="","",IF(COUNTIFS(③回款收汇!$A$4:$A$203,B113,③回款收汇!$R$4:$R$203,"&gt;0")&gt;0,"已收汇","待收汇"))</f>
        <v/>
      </c>
      <c r="N113" s="41"/>
      <c r="O113" s="41"/>
      <c r="P113" s="35" t="str">
        <f aca="true">IF(N113="","",IF(O113="",IF(TODAY()-N113&gt;15,"已超15天未留存","待留存"),IF(O113-N113&lt;=15,"及时","超期")))</f>
        <v/>
      </c>
      <c r="Q113" s="43"/>
    </row>
    <row r="114" customFormat="false" ht="21.75" hidden="false" customHeight="true" outlineLevel="0" collapsed="false">
      <c r="A114" s="49"/>
      <c r="B114" s="48"/>
      <c r="C114" s="43"/>
      <c r="D114" s="44"/>
      <c r="E114" s="44"/>
      <c r="F114" s="36" t="str">
        <f aca="false">IF(OR(D114="",E114=""),"",IF(IFERROR(INDEX(①出口报关!$I$4:$I$303,MATCH(E114,①出口报关!$A$4:$A$303,0)),"")=D114,"一致","SKU与报关单不符"))</f>
        <v/>
      </c>
      <c r="G114" s="45"/>
      <c r="H114" s="45"/>
      <c r="I114" s="31" t="str">
        <f aca="false">IF(AND(G114="",H114=""),"",N(G114)-N(H114))</f>
        <v/>
      </c>
      <c r="J114" s="46"/>
      <c r="K114" s="46"/>
      <c r="L114" s="34" t="str">
        <f aca="false">IF(AND(J114="",K114=""),"",N(J114)-N(K114))</f>
        <v/>
      </c>
      <c r="M114" s="35" t="str">
        <f aca="false">IF(B114="","",IF(COUNTIFS(③回款收汇!$A$4:$A$203,B114,③回款收汇!$R$4:$R$203,"&gt;0")&gt;0,"已收汇","待收汇"))</f>
        <v/>
      </c>
      <c r="N114" s="41"/>
      <c r="O114" s="41"/>
      <c r="P114" s="35" t="str">
        <f aca="true">IF(N114="","",IF(O114="",IF(TODAY()-N114&gt;15,"已超15天未留存","待留存"),IF(O114-N114&lt;=15,"及时","超期")))</f>
        <v/>
      </c>
      <c r="Q114" s="43"/>
    </row>
    <row r="115" customFormat="false" ht="21.75" hidden="false" customHeight="true" outlineLevel="0" collapsed="false">
      <c r="A115" s="49"/>
      <c r="B115" s="48"/>
      <c r="C115" s="43"/>
      <c r="D115" s="44"/>
      <c r="E115" s="44"/>
      <c r="F115" s="36" t="str">
        <f aca="false">IF(OR(D115="",E115=""),"",IF(IFERROR(INDEX(①出口报关!$I$4:$I$303,MATCH(E115,①出口报关!$A$4:$A$303,0)),"")=D115,"一致","SKU与报关单不符"))</f>
        <v/>
      </c>
      <c r="G115" s="45"/>
      <c r="H115" s="45"/>
      <c r="I115" s="31" t="str">
        <f aca="false">IF(AND(G115="",H115=""),"",N(G115)-N(H115))</f>
        <v/>
      </c>
      <c r="J115" s="46"/>
      <c r="K115" s="46"/>
      <c r="L115" s="34" t="str">
        <f aca="false">IF(AND(J115="",K115=""),"",N(J115)-N(K115))</f>
        <v/>
      </c>
      <c r="M115" s="35" t="str">
        <f aca="false">IF(B115="","",IF(COUNTIFS(③回款收汇!$A$4:$A$203,B115,③回款收汇!$R$4:$R$203,"&gt;0")&gt;0,"已收汇","待收汇"))</f>
        <v/>
      </c>
      <c r="N115" s="41"/>
      <c r="O115" s="41"/>
      <c r="P115" s="35" t="str">
        <f aca="true">IF(N115="","",IF(O115="",IF(TODAY()-N115&gt;15,"已超15天未留存","待留存"),IF(O115-N115&lt;=15,"及时","超期")))</f>
        <v/>
      </c>
      <c r="Q115" s="43"/>
    </row>
    <row r="116" customFormat="false" ht="21.75" hidden="false" customHeight="true" outlineLevel="0" collapsed="false">
      <c r="A116" s="49"/>
      <c r="B116" s="48"/>
      <c r="C116" s="43"/>
      <c r="D116" s="44"/>
      <c r="E116" s="44"/>
      <c r="F116" s="36" t="str">
        <f aca="false">IF(OR(D116="",E116=""),"",IF(IFERROR(INDEX(①出口报关!$I$4:$I$303,MATCH(E116,①出口报关!$A$4:$A$303,0)),"")=D116,"一致","SKU与报关单不符"))</f>
        <v/>
      </c>
      <c r="G116" s="45"/>
      <c r="H116" s="45"/>
      <c r="I116" s="31" t="str">
        <f aca="false">IF(AND(G116="",H116=""),"",N(G116)-N(H116))</f>
        <v/>
      </c>
      <c r="J116" s="46"/>
      <c r="K116" s="46"/>
      <c r="L116" s="34" t="str">
        <f aca="false">IF(AND(J116="",K116=""),"",N(J116)-N(K116))</f>
        <v/>
      </c>
      <c r="M116" s="35" t="str">
        <f aca="false">IF(B116="","",IF(COUNTIFS(③回款收汇!$A$4:$A$203,B116,③回款收汇!$R$4:$R$203,"&gt;0")&gt;0,"已收汇","待收汇"))</f>
        <v/>
      </c>
      <c r="N116" s="41"/>
      <c r="O116" s="41"/>
      <c r="P116" s="35" t="str">
        <f aca="true">IF(N116="","",IF(O116="",IF(TODAY()-N116&gt;15,"已超15天未留存","待留存"),IF(O116-N116&lt;=15,"及时","超期")))</f>
        <v/>
      </c>
      <c r="Q116" s="43"/>
    </row>
    <row r="117" customFormat="false" ht="21.75" hidden="false" customHeight="true" outlineLevel="0" collapsed="false">
      <c r="A117" s="49"/>
      <c r="B117" s="48"/>
      <c r="C117" s="43"/>
      <c r="D117" s="44"/>
      <c r="E117" s="44"/>
      <c r="F117" s="36" t="str">
        <f aca="false">IF(OR(D117="",E117=""),"",IF(IFERROR(INDEX(①出口报关!$I$4:$I$303,MATCH(E117,①出口报关!$A$4:$A$303,0)),"")=D117,"一致","SKU与报关单不符"))</f>
        <v/>
      </c>
      <c r="G117" s="45"/>
      <c r="H117" s="45"/>
      <c r="I117" s="31" t="str">
        <f aca="false">IF(AND(G117="",H117=""),"",N(G117)-N(H117))</f>
        <v/>
      </c>
      <c r="J117" s="46"/>
      <c r="K117" s="46"/>
      <c r="L117" s="34" t="str">
        <f aca="false">IF(AND(J117="",K117=""),"",N(J117)-N(K117))</f>
        <v/>
      </c>
      <c r="M117" s="35" t="str">
        <f aca="false">IF(B117="","",IF(COUNTIFS(③回款收汇!$A$4:$A$203,B117,③回款收汇!$R$4:$R$203,"&gt;0")&gt;0,"已收汇","待收汇"))</f>
        <v/>
      </c>
      <c r="N117" s="41"/>
      <c r="O117" s="41"/>
      <c r="P117" s="35" t="str">
        <f aca="true">IF(N117="","",IF(O117="",IF(TODAY()-N117&gt;15,"已超15天未留存","待留存"),IF(O117-N117&lt;=15,"及时","超期")))</f>
        <v/>
      </c>
      <c r="Q117" s="43"/>
    </row>
    <row r="118" customFormat="false" ht="21.75" hidden="false" customHeight="true" outlineLevel="0" collapsed="false">
      <c r="A118" s="49"/>
      <c r="B118" s="48"/>
      <c r="C118" s="43"/>
      <c r="D118" s="44"/>
      <c r="E118" s="44"/>
      <c r="F118" s="36" t="str">
        <f aca="false">IF(OR(D118="",E118=""),"",IF(IFERROR(INDEX(①出口报关!$I$4:$I$303,MATCH(E118,①出口报关!$A$4:$A$303,0)),"")=D118,"一致","SKU与报关单不符"))</f>
        <v/>
      </c>
      <c r="G118" s="45"/>
      <c r="H118" s="45"/>
      <c r="I118" s="31" t="str">
        <f aca="false">IF(AND(G118="",H118=""),"",N(G118)-N(H118))</f>
        <v/>
      </c>
      <c r="J118" s="46"/>
      <c r="K118" s="46"/>
      <c r="L118" s="34" t="str">
        <f aca="false">IF(AND(J118="",K118=""),"",N(J118)-N(K118))</f>
        <v/>
      </c>
      <c r="M118" s="35" t="str">
        <f aca="false">IF(B118="","",IF(COUNTIFS(③回款收汇!$A$4:$A$203,B118,③回款收汇!$R$4:$R$203,"&gt;0")&gt;0,"已收汇","待收汇"))</f>
        <v/>
      </c>
      <c r="N118" s="41"/>
      <c r="O118" s="41"/>
      <c r="P118" s="35" t="str">
        <f aca="true">IF(N118="","",IF(O118="",IF(TODAY()-N118&gt;15,"已超15天未留存","待留存"),IF(O118-N118&lt;=15,"及时","超期")))</f>
        <v/>
      </c>
      <c r="Q118" s="43"/>
    </row>
    <row r="119" customFormat="false" ht="21.75" hidden="false" customHeight="true" outlineLevel="0" collapsed="false">
      <c r="A119" s="49"/>
      <c r="B119" s="48"/>
      <c r="C119" s="43"/>
      <c r="D119" s="44"/>
      <c r="E119" s="44"/>
      <c r="F119" s="36" t="str">
        <f aca="false">IF(OR(D119="",E119=""),"",IF(IFERROR(INDEX(①出口报关!$I$4:$I$303,MATCH(E119,①出口报关!$A$4:$A$303,0)),"")=D119,"一致","SKU与报关单不符"))</f>
        <v/>
      </c>
      <c r="G119" s="45"/>
      <c r="H119" s="45"/>
      <c r="I119" s="31" t="str">
        <f aca="false">IF(AND(G119="",H119=""),"",N(G119)-N(H119))</f>
        <v/>
      </c>
      <c r="J119" s="46"/>
      <c r="K119" s="46"/>
      <c r="L119" s="34" t="str">
        <f aca="false">IF(AND(J119="",K119=""),"",N(J119)-N(K119))</f>
        <v/>
      </c>
      <c r="M119" s="35" t="str">
        <f aca="false">IF(B119="","",IF(COUNTIFS(③回款收汇!$A$4:$A$203,B119,③回款收汇!$R$4:$R$203,"&gt;0")&gt;0,"已收汇","待收汇"))</f>
        <v/>
      </c>
      <c r="N119" s="41"/>
      <c r="O119" s="41"/>
      <c r="P119" s="35" t="str">
        <f aca="true">IF(N119="","",IF(O119="",IF(TODAY()-N119&gt;15,"已超15天未留存","待留存"),IF(O119-N119&lt;=15,"及时","超期")))</f>
        <v/>
      </c>
      <c r="Q119" s="43"/>
    </row>
    <row r="120" customFormat="false" ht="21.75" hidden="false" customHeight="true" outlineLevel="0" collapsed="false">
      <c r="A120" s="49"/>
      <c r="B120" s="48"/>
      <c r="C120" s="43"/>
      <c r="D120" s="44"/>
      <c r="E120" s="44"/>
      <c r="F120" s="36" t="str">
        <f aca="false">IF(OR(D120="",E120=""),"",IF(IFERROR(INDEX(①出口报关!$I$4:$I$303,MATCH(E120,①出口报关!$A$4:$A$303,0)),"")=D120,"一致","SKU与报关单不符"))</f>
        <v/>
      </c>
      <c r="G120" s="45"/>
      <c r="H120" s="45"/>
      <c r="I120" s="31" t="str">
        <f aca="false">IF(AND(G120="",H120=""),"",N(G120)-N(H120))</f>
        <v/>
      </c>
      <c r="J120" s="46"/>
      <c r="K120" s="46"/>
      <c r="L120" s="34" t="str">
        <f aca="false">IF(AND(J120="",K120=""),"",N(J120)-N(K120))</f>
        <v/>
      </c>
      <c r="M120" s="35" t="str">
        <f aca="false">IF(B120="","",IF(COUNTIFS(③回款收汇!$A$4:$A$203,B120,③回款收汇!$R$4:$R$203,"&gt;0")&gt;0,"已收汇","待收汇"))</f>
        <v/>
      </c>
      <c r="N120" s="41"/>
      <c r="O120" s="41"/>
      <c r="P120" s="35" t="str">
        <f aca="true">IF(N120="","",IF(O120="",IF(TODAY()-N120&gt;15,"已超15天未留存","待留存"),IF(O120-N120&lt;=15,"及时","超期")))</f>
        <v/>
      </c>
      <c r="Q120" s="43"/>
    </row>
    <row r="121" customFormat="false" ht="21.75" hidden="false" customHeight="true" outlineLevel="0" collapsed="false">
      <c r="A121" s="49"/>
      <c r="B121" s="48"/>
      <c r="C121" s="43"/>
      <c r="D121" s="44"/>
      <c r="E121" s="44"/>
      <c r="F121" s="36" t="str">
        <f aca="false">IF(OR(D121="",E121=""),"",IF(IFERROR(INDEX(①出口报关!$I$4:$I$303,MATCH(E121,①出口报关!$A$4:$A$303,0)),"")=D121,"一致","SKU与报关单不符"))</f>
        <v/>
      </c>
      <c r="G121" s="45"/>
      <c r="H121" s="45"/>
      <c r="I121" s="31" t="str">
        <f aca="false">IF(AND(G121="",H121=""),"",N(G121)-N(H121))</f>
        <v/>
      </c>
      <c r="J121" s="46"/>
      <c r="K121" s="46"/>
      <c r="L121" s="34" t="str">
        <f aca="false">IF(AND(J121="",K121=""),"",N(J121)-N(K121))</f>
        <v/>
      </c>
      <c r="M121" s="35" t="str">
        <f aca="false">IF(B121="","",IF(COUNTIFS(③回款收汇!$A$4:$A$203,B121,③回款收汇!$R$4:$R$203,"&gt;0")&gt;0,"已收汇","待收汇"))</f>
        <v/>
      </c>
      <c r="N121" s="41"/>
      <c r="O121" s="41"/>
      <c r="P121" s="35" t="str">
        <f aca="true">IF(N121="","",IF(O121="",IF(TODAY()-N121&gt;15,"已超15天未留存","待留存"),IF(O121-N121&lt;=15,"及时","超期")))</f>
        <v/>
      </c>
      <c r="Q121" s="43"/>
    </row>
    <row r="122" customFormat="false" ht="21.75" hidden="false" customHeight="true" outlineLevel="0" collapsed="false">
      <c r="A122" s="49"/>
      <c r="B122" s="48"/>
      <c r="C122" s="43"/>
      <c r="D122" s="44"/>
      <c r="E122" s="44"/>
      <c r="F122" s="36" t="str">
        <f aca="false">IF(OR(D122="",E122=""),"",IF(IFERROR(INDEX(①出口报关!$I$4:$I$303,MATCH(E122,①出口报关!$A$4:$A$303,0)),"")=D122,"一致","SKU与报关单不符"))</f>
        <v/>
      </c>
      <c r="G122" s="45"/>
      <c r="H122" s="45"/>
      <c r="I122" s="31" t="str">
        <f aca="false">IF(AND(G122="",H122=""),"",N(G122)-N(H122))</f>
        <v/>
      </c>
      <c r="J122" s="46"/>
      <c r="K122" s="46"/>
      <c r="L122" s="34" t="str">
        <f aca="false">IF(AND(J122="",K122=""),"",N(J122)-N(K122))</f>
        <v/>
      </c>
      <c r="M122" s="35" t="str">
        <f aca="false">IF(B122="","",IF(COUNTIFS(③回款收汇!$A$4:$A$203,B122,③回款收汇!$R$4:$R$203,"&gt;0")&gt;0,"已收汇","待收汇"))</f>
        <v/>
      </c>
      <c r="N122" s="41"/>
      <c r="O122" s="41"/>
      <c r="P122" s="35" t="str">
        <f aca="true">IF(N122="","",IF(O122="",IF(TODAY()-N122&gt;15,"已超15天未留存","待留存"),IF(O122-N122&lt;=15,"及时","超期")))</f>
        <v/>
      </c>
      <c r="Q122" s="43"/>
    </row>
    <row r="123" customFormat="false" ht="21.75" hidden="false" customHeight="true" outlineLevel="0" collapsed="false">
      <c r="A123" s="49"/>
      <c r="B123" s="48"/>
      <c r="C123" s="43"/>
      <c r="D123" s="44"/>
      <c r="E123" s="44"/>
      <c r="F123" s="36" t="str">
        <f aca="false">IF(OR(D123="",E123=""),"",IF(IFERROR(INDEX(①出口报关!$I$4:$I$303,MATCH(E123,①出口报关!$A$4:$A$303,0)),"")=D123,"一致","SKU与报关单不符"))</f>
        <v/>
      </c>
      <c r="G123" s="45"/>
      <c r="H123" s="45"/>
      <c r="I123" s="31" t="str">
        <f aca="false">IF(AND(G123="",H123=""),"",N(G123)-N(H123))</f>
        <v/>
      </c>
      <c r="J123" s="46"/>
      <c r="K123" s="46"/>
      <c r="L123" s="34" t="str">
        <f aca="false">IF(AND(J123="",K123=""),"",N(J123)-N(K123))</f>
        <v/>
      </c>
      <c r="M123" s="35" t="str">
        <f aca="false">IF(B123="","",IF(COUNTIFS(③回款收汇!$A$4:$A$203,B123,③回款收汇!$R$4:$R$203,"&gt;0")&gt;0,"已收汇","待收汇"))</f>
        <v/>
      </c>
      <c r="N123" s="41"/>
      <c r="O123" s="41"/>
      <c r="P123" s="35" t="str">
        <f aca="true">IF(N123="","",IF(O123="",IF(TODAY()-N123&gt;15,"已超15天未留存","待留存"),IF(O123-N123&lt;=15,"及时","超期")))</f>
        <v/>
      </c>
      <c r="Q123" s="43"/>
    </row>
    <row r="124" customFormat="false" ht="21.75" hidden="false" customHeight="true" outlineLevel="0" collapsed="false">
      <c r="A124" s="49"/>
      <c r="B124" s="48"/>
      <c r="C124" s="43"/>
      <c r="D124" s="44"/>
      <c r="E124" s="44"/>
      <c r="F124" s="36" t="str">
        <f aca="false">IF(OR(D124="",E124=""),"",IF(IFERROR(INDEX(①出口报关!$I$4:$I$303,MATCH(E124,①出口报关!$A$4:$A$303,0)),"")=D124,"一致","SKU与报关单不符"))</f>
        <v/>
      </c>
      <c r="G124" s="45"/>
      <c r="H124" s="45"/>
      <c r="I124" s="31" t="str">
        <f aca="false">IF(AND(G124="",H124=""),"",N(G124)-N(H124))</f>
        <v/>
      </c>
      <c r="J124" s="46"/>
      <c r="K124" s="46"/>
      <c r="L124" s="34" t="str">
        <f aca="false">IF(AND(J124="",K124=""),"",N(J124)-N(K124))</f>
        <v/>
      </c>
      <c r="M124" s="35" t="str">
        <f aca="false">IF(B124="","",IF(COUNTIFS(③回款收汇!$A$4:$A$203,B124,③回款收汇!$R$4:$R$203,"&gt;0")&gt;0,"已收汇","待收汇"))</f>
        <v/>
      </c>
      <c r="N124" s="41"/>
      <c r="O124" s="41"/>
      <c r="P124" s="35" t="str">
        <f aca="true">IF(N124="","",IF(O124="",IF(TODAY()-N124&gt;15,"已超15天未留存","待留存"),IF(O124-N124&lt;=15,"及时","超期")))</f>
        <v/>
      </c>
      <c r="Q124" s="43"/>
    </row>
    <row r="125" customFormat="false" ht="21.75" hidden="false" customHeight="true" outlineLevel="0" collapsed="false">
      <c r="A125" s="49"/>
      <c r="B125" s="48"/>
      <c r="C125" s="43"/>
      <c r="D125" s="44"/>
      <c r="E125" s="44"/>
      <c r="F125" s="36" t="str">
        <f aca="false">IF(OR(D125="",E125=""),"",IF(IFERROR(INDEX(①出口报关!$I$4:$I$303,MATCH(E125,①出口报关!$A$4:$A$303,0)),"")=D125,"一致","SKU与报关单不符"))</f>
        <v/>
      </c>
      <c r="G125" s="45"/>
      <c r="H125" s="45"/>
      <c r="I125" s="31" t="str">
        <f aca="false">IF(AND(G125="",H125=""),"",N(G125)-N(H125))</f>
        <v/>
      </c>
      <c r="J125" s="46"/>
      <c r="K125" s="46"/>
      <c r="L125" s="34" t="str">
        <f aca="false">IF(AND(J125="",K125=""),"",N(J125)-N(K125))</f>
        <v/>
      </c>
      <c r="M125" s="35" t="str">
        <f aca="false">IF(B125="","",IF(COUNTIFS(③回款收汇!$A$4:$A$203,B125,③回款收汇!$R$4:$R$203,"&gt;0")&gt;0,"已收汇","待收汇"))</f>
        <v/>
      </c>
      <c r="N125" s="41"/>
      <c r="O125" s="41"/>
      <c r="P125" s="35" t="str">
        <f aca="true">IF(N125="","",IF(O125="",IF(TODAY()-N125&gt;15,"已超15天未留存","待留存"),IF(O125-N125&lt;=15,"及时","超期")))</f>
        <v/>
      </c>
      <c r="Q125" s="43"/>
    </row>
    <row r="126" customFormat="false" ht="21.75" hidden="false" customHeight="true" outlineLevel="0" collapsed="false">
      <c r="A126" s="49"/>
      <c r="B126" s="48"/>
      <c r="C126" s="43"/>
      <c r="D126" s="44"/>
      <c r="E126" s="44"/>
      <c r="F126" s="36" t="str">
        <f aca="false">IF(OR(D126="",E126=""),"",IF(IFERROR(INDEX(①出口报关!$I$4:$I$303,MATCH(E126,①出口报关!$A$4:$A$303,0)),"")=D126,"一致","SKU与报关单不符"))</f>
        <v/>
      </c>
      <c r="G126" s="45"/>
      <c r="H126" s="45"/>
      <c r="I126" s="31" t="str">
        <f aca="false">IF(AND(G126="",H126=""),"",N(G126)-N(H126))</f>
        <v/>
      </c>
      <c r="J126" s="46"/>
      <c r="K126" s="46"/>
      <c r="L126" s="34" t="str">
        <f aca="false">IF(AND(J126="",K126=""),"",N(J126)-N(K126))</f>
        <v/>
      </c>
      <c r="M126" s="35" t="str">
        <f aca="false">IF(B126="","",IF(COUNTIFS(③回款收汇!$A$4:$A$203,B126,③回款收汇!$R$4:$R$203,"&gt;0")&gt;0,"已收汇","待收汇"))</f>
        <v/>
      </c>
      <c r="N126" s="41"/>
      <c r="O126" s="41"/>
      <c r="P126" s="35" t="str">
        <f aca="true">IF(N126="","",IF(O126="",IF(TODAY()-N126&gt;15,"已超15天未留存","待留存"),IF(O126-N126&lt;=15,"及时","超期")))</f>
        <v/>
      </c>
      <c r="Q126" s="43"/>
    </row>
    <row r="127" customFormat="false" ht="21.75" hidden="false" customHeight="true" outlineLevel="0" collapsed="false">
      <c r="A127" s="49"/>
      <c r="B127" s="48"/>
      <c r="C127" s="43"/>
      <c r="D127" s="44"/>
      <c r="E127" s="44"/>
      <c r="F127" s="36" t="str">
        <f aca="false">IF(OR(D127="",E127=""),"",IF(IFERROR(INDEX(①出口报关!$I$4:$I$303,MATCH(E127,①出口报关!$A$4:$A$303,0)),"")=D127,"一致","SKU与报关单不符"))</f>
        <v/>
      </c>
      <c r="G127" s="45"/>
      <c r="H127" s="45"/>
      <c r="I127" s="31" t="str">
        <f aca="false">IF(AND(G127="",H127=""),"",N(G127)-N(H127))</f>
        <v/>
      </c>
      <c r="J127" s="46"/>
      <c r="K127" s="46"/>
      <c r="L127" s="34" t="str">
        <f aca="false">IF(AND(J127="",K127=""),"",N(J127)-N(K127))</f>
        <v/>
      </c>
      <c r="M127" s="35" t="str">
        <f aca="false">IF(B127="","",IF(COUNTIFS(③回款收汇!$A$4:$A$203,B127,③回款收汇!$R$4:$R$203,"&gt;0")&gt;0,"已收汇","待收汇"))</f>
        <v/>
      </c>
      <c r="N127" s="41"/>
      <c r="O127" s="41"/>
      <c r="P127" s="35" t="str">
        <f aca="true">IF(N127="","",IF(O127="",IF(TODAY()-N127&gt;15,"已超15天未留存","待留存"),IF(O127-N127&lt;=15,"及时","超期")))</f>
        <v/>
      </c>
      <c r="Q127" s="43"/>
    </row>
    <row r="128" customFormat="false" ht="21.75" hidden="false" customHeight="true" outlineLevel="0" collapsed="false">
      <c r="A128" s="49"/>
      <c r="B128" s="48"/>
      <c r="C128" s="43"/>
      <c r="D128" s="44"/>
      <c r="E128" s="44"/>
      <c r="F128" s="36" t="str">
        <f aca="false">IF(OR(D128="",E128=""),"",IF(IFERROR(INDEX(①出口报关!$I$4:$I$303,MATCH(E128,①出口报关!$A$4:$A$303,0)),"")=D128,"一致","SKU与报关单不符"))</f>
        <v/>
      </c>
      <c r="G128" s="45"/>
      <c r="H128" s="45"/>
      <c r="I128" s="31" t="str">
        <f aca="false">IF(AND(G128="",H128=""),"",N(G128)-N(H128))</f>
        <v/>
      </c>
      <c r="J128" s="46"/>
      <c r="K128" s="46"/>
      <c r="L128" s="34" t="str">
        <f aca="false">IF(AND(J128="",K128=""),"",N(J128)-N(K128))</f>
        <v/>
      </c>
      <c r="M128" s="35" t="str">
        <f aca="false">IF(B128="","",IF(COUNTIFS(③回款收汇!$A$4:$A$203,B128,③回款收汇!$R$4:$R$203,"&gt;0")&gt;0,"已收汇","待收汇"))</f>
        <v/>
      </c>
      <c r="N128" s="41"/>
      <c r="O128" s="41"/>
      <c r="P128" s="35" t="str">
        <f aca="true">IF(N128="","",IF(O128="",IF(TODAY()-N128&gt;15,"已超15天未留存","待留存"),IF(O128-N128&lt;=15,"及时","超期")))</f>
        <v/>
      </c>
      <c r="Q128" s="43"/>
    </row>
    <row r="129" customFormat="false" ht="21.75" hidden="false" customHeight="true" outlineLevel="0" collapsed="false">
      <c r="A129" s="49"/>
      <c r="B129" s="48"/>
      <c r="C129" s="43"/>
      <c r="D129" s="44"/>
      <c r="E129" s="44"/>
      <c r="F129" s="36" t="str">
        <f aca="false">IF(OR(D129="",E129=""),"",IF(IFERROR(INDEX(①出口报关!$I$4:$I$303,MATCH(E129,①出口报关!$A$4:$A$303,0)),"")=D129,"一致","SKU与报关单不符"))</f>
        <v/>
      </c>
      <c r="G129" s="45"/>
      <c r="H129" s="45"/>
      <c r="I129" s="31" t="str">
        <f aca="false">IF(AND(G129="",H129=""),"",N(G129)-N(H129))</f>
        <v/>
      </c>
      <c r="J129" s="46"/>
      <c r="K129" s="46"/>
      <c r="L129" s="34" t="str">
        <f aca="false">IF(AND(J129="",K129=""),"",N(J129)-N(K129))</f>
        <v/>
      </c>
      <c r="M129" s="35" t="str">
        <f aca="false">IF(B129="","",IF(COUNTIFS(③回款收汇!$A$4:$A$203,B129,③回款收汇!$R$4:$R$203,"&gt;0")&gt;0,"已收汇","待收汇"))</f>
        <v/>
      </c>
      <c r="N129" s="41"/>
      <c r="O129" s="41"/>
      <c r="P129" s="35" t="str">
        <f aca="true">IF(N129="","",IF(O129="",IF(TODAY()-N129&gt;15,"已超15天未留存","待留存"),IF(O129-N129&lt;=15,"及时","超期")))</f>
        <v/>
      </c>
      <c r="Q129" s="43"/>
    </row>
    <row r="130" customFormat="false" ht="21.75" hidden="false" customHeight="true" outlineLevel="0" collapsed="false">
      <c r="A130" s="49"/>
      <c r="B130" s="48"/>
      <c r="C130" s="43"/>
      <c r="D130" s="44"/>
      <c r="E130" s="44"/>
      <c r="F130" s="36" t="str">
        <f aca="false">IF(OR(D130="",E130=""),"",IF(IFERROR(INDEX(①出口报关!$I$4:$I$303,MATCH(E130,①出口报关!$A$4:$A$303,0)),"")=D130,"一致","SKU与报关单不符"))</f>
        <v/>
      </c>
      <c r="G130" s="45"/>
      <c r="H130" s="45"/>
      <c r="I130" s="31" t="str">
        <f aca="false">IF(AND(G130="",H130=""),"",N(G130)-N(H130))</f>
        <v/>
      </c>
      <c r="J130" s="46"/>
      <c r="K130" s="46"/>
      <c r="L130" s="34" t="str">
        <f aca="false">IF(AND(J130="",K130=""),"",N(J130)-N(K130))</f>
        <v/>
      </c>
      <c r="M130" s="35" t="str">
        <f aca="false">IF(B130="","",IF(COUNTIFS(③回款收汇!$A$4:$A$203,B130,③回款收汇!$R$4:$R$203,"&gt;0")&gt;0,"已收汇","待收汇"))</f>
        <v/>
      </c>
      <c r="N130" s="41"/>
      <c r="O130" s="41"/>
      <c r="P130" s="35" t="str">
        <f aca="true">IF(N130="","",IF(O130="",IF(TODAY()-N130&gt;15,"已超15天未留存","待留存"),IF(O130-N130&lt;=15,"及时","超期")))</f>
        <v/>
      </c>
      <c r="Q130" s="43"/>
    </row>
    <row r="131" customFormat="false" ht="21.75" hidden="false" customHeight="true" outlineLevel="0" collapsed="false">
      <c r="A131" s="49"/>
      <c r="B131" s="48"/>
      <c r="C131" s="43"/>
      <c r="D131" s="44"/>
      <c r="E131" s="44"/>
      <c r="F131" s="36" t="str">
        <f aca="false">IF(OR(D131="",E131=""),"",IF(IFERROR(INDEX(①出口报关!$I$4:$I$303,MATCH(E131,①出口报关!$A$4:$A$303,0)),"")=D131,"一致","SKU与报关单不符"))</f>
        <v/>
      </c>
      <c r="G131" s="45"/>
      <c r="H131" s="45"/>
      <c r="I131" s="31" t="str">
        <f aca="false">IF(AND(G131="",H131=""),"",N(G131)-N(H131))</f>
        <v/>
      </c>
      <c r="J131" s="46"/>
      <c r="K131" s="46"/>
      <c r="L131" s="34" t="str">
        <f aca="false">IF(AND(J131="",K131=""),"",N(J131)-N(K131))</f>
        <v/>
      </c>
      <c r="M131" s="35" t="str">
        <f aca="false">IF(B131="","",IF(COUNTIFS(③回款收汇!$A$4:$A$203,B131,③回款收汇!$R$4:$R$203,"&gt;0")&gt;0,"已收汇","待收汇"))</f>
        <v/>
      </c>
      <c r="N131" s="41"/>
      <c r="O131" s="41"/>
      <c r="P131" s="35" t="str">
        <f aca="true">IF(N131="","",IF(O131="",IF(TODAY()-N131&gt;15,"已超15天未留存","待留存"),IF(O131-N131&lt;=15,"及时","超期")))</f>
        <v/>
      </c>
      <c r="Q131" s="43"/>
    </row>
    <row r="132" customFormat="false" ht="21.75" hidden="false" customHeight="true" outlineLevel="0" collapsed="false">
      <c r="A132" s="49"/>
      <c r="B132" s="48"/>
      <c r="C132" s="43"/>
      <c r="D132" s="44"/>
      <c r="E132" s="44"/>
      <c r="F132" s="36" t="str">
        <f aca="false">IF(OR(D132="",E132=""),"",IF(IFERROR(INDEX(①出口报关!$I$4:$I$303,MATCH(E132,①出口报关!$A$4:$A$303,0)),"")=D132,"一致","SKU与报关单不符"))</f>
        <v/>
      </c>
      <c r="G132" s="45"/>
      <c r="H132" s="45"/>
      <c r="I132" s="31" t="str">
        <f aca="false">IF(AND(G132="",H132=""),"",N(G132)-N(H132))</f>
        <v/>
      </c>
      <c r="J132" s="46"/>
      <c r="K132" s="46"/>
      <c r="L132" s="34" t="str">
        <f aca="false">IF(AND(J132="",K132=""),"",N(J132)-N(K132))</f>
        <v/>
      </c>
      <c r="M132" s="35" t="str">
        <f aca="false">IF(B132="","",IF(COUNTIFS(③回款收汇!$A$4:$A$203,B132,③回款收汇!$R$4:$R$203,"&gt;0")&gt;0,"已收汇","待收汇"))</f>
        <v/>
      </c>
      <c r="N132" s="41"/>
      <c r="O132" s="41"/>
      <c r="P132" s="35" t="str">
        <f aca="true">IF(N132="","",IF(O132="",IF(TODAY()-N132&gt;15,"已超15天未留存","待留存"),IF(O132-N132&lt;=15,"及时","超期")))</f>
        <v/>
      </c>
      <c r="Q132" s="43"/>
    </row>
    <row r="133" customFormat="false" ht="21.75" hidden="false" customHeight="true" outlineLevel="0" collapsed="false">
      <c r="A133" s="49"/>
      <c r="B133" s="48"/>
      <c r="C133" s="43"/>
      <c r="D133" s="44"/>
      <c r="E133" s="44"/>
      <c r="F133" s="36" t="str">
        <f aca="false">IF(OR(D133="",E133=""),"",IF(IFERROR(INDEX(①出口报关!$I$4:$I$303,MATCH(E133,①出口报关!$A$4:$A$303,0)),"")=D133,"一致","SKU与报关单不符"))</f>
        <v/>
      </c>
      <c r="G133" s="45"/>
      <c r="H133" s="45"/>
      <c r="I133" s="31" t="str">
        <f aca="false">IF(AND(G133="",H133=""),"",N(G133)-N(H133))</f>
        <v/>
      </c>
      <c r="J133" s="46"/>
      <c r="K133" s="46"/>
      <c r="L133" s="34" t="str">
        <f aca="false">IF(AND(J133="",K133=""),"",N(J133)-N(K133))</f>
        <v/>
      </c>
      <c r="M133" s="35" t="str">
        <f aca="false">IF(B133="","",IF(COUNTIFS(③回款收汇!$A$4:$A$203,B133,③回款收汇!$R$4:$R$203,"&gt;0")&gt;0,"已收汇","待收汇"))</f>
        <v/>
      </c>
      <c r="N133" s="41"/>
      <c r="O133" s="41"/>
      <c r="P133" s="35" t="str">
        <f aca="true">IF(N133="","",IF(O133="",IF(TODAY()-N133&gt;15,"已超15天未留存","待留存"),IF(O133-N133&lt;=15,"及时","超期")))</f>
        <v/>
      </c>
      <c r="Q133" s="43"/>
    </row>
    <row r="134" customFormat="false" ht="21.75" hidden="false" customHeight="true" outlineLevel="0" collapsed="false">
      <c r="A134" s="49"/>
      <c r="B134" s="48"/>
      <c r="C134" s="43"/>
      <c r="D134" s="44"/>
      <c r="E134" s="44"/>
      <c r="F134" s="36" t="str">
        <f aca="false">IF(OR(D134="",E134=""),"",IF(IFERROR(INDEX(①出口报关!$I$4:$I$303,MATCH(E134,①出口报关!$A$4:$A$303,0)),"")=D134,"一致","SKU与报关单不符"))</f>
        <v/>
      </c>
      <c r="G134" s="45"/>
      <c r="H134" s="45"/>
      <c r="I134" s="31" t="str">
        <f aca="false">IF(AND(G134="",H134=""),"",N(G134)-N(H134))</f>
        <v/>
      </c>
      <c r="J134" s="46"/>
      <c r="K134" s="46"/>
      <c r="L134" s="34" t="str">
        <f aca="false">IF(AND(J134="",K134=""),"",N(J134)-N(K134))</f>
        <v/>
      </c>
      <c r="M134" s="35" t="str">
        <f aca="false">IF(B134="","",IF(COUNTIFS(③回款收汇!$A$4:$A$203,B134,③回款收汇!$R$4:$R$203,"&gt;0")&gt;0,"已收汇","待收汇"))</f>
        <v/>
      </c>
      <c r="N134" s="41"/>
      <c r="O134" s="41"/>
      <c r="P134" s="35" t="str">
        <f aca="true">IF(N134="","",IF(O134="",IF(TODAY()-N134&gt;15,"已超15天未留存","待留存"),IF(O134-N134&lt;=15,"及时","超期")))</f>
        <v/>
      </c>
      <c r="Q134" s="43"/>
    </row>
    <row r="135" customFormat="false" ht="21.75" hidden="false" customHeight="true" outlineLevel="0" collapsed="false">
      <c r="A135" s="49"/>
      <c r="B135" s="48"/>
      <c r="C135" s="43"/>
      <c r="D135" s="44"/>
      <c r="E135" s="44"/>
      <c r="F135" s="36" t="str">
        <f aca="false">IF(OR(D135="",E135=""),"",IF(IFERROR(INDEX(①出口报关!$I$4:$I$303,MATCH(E135,①出口报关!$A$4:$A$303,0)),"")=D135,"一致","SKU与报关单不符"))</f>
        <v/>
      </c>
      <c r="G135" s="45"/>
      <c r="H135" s="45"/>
      <c r="I135" s="31" t="str">
        <f aca="false">IF(AND(G135="",H135=""),"",N(G135)-N(H135))</f>
        <v/>
      </c>
      <c r="J135" s="46"/>
      <c r="K135" s="46"/>
      <c r="L135" s="34" t="str">
        <f aca="false">IF(AND(J135="",K135=""),"",N(J135)-N(K135))</f>
        <v/>
      </c>
      <c r="M135" s="35" t="str">
        <f aca="false">IF(B135="","",IF(COUNTIFS(③回款收汇!$A$4:$A$203,B135,③回款收汇!$R$4:$R$203,"&gt;0")&gt;0,"已收汇","待收汇"))</f>
        <v/>
      </c>
      <c r="N135" s="41"/>
      <c r="O135" s="41"/>
      <c r="P135" s="35" t="str">
        <f aca="true">IF(N135="","",IF(O135="",IF(TODAY()-N135&gt;15,"已超15天未留存","待留存"),IF(O135-N135&lt;=15,"及时","超期")))</f>
        <v/>
      </c>
      <c r="Q135" s="43"/>
    </row>
    <row r="136" customFormat="false" ht="21.75" hidden="false" customHeight="true" outlineLevel="0" collapsed="false">
      <c r="A136" s="49"/>
      <c r="B136" s="48"/>
      <c r="C136" s="43"/>
      <c r="D136" s="44"/>
      <c r="E136" s="44"/>
      <c r="F136" s="36" t="str">
        <f aca="false">IF(OR(D136="",E136=""),"",IF(IFERROR(INDEX(①出口报关!$I$4:$I$303,MATCH(E136,①出口报关!$A$4:$A$303,0)),"")=D136,"一致","SKU与报关单不符"))</f>
        <v/>
      </c>
      <c r="G136" s="45"/>
      <c r="H136" s="45"/>
      <c r="I136" s="31" t="str">
        <f aca="false">IF(AND(G136="",H136=""),"",N(G136)-N(H136))</f>
        <v/>
      </c>
      <c r="J136" s="46"/>
      <c r="K136" s="46"/>
      <c r="L136" s="34" t="str">
        <f aca="false">IF(AND(J136="",K136=""),"",N(J136)-N(K136))</f>
        <v/>
      </c>
      <c r="M136" s="35" t="str">
        <f aca="false">IF(B136="","",IF(COUNTIFS(③回款收汇!$A$4:$A$203,B136,③回款收汇!$R$4:$R$203,"&gt;0")&gt;0,"已收汇","待收汇"))</f>
        <v/>
      </c>
      <c r="N136" s="41"/>
      <c r="O136" s="41"/>
      <c r="P136" s="35" t="str">
        <f aca="true">IF(N136="","",IF(O136="",IF(TODAY()-N136&gt;15,"已超15天未留存","待留存"),IF(O136-N136&lt;=15,"及时","超期")))</f>
        <v/>
      </c>
      <c r="Q136" s="43"/>
    </row>
    <row r="137" customFormat="false" ht="21.75" hidden="false" customHeight="true" outlineLevel="0" collapsed="false">
      <c r="A137" s="49"/>
      <c r="B137" s="48"/>
      <c r="C137" s="43"/>
      <c r="D137" s="44"/>
      <c r="E137" s="44"/>
      <c r="F137" s="36" t="str">
        <f aca="false">IF(OR(D137="",E137=""),"",IF(IFERROR(INDEX(①出口报关!$I$4:$I$303,MATCH(E137,①出口报关!$A$4:$A$303,0)),"")=D137,"一致","SKU与报关单不符"))</f>
        <v/>
      </c>
      <c r="G137" s="45"/>
      <c r="H137" s="45"/>
      <c r="I137" s="31" t="str">
        <f aca="false">IF(AND(G137="",H137=""),"",N(G137)-N(H137))</f>
        <v/>
      </c>
      <c r="J137" s="46"/>
      <c r="K137" s="46"/>
      <c r="L137" s="34" t="str">
        <f aca="false">IF(AND(J137="",K137=""),"",N(J137)-N(K137))</f>
        <v/>
      </c>
      <c r="M137" s="35" t="str">
        <f aca="false">IF(B137="","",IF(COUNTIFS(③回款收汇!$A$4:$A$203,B137,③回款收汇!$R$4:$R$203,"&gt;0")&gt;0,"已收汇","待收汇"))</f>
        <v/>
      </c>
      <c r="N137" s="41"/>
      <c r="O137" s="41"/>
      <c r="P137" s="35" t="str">
        <f aca="true">IF(N137="","",IF(O137="",IF(TODAY()-N137&gt;15,"已超15天未留存","待留存"),IF(O137-N137&lt;=15,"及时","超期")))</f>
        <v/>
      </c>
      <c r="Q137" s="43"/>
    </row>
    <row r="138" customFormat="false" ht="21.75" hidden="false" customHeight="true" outlineLevel="0" collapsed="false">
      <c r="A138" s="49"/>
      <c r="B138" s="48"/>
      <c r="C138" s="43"/>
      <c r="D138" s="44"/>
      <c r="E138" s="44"/>
      <c r="F138" s="36" t="str">
        <f aca="false">IF(OR(D138="",E138=""),"",IF(IFERROR(INDEX(①出口报关!$I$4:$I$303,MATCH(E138,①出口报关!$A$4:$A$303,0)),"")=D138,"一致","SKU与报关单不符"))</f>
        <v/>
      </c>
      <c r="G138" s="45"/>
      <c r="H138" s="45"/>
      <c r="I138" s="31" t="str">
        <f aca="false">IF(AND(G138="",H138=""),"",N(G138)-N(H138))</f>
        <v/>
      </c>
      <c r="J138" s="46"/>
      <c r="K138" s="46"/>
      <c r="L138" s="34" t="str">
        <f aca="false">IF(AND(J138="",K138=""),"",N(J138)-N(K138))</f>
        <v/>
      </c>
      <c r="M138" s="35" t="str">
        <f aca="false">IF(B138="","",IF(COUNTIFS(③回款收汇!$A$4:$A$203,B138,③回款收汇!$R$4:$R$203,"&gt;0")&gt;0,"已收汇","待收汇"))</f>
        <v/>
      </c>
      <c r="N138" s="41"/>
      <c r="O138" s="41"/>
      <c r="P138" s="35" t="str">
        <f aca="true">IF(N138="","",IF(O138="",IF(TODAY()-N138&gt;15,"已超15天未留存","待留存"),IF(O138-N138&lt;=15,"及时","超期")))</f>
        <v/>
      </c>
      <c r="Q138" s="43"/>
    </row>
    <row r="139" customFormat="false" ht="21.75" hidden="false" customHeight="true" outlineLevel="0" collapsed="false">
      <c r="A139" s="49"/>
      <c r="B139" s="48"/>
      <c r="C139" s="43"/>
      <c r="D139" s="44"/>
      <c r="E139" s="44"/>
      <c r="F139" s="36" t="str">
        <f aca="false">IF(OR(D139="",E139=""),"",IF(IFERROR(INDEX(①出口报关!$I$4:$I$303,MATCH(E139,①出口报关!$A$4:$A$303,0)),"")=D139,"一致","SKU与报关单不符"))</f>
        <v/>
      </c>
      <c r="G139" s="45"/>
      <c r="H139" s="45"/>
      <c r="I139" s="31" t="str">
        <f aca="false">IF(AND(G139="",H139=""),"",N(G139)-N(H139))</f>
        <v/>
      </c>
      <c r="J139" s="46"/>
      <c r="K139" s="46"/>
      <c r="L139" s="34" t="str">
        <f aca="false">IF(AND(J139="",K139=""),"",N(J139)-N(K139))</f>
        <v/>
      </c>
      <c r="M139" s="35" t="str">
        <f aca="false">IF(B139="","",IF(COUNTIFS(③回款收汇!$A$4:$A$203,B139,③回款收汇!$R$4:$R$203,"&gt;0")&gt;0,"已收汇","待收汇"))</f>
        <v/>
      </c>
      <c r="N139" s="41"/>
      <c r="O139" s="41"/>
      <c r="P139" s="35" t="str">
        <f aca="true">IF(N139="","",IF(O139="",IF(TODAY()-N139&gt;15,"已超15天未留存","待留存"),IF(O139-N139&lt;=15,"及时","超期")))</f>
        <v/>
      </c>
      <c r="Q139" s="43"/>
    </row>
    <row r="140" customFormat="false" ht="21.75" hidden="false" customHeight="true" outlineLevel="0" collapsed="false">
      <c r="A140" s="49"/>
      <c r="B140" s="48"/>
      <c r="C140" s="43"/>
      <c r="D140" s="44"/>
      <c r="E140" s="44"/>
      <c r="F140" s="36" t="str">
        <f aca="false">IF(OR(D140="",E140=""),"",IF(IFERROR(INDEX(①出口报关!$I$4:$I$303,MATCH(E140,①出口报关!$A$4:$A$303,0)),"")=D140,"一致","SKU与报关单不符"))</f>
        <v/>
      </c>
      <c r="G140" s="45"/>
      <c r="H140" s="45"/>
      <c r="I140" s="31" t="str">
        <f aca="false">IF(AND(G140="",H140=""),"",N(G140)-N(H140))</f>
        <v/>
      </c>
      <c r="J140" s="46"/>
      <c r="K140" s="46"/>
      <c r="L140" s="34" t="str">
        <f aca="false">IF(AND(J140="",K140=""),"",N(J140)-N(K140))</f>
        <v/>
      </c>
      <c r="M140" s="35" t="str">
        <f aca="false">IF(B140="","",IF(COUNTIFS(③回款收汇!$A$4:$A$203,B140,③回款收汇!$R$4:$R$203,"&gt;0")&gt;0,"已收汇","待收汇"))</f>
        <v/>
      </c>
      <c r="N140" s="41"/>
      <c r="O140" s="41"/>
      <c r="P140" s="35" t="str">
        <f aca="true">IF(N140="","",IF(O140="",IF(TODAY()-N140&gt;15,"已超15天未留存","待留存"),IF(O140-N140&lt;=15,"及时","超期")))</f>
        <v/>
      </c>
      <c r="Q140" s="43"/>
    </row>
    <row r="141" customFormat="false" ht="21.75" hidden="false" customHeight="true" outlineLevel="0" collapsed="false">
      <c r="A141" s="49"/>
      <c r="B141" s="48"/>
      <c r="C141" s="43"/>
      <c r="D141" s="44"/>
      <c r="E141" s="44"/>
      <c r="F141" s="36" t="str">
        <f aca="false">IF(OR(D141="",E141=""),"",IF(IFERROR(INDEX(①出口报关!$I$4:$I$303,MATCH(E141,①出口报关!$A$4:$A$303,0)),"")=D141,"一致","SKU与报关单不符"))</f>
        <v/>
      </c>
      <c r="G141" s="45"/>
      <c r="H141" s="45"/>
      <c r="I141" s="31" t="str">
        <f aca="false">IF(AND(G141="",H141=""),"",N(G141)-N(H141))</f>
        <v/>
      </c>
      <c r="J141" s="46"/>
      <c r="K141" s="46"/>
      <c r="L141" s="34" t="str">
        <f aca="false">IF(AND(J141="",K141=""),"",N(J141)-N(K141))</f>
        <v/>
      </c>
      <c r="M141" s="35" t="str">
        <f aca="false">IF(B141="","",IF(COUNTIFS(③回款收汇!$A$4:$A$203,B141,③回款收汇!$R$4:$R$203,"&gt;0")&gt;0,"已收汇","待收汇"))</f>
        <v/>
      </c>
      <c r="N141" s="41"/>
      <c r="O141" s="41"/>
      <c r="P141" s="35" t="str">
        <f aca="true">IF(N141="","",IF(O141="",IF(TODAY()-N141&gt;15,"已超15天未留存","待留存"),IF(O141-N141&lt;=15,"及时","超期")))</f>
        <v/>
      </c>
      <c r="Q141" s="43"/>
    </row>
    <row r="142" customFormat="false" ht="21.75" hidden="false" customHeight="true" outlineLevel="0" collapsed="false">
      <c r="A142" s="49"/>
      <c r="B142" s="48"/>
      <c r="C142" s="43"/>
      <c r="D142" s="44"/>
      <c r="E142" s="44"/>
      <c r="F142" s="36" t="str">
        <f aca="false">IF(OR(D142="",E142=""),"",IF(IFERROR(INDEX(①出口报关!$I$4:$I$303,MATCH(E142,①出口报关!$A$4:$A$303,0)),"")=D142,"一致","SKU与报关单不符"))</f>
        <v/>
      </c>
      <c r="G142" s="45"/>
      <c r="H142" s="45"/>
      <c r="I142" s="31" t="str">
        <f aca="false">IF(AND(G142="",H142=""),"",N(G142)-N(H142))</f>
        <v/>
      </c>
      <c r="J142" s="46"/>
      <c r="K142" s="46"/>
      <c r="L142" s="34" t="str">
        <f aca="false">IF(AND(J142="",K142=""),"",N(J142)-N(K142))</f>
        <v/>
      </c>
      <c r="M142" s="35" t="str">
        <f aca="false">IF(B142="","",IF(COUNTIFS(③回款收汇!$A$4:$A$203,B142,③回款收汇!$R$4:$R$203,"&gt;0")&gt;0,"已收汇","待收汇"))</f>
        <v/>
      </c>
      <c r="N142" s="41"/>
      <c r="O142" s="41"/>
      <c r="P142" s="35" t="str">
        <f aca="true">IF(N142="","",IF(O142="",IF(TODAY()-N142&gt;15,"已超15天未留存","待留存"),IF(O142-N142&lt;=15,"及时","超期")))</f>
        <v/>
      </c>
      <c r="Q142" s="43"/>
    </row>
    <row r="143" customFormat="false" ht="21.75" hidden="false" customHeight="true" outlineLevel="0" collapsed="false">
      <c r="A143" s="49"/>
      <c r="B143" s="48"/>
      <c r="C143" s="43"/>
      <c r="D143" s="44"/>
      <c r="E143" s="44"/>
      <c r="F143" s="36" t="str">
        <f aca="false">IF(OR(D143="",E143=""),"",IF(IFERROR(INDEX(①出口报关!$I$4:$I$303,MATCH(E143,①出口报关!$A$4:$A$303,0)),"")=D143,"一致","SKU与报关单不符"))</f>
        <v/>
      </c>
      <c r="G143" s="45"/>
      <c r="H143" s="45"/>
      <c r="I143" s="31" t="str">
        <f aca="false">IF(AND(G143="",H143=""),"",N(G143)-N(H143))</f>
        <v/>
      </c>
      <c r="J143" s="46"/>
      <c r="K143" s="46"/>
      <c r="L143" s="34" t="str">
        <f aca="false">IF(AND(J143="",K143=""),"",N(J143)-N(K143))</f>
        <v/>
      </c>
      <c r="M143" s="35" t="str">
        <f aca="false">IF(B143="","",IF(COUNTIFS(③回款收汇!$A$4:$A$203,B143,③回款收汇!$R$4:$R$203,"&gt;0")&gt;0,"已收汇","待收汇"))</f>
        <v/>
      </c>
      <c r="N143" s="41"/>
      <c r="O143" s="41"/>
      <c r="P143" s="35" t="str">
        <f aca="true">IF(N143="","",IF(O143="",IF(TODAY()-N143&gt;15,"已超15天未留存","待留存"),IF(O143-N143&lt;=15,"及时","超期")))</f>
        <v/>
      </c>
      <c r="Q143" s="43"/>
    </row>
    <row r="144" customFormat="false" ht="21.75" hidden="false" customHeight="true" outlineLevel="0" collapsed="false">
      <c r="A144" s="49"/>
      <c r="B144" s="48"/>
      <c r="C144" s="43"/>
      <c r="D144" s="44"/>
      <c r="E144" s="44"/>
      <c r="F144" s="36" t="str">
        <f aca="false">IF(OR(D144="",E144=""),"",IF(IFERROR(INDEX(①出口报关!$I$4:$I$303,MATCH(E144,①出口报关!$A$4:$A$303,0)),"")=D144,"一致","SKU与报关单不符"))</f>
        <v/>
      </c>
      <c r="G144" s="45"/>
      <c r="H144" s="45"/>
      <c r="I144" s="31" t="str">
        <f aca="false">IF(AND(G144="",H144=""),"",N(G144)-N(H144))</f>
        <v/>
      </c>
      <c r="J144" s="46"/>
      <c r="K144" s="46"/>
      <c r="L144" s="34" t="str">
        <f aca="false">IF(AND(J144="",K144=""),"",N(J144)-N(K144))</f>
        <v/>
      </c>
      <c r="M144" s="35" t="str">
        <f aca="false">IF(B144="","",IF(COUNTIFS(③回款收汇!$A$4:$A$203,B144,③回款收汇!$R$4:$R$203,"&gt;0")&gt;0,"已收汇","待收汇"))</f>
        <v/>
      </c>
      <c r="N144" s="41"/>
      <c r="O144" s="41"/>
      <c r="P144" s="35" t="str">
        <f aca="true">IF(N144="","",IF(O144="",IF(TODAY()-N144&gt;15,"已超15天未留存","待留存"),IF(O144-N144&lt;=15,"及时","超期")))</f>
        <v/>
      </c>
      <c r="Q144" s="43"/>
    </row>
    <row r="145" customFormat="false" ht="21.75" hidden="false" customHeight="true" outlineLevel="0" collapsed="false">
      <c r="A145" s="49"/>
      <c r="B145" s="48"/>
      <c r="C145" s="43"/>
      <c r="D145" s="44"/>
      <c r="E145" s="44"/>
      <c r="F145" s="36" t="str">
        <f aca="false">IF(OR(D145="",E145=""),"",IF(IFERROR(INDEX(①出口报关!$I$4:$I$303,MATCH(E145,①出口报关!$A$4:$A$303,0)),"")=D145,"一致","SKU与报关单不符"))</f>
        <v/>
      </c>
      <c r="G145" s="45"/>
      <c r="H145" s="45"/>
      <c r="I145" s="31" t="str">
        <f aca="false">IF(AND(G145="",H145=""),"",N(G145)-N(H145))</f>
        <v/>
      </c>
      <c r="J145" s="46"/>
      <c r="K145" s="46"/>
      <c r="L145" s="34" t="str">
        <f aca="false">IF(AND(J145="",K145=""),"",N(J145)-N(K145))</f>
        <v/>
      </c>
      <c r="M145" s="35" t="str">
        <f aca="false">IF(B145="","",IF(COUNTIFS(③回款收汇!$A$4:$A$203,B145,③回款收汇!$R$4:$R$203,"&gt;0")&gt;0,"已收汇","待收汇"))</f>
        <v/>
      </c>
      <c r="N145" s="41"/>
      <c r="O145" s="41"/>
      <c r="P145" s="35" t="str">
        <f aca="true">IF(N145="","",IF(O145="",IF(TODAY()-N145&gt;15,"已超15天未留存","待留存"),IF(O145-N145&lt;=15,"及时","超期")))</f>
        <v/>
      </c>
      <c r="Q145" s="43"/>
    </row>
    <row r="146" customFormat="false" ht="21.75" hidden="false" customHeight="true" outlineLevel="0" collapsed="false">
      <c r="A146" s="49"/>
      <c r="B146" s="48"/>
      <c r="C146" s="43"/>
      <c r="D146" s="44"/>
      <c r="E146" s="44"/>
      <c r="F146" s="36" t="str">
        <f aca="false">IF(OR(D146="",E146=""),"",IF(IFERROR(INDEX(①出口报关!$I$4:$I$303,MATCH(E146,①出口报关!$A$4:$A$303,0)),"")=D146,"一致","SKU与报关单不符"))</f>
        <v/>
      </c>
      <c r="G146" s="45"/>
      <c r="H146" s="45"/>
      <c r="I146" s="31" t="str">
        <f aca="false">IF(AND(G146="",H146=""),"",N(G146)-N(H146))</f>
        <v/>
      </c>
      <c r="J146" s="46"/>
      <c r="K146" s="46"/>
      <c r="L146" s="34" t="str">
        <f aca="false">IF(AND(J146="",K146=""),"",N(J146)-N(K146))</f>
        <v/>
      </c>
      <c r="M146" s="35" t="str">
        <f aca="false">IF(B146="","",IF(COUNTIFS(③回款收汇!$A$4:$A$203,B146,③回款收汇!$R$4:$R$203,"&gt;0")&gt;0,"已收汇","待收汇"))</f>
        <v/>
      </c>
      <c r="N146" s="41"/>
      <c r="O146" s="41"/>
      <c r="P146" s="35" t="str">
        <f aca="true">IF(N146="","",IF(O146="",IF(TODAY()-N146&gt;15,"已超15天未留存","待留存"),IF(O146-N146&lt;=15,"及时","超期")))</f>
        <v/>
      </c>
      <c r="Q146" s="43"/>
    </row>
    <row r="147" customFormat="false" ht="21.75" hidden="false" customHeight="true" outlineLevel="0" collapsed="false">
      <c r="A147" s="49"/>
      <c r="B147" s="48"/>
      <c r="C147" s="43"/>
      <c r="D147" s="44"/>
      <c r="E147" s="44"/>
      <c r="F147" s="36" t="str">
        <f aca="false">IF(OR(D147="",E147=""),"",IF(IFERROR(INDEX(①出口报关!$I$4:$I$303,MATCH(E147,①出口报关!$A$4:$A$303,0)),"")=D147,"一致","SKU与报关单不符"))</f>
        <v/>
      </c>
      <c r="G147" s="45"/>
      <c r="H147" s="45"/>
      <c r="I147" s="31" t="str">
        <f aca="false">IF(AND(G147="",H147=""),"",N(G147)-N(H147))</f>
        <v/>
      </c>
      <c r="J147" s="46"/>
      <c r="K147" s="46"/>
      <c r="L147" s="34" t="str">
        <f aca="false">IF(AND(J147="",K147=""),"",N(J147)-N(K147))</f>
        <v/>
      </c>
      <c r="M147" s="35" t="str">
        <f aca="false">IF(B147="","",IF(COUNTIFS(③回款收汇!$A$4:$A$203,B147,③回款收汇!$R$4:$R$203,"&gt;0")&gt;0,"已收汇","待收汇"))</f>
        <v/>
      </c>
      <c r="N147" s="41"/>
      <c r="O147" s="41"/>
      <c r="P147" s="35" t="str">
        <f aca="true">IF(N147="","",IF(O147="",IF(TODAY()-N147&gt;15,"已超15天未留存","待留存"),IF(O147-N147&lt;=15,"及时","超期")))</f>
        <v/>
      </c>
      <c r="Q147" s="43"/>
    </row>
    <row r="148" customFormat="false" ht="21.75" hidden="false" customHeight="true" outlineLevel="0" collapsed="false">
      <c r="A148" s="49"/>
      <c r="B148" s="48"/>
      <c r="C148" s="43"/>
      <c r="D148" s="44"/>
      <c r="E148" s="44"/>
      <c r="F148" s="36" t="str">
        <f aca="false">IF(OR(D148="",E148=""),"",IF(IFERROR(INDEX(①出口报关!$I$4:$I$303,MATCH(E148,①出口报关!$A$4:$A$303,0)),"")=D148,"一致","SKU与报关单不符"))</f>
        <v/>
      </c>
      <c r="G148" s="45"/>
      <c r="H148" s="45"/>
      <c r="I148" s="31" t="str">
        <f aca="false">IF(AND(G148="",H148=""),"",N(G148)-N(H148))</f>
        <v/>
      </c>
      <c r="J148" s="46"/>
      <c r="K148" s="46"/>
      <c r="L148" s="34" t="str">
        <f aca="false">IF(AND(J148="",K148=""),"",N(J148)-N(K148))</f>
        <v/>
      </c>
      <c r="M148" s="35" t="str">
        <f aca="false">IF(B148="","",IF(COUNTIFS(③回款收汇!$A$4:$A$203,B148,③回款收汇!$R$4:$R$203,"&gt;0")&gt;0,"已收汇","待收汇"))</f>
        <v/>
      </c>
      <c r="N148" s="41"/>
      <c r="O148" s="41"/>
      <c r="P148" s="35" t="str">
        <f aca="true">IF(N148="","",IF(O148="",IF(TODAY()-N148&gt;15,"已超15天未留存","待留存"),IF(O148-N148&lt;=15,"及时","超期")))</f>
        <v/>
      </c>
      <c r="Q148" s="43"/>
    </row>
    <row r="149" customFormat="false" ht="21.75" hidden="false" customHeight="true" outlineLevel="0" collapsed="false">
      <c r="A149" s="49"/>
      <c r="B149" s="48"/>
      <c r="C149" s="43"/>
      <c r="D149" s="44"/>
      <c r="E149" s="44"/>
      <c r="F149" s="36" t="str">
        <f aca="false">IF(OR(D149="",E149=""),"",IF(IFERROR(INDEX(①出口报关!$I$4:$I$303,MATCH(E149,①出口报关!$A$4:$A$303,0)),"")=D149,"一致","SKU与报关单不符"))</f>
        <v/>
      </c>
      <c r="G149" s="45"/>
      <c r="H149" s="45"/>
      <c r="I149" s="31" t="str">
        <f aca="false">IF(AND(G149="",H149=""),"",N(G149)-N(H149))</f>
        <v/>
      </c>
      <c r="J149" s="46"/>
      <c r="K149" s="46"/>
      <c r="L149" s="34" t="str">
        <f aca="false">IF(AND(J149="",K149=""),"",N(J149)-N(K149))</f>
        <v/>
      </c>
      <c r="M149" s="35" t="str">
        <f aca="false">IF(B149="","",IF(COUNTIFS(③回款收汇!$A$4:$A$203,B149,③回款收汇!$R$4:$R$203,"&gt;0")&gt;0,"已收汇","待收汇"))</f>
        <v/>
      </c>
      <c r="N149" s="41"/>
      <c r="O149" s="41"/>
      <c r="P149" s="35" t="str">
        <f aca="true">IF(N149="","",IF(O149="",IF(TODAY()-N149&gt;15,"已超15天未留存","待留存"),IF(O149-N149&lt;=15,"及时","超期")))</f>
        <v/>
      </c>
      <c r="Q149" s="43"/>
    </row>
    <row r="150" customFormat="false" ht="21.75" hidden="false" customHeight="true" outlineLevel="0" collapsed="false">
      <c r="A150" s="49"/>
      <c r="B150" s="48"/>
      <c r="C150" s="43"/>
      <c r="D150" s="44"/>
      <c r="E150" s="44"/>
      <c r="F150" s="36" t="str">
        <f aca="false">IF(OR(D150="",E150=""),"",IF(IFERROR(INDEX(①出口报关!$I$4:$I$303,MATCH(E150,①出口报关!$A$4:$A$303,0)),"")=D150,"一致","SKU与报关单不符"))</f>
        <v/>
      </c>
      <c r="G150" s="45"/>
      <c r="H150" s="45"/>
      <c r="I150" s="31" t="str">
        <f aca="false">IF(AND(G150="",H150=""),"",N(G150)-N(H150))</f>
        <v/>
      </c>
      <c r="J150" s="46"/>
      <c r="K150" s="46"/>
      <c r="L150" s="34" t="str">
        <f aca="false">IF(AND(J150="",K150=""),"",N(J150)-N(K150))</f>
        <v/>
      </c>
      <c r="M150" s="35" t="str">
        <f aca="false">IF(B150="","",IF(COUNTIFS(③回款收汇!$A$4:$A$203,B150,③回款收汇!$R$4:$R$203,"&gt;0")&gt;0,"已收汇","待收汇"))</f>
        <v/>
      </c>
      <c r="N150" s="41"/>
      <c r="O150" s="41"/>
      <c r="P150" s="35" t="str">
        <f aca="true">IF(N150="","",IF(O150="",IF(TODAY()-N150&gt;15,"已超15天未留存","待留存"),IF(O150-N150&lt;=15,"及时","超期")))</f>
        <v/>
      </c>
      <c r="Q150" s="43"/>
    </row>
    <row r="151" customFormat="false" ht="21.75" hidden="false" customHeight="true" outlineLevel="0" collapsed="false">
      <c r="A151" s="49"/>
      <c r="B151" s="48"/>
      <c r="C151" s="43"/>
      <c r="D151" s="44"/>
      <c r="E151" s="44"/>
      <c r="F151" s="36" t="str">
        <f aca="false">IF(OR(D151="",E151=""),"",IF(IFERROR(INDEX(①出口报关!$I$4:$I$303,MATCH(E151,①出口报关!$A$4:$A$303,0)),"")=D151,"一致","SKU与报关单不符"))</f>
        <v/>
      </c>
      <c r="G151" s="45"/>
      <c r="H151" s="45"/>
      <c r="I151" s="31" t="str">
        <f aca="false">IF(AND(G151="",H151=""),"",N(G151)-N(H151))</f>
        <v/>
      </c>
      <c r="J151" s="46"/>
      <c r="K151" s="46"/>
      <c r="L151" s="34" t="str">
        <f aca="false">IF(AND(J151="",K151=""),"",N(J151)-N(K151))</f>
        <v/>
      </c>
      <c r="M151" s="35" t="str">
        <f aca="false">IF(B151="","",IF(COUNTIFS(③回款收汇!$A$4:$A$203,B151,③回款收汇!$R$4:$R$203,"&gt;0")&gt;0,"已收汇","待收汇"))</f>
        <v/>
      </c>
      <c r="N151" s="41"/>
      <c r="O151" s="41"/>
      <c r="P151" s="35" t="str">
        <f aca="true">IF(N151="","",IF(O151="",IF(TODAY()-N151&gt;15,"已超15天未留存","待留存"),IF(O151-N151&lt;=15,"及时","超期")))</f>
        <v/>
      </c>
      <c r="Q151" s="43"/>
    </row>
    <row r="152" customFormat="false" ht="21.75" hidden="false" customHeight="true" outlineLevel="0" collapsed="false">
      <c r="A152" s="49"/>
      <c r="B152" s="48"/>
      <c r="C152" s="43"/>
      <c r="D152" s="44"/>
      <c r="E152" s="44"/>
      <c r="F152" s="36" t="str">
        <f aca="false">IF(OR(D152="",E152=""),"",IF(IFERROR(INDEX(①出口报关!$I$4:$I$303,MATCH(E152,①出口报关!$A$4:$A$303,0)),"")=D152,"一致","SKU与报关单不符"))</f>
        <v/>
      </c>
      <c r="G152" s="45"/>
      <c r="H152" s="45"/>
      <c r="I152" s="31" t="str">
        <f aca="false">IF(AND(G152="",H152=""),"",N(G152)-N(H152))</f>
        <v/>
      </c>
      <c r="J152" s="46"/>
      <c r="K152" s="46"/>
      <c r="L152" s="34" t="str">
        <f aca="false">IF(AND(J152="",K152=""),"",N(J152)-N(K152))</f>
        <v/>
      </c>
      <c r="M152" s="35" t="str">
        <f aca="false">IF(B152="","",IF(COUNTIFS(③回款收汇!$A$4:$A$203,B152,③回款收汇!$R$4:$R$203,"&gt;0")&gt;0,"已收汇","待收汇"))</f>
        <v/>
      </c>
      <c r="N152" s="41"/>
      <c r="O152" s="41"/>
      <c r="P152" s="35" t="str">
        <f aca="true">IF(N152="","",IF(O152="",IF(TODAY()-N152&gt;15,"已超15天未留存","待留存"),IF(O152-N152&lt;=15,"及时","超期")))</f>
        <v/>
      </c>
      <c r="Q152" s="43"/>
    </row>
    <row r="153" customFormat="false" ht="21.75" hidden="false" customHeight="true" outlineLevel="0" collapsed="false">
      <c r="A153" s="49"/>
      <c r="B153" s="48"/>
      <c r="C153" s="43"/>
      <c r="D153" s="44"/>
      <c r="E153" s="44"/>
      <c r="F153" s="36" t="str">
        <f aca="false">IF(OR(D153="",E153=""),"",IF(IFERROR(INDEX(①出口报关!$I$4:$I$303,MATCH(E153,①出口报关!$A$4:$A$303,0)),"")=D153,"一致","SKU与报关单不符"))</f>
        <v/>
      </c>
      <c r="G153" s="45"/>
      <c r="H153" s="45"/>
      <c r="I153" s="31" t="str">
        <f aca="false">IF(AND(G153="",H153=""),"",N(G153)-N(H153))</f>
        <v/>
      </c>
      <c r="J153" s="46"/>
      <c r="K153" s="46"/>
      <c r="L153" s="34" t="str">
        <f aca="false">IF(AND(J153="",K153=""),"",N(J153)-N(K153))</f>
        <v/>
      </c>
      <c r="M153" s="35" t="str">
        <f aca="false">IF(B153="","",IF(COUNTIFS(③回款收汇!$A$4:$A$203,B153,③回款收汇!$R$4:$R$203,"&gt;0")&gt;0,"已收汇","待收汇"))</f>
        <v/>
      </c>
      <c r="N153" s="41"/>
      <c r="O153" s="41"/>
      <c r="P153" s="35" t="str">
        <f aca="true">IF(N153="","",IF(O153="",IF(TODAY()-N153&gt;15,"已超15天未留存","待留存"),IF(O153-N153&lt;=15,"及时","超期")))</f>
        <v/>
      </c>
      <c r="Q153" s="43"/>
    </row>
    <row r="154" customFormat="false" ht="21.75" hidden="false" customHeight="true" outlineLevel="0" collapsed="false">
      <c r="A154" s="49"/>
      <c r="B154" s="48"/>
      <c r="C154" s="43"/>
      <c r="D154" s="44"/>
      <c r="E154" s="44"/>
      <c r="F154" s="36" t="str">
        <f aca="false">IF(OR(D154="",E154=""),"",IF(IFERROR(INDEX(①出口报关!$I$4:$I$303,MATCH(E154,①出口报关!$A$4:$A$303,0)),"")=D154,"一致","SKU与报关单不符"))</f>
        <v/>
      </c>
      <c r="G154" s="45"/>
      <c r="H154" s="45"/>
      <c r="I154" s="31" t="str">
        <f aca="false">IF(AND(G154="",H154=""),"",N(G154)-N(H154))</f>
        <v/>
      </c>
      <c r="J154" s="46"/>
      <c r="K154" s="46"/>
      <c r="L154" s="34" t="str">
        <f aca="false">IF(AND(J154="",K154=""),"",N(J154)-N(K154))</f>
        <v/>
      </c>
      <c r="M154" s="35" t="str">
        <f aca="false">IF(B154="","",IF(COUNTIFS(③回款收汇!$A$4:$A$203,B154,③回款收汇!$R$4:$R$203,"&gt;0")&gt;0,"已收汇","待收汇"))</f>
        <v/>
      </c>
      <c r="N154" s="41"/>
      <c r="O154" s="41"/>
      <c r="P154" s="35" t="str">
        <f aca="true">IF(N154="","",IF(O154="",IF(TODAY()-N154&gt;15,"已超15天未留存","待留存"),IF(O154-N154&lt;=15,"及时","超期")))</f>
        <v/>
      </c>
      <c r="Q154" s="43"/>
    </row>
    <row r="155" customFormat="false" ht="21.75" hidden="false" customHeight="true" outlineLevel="0" collapsed="false">
      <c r="A155" s="49"/>
      <c r="B155" s="48"/>
      <c r="C155" s="43"/>
      <c r="D155" s="44"/>
      <c r="E155" s="44"/>
      <c r="F155" s="36" t="str">
        <f aca="false">IF(OR(D155="",E155=""),"",IF(IFERROR(INDEX(①出口报关!$I$4:$I$303,MATCH(E155,①出口报关!$A$4:$A$303,0)),"")=D155,"一致","SKU与报关单不符"))</f>
        <v/>
      </c>
      <c r="G155" s="45"/>
      <c r="H155" s="45"/>
      <c r="I155" s="31" t="str">
        <f aca="false">IF(AND(G155="",H155=""),"",N(G155)-N(H155))</f>
        <v/>
      </c>
      <c r="J155" s="46"/>
      <c r="K155" s="46"/>
      <c r="L155" s="34" t="str">
        <f aca="false">IF(AND(J155="",K155=""),"",N(J155)-N(K155))</f>
        <v/>
      </c>
      <c r="M155" s="35" t="str">
        <f aca="false">IF(B155="","",IF(COUNTIFS(③回款收汇!$A$4:$A$203,B155,③回款收汇!$R$4:$R$203,"&gt;0")&gt;0,"已收汇","待收汇"))</f>
        <v/>
      </c>
      <c r="N155" s="41"/>
      <c r="O155" s="41"/>
      <c r="P155" s="35" t="str">
        <f aca="true">IF(N155="","",IF(O155="",IF(TODAY()-N155&gt;15,"已超15天未留存","待留存"),IF(O155-N155&lt;=15,"及时","超期")))</f>
        <v/>
      </c>
      <c r="Q155" s="43"/>
    </row>
    <row r="156" customFormat="false" ht="21.75" hidden="false" customHeight="true" outlineLevel="0" collapsed="false">
      <c r="A156" s="49"/>
      <c r="B156" s="48"/>
      <c r="C156" s="43"/>
      <c r="D156" s="44"/>
      <c r="E156" s="44"/>
      <c r="F156" s="36" t="str">
        <f aca="false">IF(OR(D156="",E156=""),"",IF(IFERROR(INDEX(①出口报关!$I$4:$I$303,MATCH(E156,①出口报关!$A$4:$A$303,0)),"")=D156,"一致","SKU与报关单不符"))</f>
        <v/>
      </c>
      <c r="G156" s="45"/>
      <c r="H156" s="45"/>
      <c r="I156" s="31" t="str">
        <f aca="false">IF(AND(G156="",H156=""),"",N(G156)-N(H156))</f>
        <v/>
      </c>
      <c r="J156" s="46"/>
      <c r="K156" s="46"/>
      <c r="L156" s="34" t="str">
        <f aca="false">IF(AND(J156="",K156=""),"",N(J156)-N(K156))</f>
        <v/>
      </c>
      <c r="M156" s="35" t="str">
        <f aca="false">IF(B156="","",IF(COUNTIFS(③回款收汇!$A$4:$A$203,B156,③回款收汇!$R$4:$R$203,"&gt;0")&gt;0,"已收汇","待收汇"))</f>
        <v/>
      </c>
      <c r="N156" s="41"/>
      <c r="O156" s="41"/>
      <c r="P156" s="35" t="str">
        <f aca="true">IF(N156="","",IF(O156="",IF(TODAY()-N156&gt;15,"已超15天未留存","待留存"),IF(O156-N156&lt;=15,"及时","超期")))</f>
        <v/>
      </c>
      <c r="Q156" s="43"/>
    </row>
    <row r="157" customFormat="false" ht="21.75" hidden="false" customHeight="true" outlineLevel="0" collapsed="false">
      <c r="A157" s="49"/>
      <c r="B157" s="48"/>
      <c r="C157" s="43"/>
      <c r="D157" s="44"/>
      <c r="E157" s="44"/>
      <c r="F157" s="36" t="str">
        <f aca="false">IF(OR(D157="",E157=""),"",IF(IFERROR(INDEX(①出口报关!$I$4:$I$303,MATCH(E157,①出口报关!$A$4:$A$303,0)),"")=D157,"一致","SKU与报关单不符"))</f>
        <v/>
      </c>
      <c r="G157" s="45"/>
      <c r="H157" s="45"/>
      <c r="I157" s="31" t="str">
        <f aca="false">IF(AND(G157="",H157=""),"",N(G157)-N(H157))</f>
        <v/>
      </c>
      <c r="J157" s="46"/>
      <c r="K157" s="46"/>
      <c r="L157" s="34" t="str">
        <f aca="false">IF(AND(J157="",K157=""),"",N(J157)-N(K157))</f>
        <v/>
      </c>
      <c r="M157" s="35" t="str">
        <f aca="false">IF(B157="","",IF(COUNTIFS(③回款收汇!$A$4:$A$203,B157,③回款收汇!$R$4:$R$203,"&gt;0")&gt;0,"已收汇","待收汇"))</f>
        <v/>
      </c>
      <c r="N157" s="41"/>
      <c r="O157" s="41"/>
      <c r="P157" s="35" t="str">
        <f aca="true">IF(N157="","",IF(O157="",IF(TODAY()-N157&gt;15,"已超15天未留存","待留存"),IF(O157-N157&lt;=15,"及时","超期")))</f>
        <v/>
      </c>
      <c r="Q157" s="43"/>
    </row>
    <row r="158" customFormat="false" ht="21.75" hidden="false" customHeight="true" outlineLevel="0" collapsed="false">
      <c r="A158" s="49"/>
      <c r="B158" s="48"/>
      <c r="C158" s="43"/>
      <c r="D158" s="44"/>
      <c r="E158" s="44"/>
      <c r="F158" s="36" t="str">
        <f aca="false">IF(OR(D158="",E158=""),"",IF(IFERROR(INDEX(①出口报关!$I$4:$I$303,MATCH(E158,①出口报关!$A$4:$A$303,0)),"")=D158,"一致","SKU与报关单不符"))</f>
        <v/>
      </c>
      <c r="G158" s="45"/>
      <c r="H158" s="45"/>
      <c r="I158" s="31" t="str">
        <f aca="false">IF(AND(G158="",H158=""),"",N(G158)-N(H158))</f>
        <v/>
      </c>
      <c r="J158" s="46"/>
      <c r="K158" s="46"/>
      <c r="L158" s="34" t="str">
        <f aca="false">IF(AND(J158="",K158=""),"",N(J158)-N(K158))</f>
        <v/>
      </c>
      <c r="M158" s="35" t="str">
        <f aca="false">IF(B158="","",IF(COUNTIFS(③回款收汇!$A$4:$A$203,B158,③回款收汇!$R$4:$R$203,"&gt;0")&gt;0,"已收汇","待收汇"))</f>
        <v/>
      </c>
      <c r="N158" s="41"/>
      <c r="O158" s="41"/>
      <c r="P158" s="35" t="str">
        <f aca="true">IF(N158="","",IF(O158="",IF(TODAY()-N158&gt;15,"已超15天未留存","待留存"),IF(O158-N158&lt;=15,"及时","超期")))</f>
        <v/>
      </c>
      <c r="Q158" s="43"/>
    </row>
    <row r="159" customFormat="false" ht="21.75" hidden="false" customHeight="true" outlineLevel="0" collapsed="false">
      <c r="A159" s="49"/>
      <c r="B159" s="48"/>
      <c r="C159" s="43"/>
      <c r="D159" s="44"/>
      <c r="E159" s="44"/>
      <c r="F159" s="36" t="str">
        <f aca="false">IF(OR(D159="",E159=""),"",IF(IFERROR(INDEX(①出口报关!$I$4:$I$303,MATCH(E159,①出口报关!$A$4:$A$303,0)),"")=D159,"一致","SKU与报关单不符"))</f>
        <v/>
      </c>
      <c r="G159" s="45"/>
      <c r="H159" s="45"/>
      <c r="I159" s="31" t="str">
        <f aca="false">IF(AND(G159="",H159=""),"",N(G159)-N(H159))</f>
        <v/>
      </c>
      <c r="J159" s="46"/>
      <c r="K159" s="46"/>
      <c r="L159" s="34" t="str">
        <f aca="false">IF(AND(J159="",K159=""),"",N(J159)-N(K159))</f>
        <v/>
      </c>
      <c r="M159" s="35" t="str">
        <f aca="false">IF(B159="","",IF(COUNTIFS(③回款收汇!$A$4:$A$203,B159,③回款收汇!$R$4:$R$203,"&gt;0")&gt;0,"已收汇","待收汇"))</f>
        <v/>
      </c>
      <c r="N159" s="41"/>
      <c r="O159" s="41"/>
      <c r="P159" s="35" t="str">
        <f aca="true">IF(N159="","",IF(O159="",IF(TODAY()-N159&gt;15,"已超15天未留存","待留存"),IF(O159-N159&lt;=15,"及时","超期")))</f>
        <v/>
      </c>
      <c r="Q159" s="43"/>
    </row>
    <row r="160" customFormat="false" ht="21.75" hidden="false" customHeight="true" outlineLevel="0" collapsed="false">
      <c r="A160" s="49"/>
      <c r="B160" s="48"/>
      <c r="C160" s="43"/>
      <c r="D160" s="44"/>
      <c r="E160" s="44"/>
      <c r="F160" s="36" t="str">
        <f aca="false">IF(OR(D160="",E160=""),"",IF(IFERROR(INDEX(①出口报关!$I$4:$I$303,MATCH(E160,①出口报关!$A$4:$A$303,0)),"")=D160,"一致","SKU与报关单不符"))</f>
        <v/>
      </c>
      <c r="G160" s="45"/>
      <c r="H160" s="45"/>
      <c r="I160" s="31" t="str">
        <f aca="false">IF(AND(G160="",H160=""),"",N(G160)-N(H160))</f>
        <v/>
      </c>
      <c r="J160" s="46"/>
      <c r="K160" s="46"/>
      <c r="L160" s="34" t="str">
        <f aca="false">IF(AND(J160="",K160=""),"",N(J160)-N(K160))</f>
        <v/>
      </c>
      <c r="M160" s="35" t="str">
        <f aca="false">IF(B160="","",IF(COUNTIFS(③回款收汇!$A$4:$A$203,B160,③回款收汇!$R$4:$R$203,"&gt;0")&gt;0,"已收汇","待收汇"))</f>
        <v/>
      </c>
      <c r="N160" s="41"/>
      <c r="O160" s="41"/>
      <c r="P160" s="35" t="str">
        <f aca="true">IF(N160="","",IF(O160="",IF(TODAY()-N160&gt;15,"已超15天未留存","待留存"),IF(O160-N160&lt;=15,"及时","超期")))</f>
        <v/>
      </c>
      <c r="Q160" s="43"/>
    </row>
    <row r="161" customFormat="false" ht="21.75" hidden="false" customHeight="true" outlineLevel="0" collapsed="false">
      <c r="A161" s="49"/>
      <c r="B161" s="48"/>
      <c r="C161" s="43"/>
      <c r="D161" s="44"/>
      <c r="E161" s="44"/>
      <c r="F161" s="36" t="str">
        <f aca="false">IF(OR(D161="",E161=""),"",IF(IFERROR(INDEX(①出口报关!$I$4:$I$303,MATCH(E161,①出口报关!$A$4:$A$303,0)),"")=D161,"一致","SKU与报关单不符"))</f>
        <v/>
      </c>
      <c r="G161" s="45"/>
      <c r="H161" s="45"/>
      <c r="I161" s="31" t="str">
        <f aca="false">IF(AND(G161="",H161=""),"",N(G161)-N(H161))</f>
        <v/>
      </c>
      <c r="J161" s="46"/>
      <c r="K161" s="46"/>
      <c r="L161" s="34" t="str">
        <f aca="false">IF(AND(J161="",K161=""),"",N(J161)-N(K161))</f>
        <v/>
      </c>
      <c r="M161" s="35" t="str">
        <f aca="false">IF(B161="","",IF(COUNTIFS(③回款收汇!$A$4:$A$203,B161,③回款收汇!$R$4:$R$203,"&gt;0")&gt;0,"已收汇","待收汇"))</f>
        <v/>
      </c>
      <c r="N161" s="41"/>
      <c r="O161" s="41"/>
      <c r="P161" s="35" t="str">
        <f aca="true">IF(N161="","",IF(O161="",IF(TODAY()-N161&gt;15,"已超15天未留存","待留存"),IF(O161-N161&lt;=15,"及时","超期")))</f>
        <v/>
      </c>
      <c r="Q161" s="43"/>
    </row>
    <row r="162" customFormat="false" ht="21.75" hidden="false" customHeight="true" outlineLevel="0" collapsed="false">
      <c r="A162" s="49"/>
      <c r="B162" s="48"/>
      <c r="C162" s="43"/>
      <c r="D162" s="44"/>
      <c r="E162" s="44"/>
      <c r="F162" s="36" t="str">
        <f aca="false">IF(OR(D162="",E162=""),"",IF(IFERROR(INDEX(①出口报关!$I$4:$I$303,MATCH(E162,①出口报关!$A$4:$A$303,0)),"")=D162,"一致","SKU与报关单不符"))</f>
        <v/>
      </c>
      <c r="G162" s="45"/>
      <c r="H162" s="45"/>
      <c r="I162" s="31" t="str">
        <f aca="false">IF(AND(G162="",H162=""),"",N(G162)-N(H162))</f>
        <v/>
      </c>
      <c r="J162" s="46"/>
      <c r="K162" s="46"/>
      <c r="L162" s="34" t="str">
        <f aca="false">IF(AND(J162="",K162=""),"",N(J162)-N(K162))</f>
        <v/>
      </c>
      <c r="M162" s="35" t="str">
        <f aca="false">IF(B162="","",IF(COUNTIFS(③回款收汇!$A$4:$A$203,B162,③回款收汇!$R$4:$R$203,"&gt;0")&gt;0,"已收汇","待收汇"))</f>
        <v/>
      </c>
      <c r="N162" s="41"/>
      <c r="O162" s="41"/>
      <c r="P162" s="35" t="str">
        <f aca="true">IF(N162="","",IF(O162="",IF(TODAY()-N162&gt;15,"已超15天未留存","待留存"),IF(O162-N162&lt;=15,"及时","超期")))</f>
        <v/>
      </c>
      <c r="Q162" s="43"/>
    </row>
    <row r="163" customFormat="false" ht="21.75" hidden="false" customHeight="true" outlineLevel="0" collapsed="false">
      <c r="A163" s="49"/>
      <c r="B163" s="48"/>
      <c r="C163" s="43"/>
      <c r="D163" s="44"/>
      <c r="E163" s="44"/>
      <c r="F163" s="36" t="str">
        <f aca="false">IF(OR(D163="",E163=""),"",IF(IFERROR(INDEX(①出口报关!$I$4:$I$303,MATCH(E163,①出口报关!$A$4:$A$303,0)),"")=D163,"一致","SKU与报关单不符"))</f>
        <v/>
      </c>
      <c r="G163" s="45"/>
      <c r="H163" s="45"/>
      <c r="I163" s="31" t="str">
        <f aca="false">IF(AND(G163="",H163=""),"",N(G163)-N(H163))</f>
        <v/>
      </c>
      <c r="J163" s="46"/>
      <c r="K163" s="46"/>
      <c r="L163" s="34" t="str">
        <f aca="false">IF(AND(J163="",K163=""),"",N(J163)-N(K163))</f>
        <v/>
      </c>
      <c r="M163" s="35" t="str">
        <f aca="false">IF(B163="","",IF(COUNTIFS(③回款收汇!$A$4:$A$203,B163,③回款收汇!$R$4:$R$203,"&gt;0")&gt;0,"已收汇","待收汇"))</f>
        <v/>
      </c>
      <c r="N163" s="41"/>
      <c r="O163" s="41"/>
      <c r="P163" s="35" t="str">
        <f aca="true">IF(N163="","",IF(O163="",IF(TODAY()-N163&gt;15,"已超15天未留存","待留存"),IF(O163-N163&lt;=15,"及时","超期")))</f>
        <v/>
      </c>
      <c r="Q163" s="43"/>
    </row>
    <row r="164" customFormat="false" ht="21.75" hidden="false" customHeight="true" outlineLevel="0" collapsed="false">
      <c r="A164" s="49"/>
      <c r="B164" s="48"/>
      <c r="C164" s="43"/>
      <c r="D164" s="44"/>
      <c r="E164" s="44"/>
      <c r="F164" s="36" t="str">
        <f aca="false">IF(OR(D164="",E164=""),"",IF(IFERROR(INDEX(①出口报关!$I$4:$I$303,MATCH(E164,①出口报关!$A$4:$A$303,0)),"")=D164,"一致","SKU与报关单不符"))</f>
        <v/>
      </c>
      <c r="G164" s="45"/>
      <c r="H164" s="45"/>
      <c r="I164" s="31" t="str">
        <f aca="false">IF(AND(G164="",H164=""),"",N(G164)-N(H164))</f>
        <v/>
      </c>
      <c r="J164" s="46"/>
      <c r="K164" s="46"/>
      <c r="L164" s="34" t="str">
        <f aca="false">IF(AND(J164="",K164=""),"",N(J164)-N(K164))</f>
        <v/>
      </c>
      <c r="M164" s="35" t="str">
        <f aca="false">IF(B164="","",IF(COUNTIFS(③回款收汇!$A$4:$A$203,B164,③回款收汇!$R$4:$R$203,"&gt;0")&gt;0,"已收汇","待收汇"))</f>
        <v/>
      </c>
      <c r="N164" s="41"/>
      <c r="O164" s="41"/>
      <c r="P164" s="35" t="str">
        <f aca="true">IF(N164="","",IF(O164="",IF(TODAY()-N164&gt;15,"已超15天未留存","待留存"),IF(O164-N164&lt;=15,"及时","超期")))</f>
        <v/>
      </c>
      <c r="Q164" s="43"/>
    </row>
    <row r="165" customFormat="false" ht="21.75" hidden="false" customHeight="true" outlineLevel="0" collapsed="false">
      <c r="A165" s="49"/>
      <c r="B165" s="48"/>
      <c r="C165" s="43"/>
      <c r="D165" s="44"/>
      <c r="E165" s="44"/>
      <c r="F165" s="36" t="str">
        <f aca="false">IF(OR(D165="",E165=""),"",IF(IFERROR(INDEX(①出口报关!$I$4:$I$303,MATCH(E165,①出口报关!$A$4:$A$303,0)),"")=D165,"一致","SKU与报关单不符"))</f>
        <v/>
      </c>
      <c r="G165" s="45"/>
      <c r="H165" s="45"/>
      <c r="I165" s="31" t="str">
        <f aca="false">IF(AND(G165="",H165=""),"",N(G165)-N(H165))</f>
        <v/>
      </c>
      <c r="J165" s="46"/>
      <c r="K165" s="46"/>
      <c r="L165" s="34" t="str">
        <f aca="false">IF(AND(J165="",K165=""),"",N(J165)-N(K165))</f>
        <v/>
      </c>
      <c r="M165" s="35" t="str">
        <f aca="false">IF(B165="","",IF(COUNTIFS(③回款收汇!$A$4:$A$203,B165,③回款收汇!$R$4:$R$203,"&gt;0")&gt;0,"已收汇","待收汇"))</f>
        <v/>
      </c>
      <c r="N165" s="41"/>
      <c r="O165" s="41"/>
      <c r="P165" s="35" t="str">
        <f aca="true">IF(N165="","",IF(O165="",IF(TODAY()-N165&gt;15,"已超15天未留存","待留存"),IF(O165-N165&lt;=15,"及时","超期")))</f>
        <v/>
      </c>
      <c r="Q165" s="43"/>
    </row>
    <row r="166" customFormat="false" ht="21.75" hidden="false" customHeight="true" outlineLevel="0" collapsed="false">
      <c r="A166" s="49"/>
      <c r="B166" s="48"/>
      <c r="C166" s="43"/>
      <c r="D166" s="44"/>
      <c r="E166" s="44"/>
      <c r="F166" s="36" t="str">
        <f aca="false">IF(OR(D166="",E166=""),"",IF(IFERROR(INDEX(①出口报关!$I$4:$I$303,MATCH(E166,①出口报关!$A$4:$A$303,0)),"")=D166,"一致","SKU与报关单不符"))</f>
        <v/>
      </c>
      <c r="G166" s="45"/>
      <c r="H166" s="45"/>
      <c r="I166" s="31" t="str">
        <f aca="false">IF(AND(G166="",H166=""),"",N(G166)-N(H166))</f>
        <v/>
      </c>
      <c r="J166" s="46"/>
      <c r="K166" s="46"/>
      <c r="L166" s="34" t="str">
        <f aca="false">IF(AND(J166="",K166=""),"",N(J166)-N(K166))</f>
        <v/>
      </c>
      <c r="M166" s="35" t="str">
        <f aca="false">IF(B166="","",IF(COUNTIFS(③回款收汇!$A$4:$A$203,B166,③回款收汇!$R$4:$R$203,"&gt;0")&gt;0,"已收汇","待收汇"))</f>
        <v/>
      </c>
      <c r="N166" s="41"/>
      <c r="O166" s="41"/>
      <c r="P166" s="35" t="str">
        <f aca="true">IF(N166="","",IF(O166="",IF(TODAY()-N166&gt;15,"已超15天未留存","待留存"),IF(O166-N166&lt;=15,"及时","超期")))</f>
        <v/>
      </c>
      <c r="Q166" s="43"/>
    </row>
    <row r="167" customFormat="false" ht="21.75" hidden="false" customHeight="true" outlineLevel="0" collapsed="false">
      <c r="A167" s="49"/>
      <c r="B167" s="48"/>
      <c r="C167" s="43"/>
      <c r="D167" s="44"/>
      <c r="E167" s="44"/>
      <c r="F167" s="36" t="str">
        <f aca="false">IF(OR(D167="",E167=""),"",IF(IFERROR(INDEX(①出口报关!$I$4:$I$303,MATCH(E167,①出口报关!$A$4:$A$303,0)),"")=D167,"一致","SKU与报关单不符"))</f>
        <v/>
      </c>
      <c r="G167" s="45"/>
      <c r="H167" s="45"/>
      <c r="I167" s="31" t="str">
        <f aca="false">IF(AND(G167="",H167=""),"",N(G167)-N(H167))</f>
        <v/>
      </c>
      <c r="J167" s="46"/>
      <c r="K167" s="46"/>
      <c r="L167" s="34" t="str">
        <f aca="false">IF(AND(J167="",K167=""),"",N(J167)-N(K167))</f>
        <v/>
      </c>
      <c r="M167" s="35" t="str">
        <f aca="false">IF(B167="","",IF(COUNTIFS(③回款收汇!$A$4:$A$203,B167,③回款收汇!$R$4:$R$203,"&gt;0")&gt;0,"已收汇","待收汇"))</f>
        <v/>
      </c>
      <c r="N167" s="41"/>
      <c r="O167" s="41"/>
      <c r="P167" s="35" t="str">
        <f aca="true">IF(N167="","",IF(O167="",IF(TODAY()-N167&gt;15,"已超15天未留存","待留存"),IF(O167-N167&lt;=15,"及时","超期")))</f>
        <v/>
      </c>
      <c r="Q167" s="43"/>
    </row>
    <row r="168" customFormat="false" ht="21.75" hidden="false" customHeight="true" outlineLevel="0" collapsed="false">
      <c r="A168" s="49"/>
      <c r="B168" s="48"/>
      <c r="C168" s="43"/>
      <c r="D168" s="44"/>
      <c r="E168" s="44"/>
      <c r="F168" s="36" t="str">
        <f aca="false">IF(OR(D168="",E168=""),"",IF(IFERROR(INDEX(①出口报关!$I$4:$I$303,MATCH(E168,①出口报关!$A$4:$A$303,0)),"")=D168,"一致","SKU与报关单不符"))</f>
        <v/>
      </c>
      <c r="G168" s="45"/>
      <c r="H168" s="45"/>
      <c r="I168" s="31" t="str">
        <f aca="false">IF(AND(G168="",H168=""),"",N(G168)-N(H168))</f>
        <v/>
      </c>
      <c r="J168" s="46"/>
      <c r="K168" s="46"/>
      <c r="L168" s="34" t="str">
        <f aca="false">IF(AND(J168="",K168=""),"",N(J168)-N(K168))</f>
        <v/>
      </c>
      <c r="M168" s="35" t="str">
        <f aca="false">IF(B168="","",IF(COUNTIFS(③回款收汇!$A$4:$A$203,B168,③回款收汇!$R$4:$R$203,"&gt;0")&gt;0,"已收汇","待收汇"))</f>
        <v/>
      </c>
      <c r="N168" s="41"/>
      <c r="O168" s="41"/>
      <c r="P168" s="35" t="str">
        <f aca="true">IF(N168="","",IF(O168="",IF(TODAY()-N168&gt;15,"已超15天未留存","待留存"),IF(O168-N168&lt;=15,"及时","超期")))</f>
        <v/>
      </c>
      <c r="Q168" s="43"/>
    </row>
    <row r="169" customFormat="false" ht="21.75" hidden="false" customHeight="true" outlineLevel="0" collapsed="false">
      <c r="A169" s="49"/>
      <c r="B169" s="48"/>
      <c r="C169" s="43"/>
      <c r="D169" s="44"/>
      <c r="E169" s="44"/>
      <c r="F169" s="36" t="str">
        <f aca="false">IF(OR(D169="",E169=""),"",IF(IFERROR(INDEX(①出口报关!$I$4:$I$303,MATCH(E169,①出口报关!$A$4:$A$303,0)),"")=D169,"一致","SKU与报关单不符"))</f>
        <v/>
      </c>
      <c r="G169" s="45"/>
      <c r="H169" s="45"/>
      <c r="I169" s="31" t="str">
        <f aca="false">IF(AND(G169="",H169=""),"",N(G169)-N(H169))</f>
        <v/>
      </c>
      <c r="J169" s="46"/>
      <c r="K169" s="46"/>
      <c r="L169" s="34" t="str">
        <f aca="false">IF(AND(J169="",K169=""),"",N(J169)-N(K169))</f>
        <v/>
      </c>
      <c r="M169" s="35" t="str">
        <f aca="false">IF(B169="","",IF(COUNTIFS(③回款收汇!$A$4:$A$203,B169,③回款收汇!$R$4:$R$203,"&gt;0")&gt;0,"已收汇","待收汇"))</f>
        <v/>
      </c>
      <c r="N169" s="41"/>
      <c r="O169" s="41"/>
      <c r="P169" s="35" t="str">
        <f aca="true">IF(N169="","",IF(O169="",IF(TODAY()-N169&gt;15,"已超15天未留存","待留存"),IF(O169-N169&lt;=15,"及时","超期")))</f>
        <v/>
      </c>
      <c r="Q169" s="43"/>
    </row>
    <row r="170" customFormat="false" ht="21.75" hidden="false" customHeight="true" outlineLevel="0" collapsed="false">
      <c r="A170" s="49"/>
      <c r="B170" s="48"/>
      <c r="C170" s="43"/>
      <c r="D170" s="44"/>
      <c r="E170" s="44"/>
      <c r="F170" s="36" t="str">
        <f aca="false">IF(OR(D170="",E170=""),"",IF(IFERROR(INDEX(①出口报关!$I$4:$I$303,MATCH(E170,①出口报关!$A$4:$A$303,0)),"")=D170,"一致","SKU与报关单不符"))</f>
        <v/>
      </c>
      <c r="G170" s="45"/>
      <c r="H170" s="45"/>
      <c r="I170" s="31" t="str">
        <f aca="false">IF(AND(G170="",H170=""),"",N(G170)-N(H170))</f>
        <v/>
      </c>
      <c r="J170" s="46"/>
      <c r="K170" s="46"/>
      <c r="L170" s="34" t="str">
        <f aca="false">IF(AND(J170="",K170=""),"",N(J170)-N(K170))</f>
        <v/>
      </c>
      <c r="M170" s="35" t="str">
        <f aca="false">IF(B170="","",IF(COUNTIFS(③回款收汇!$A$4:$A$203,B170,③回款收汇!$R$4:$R$203,"&gt;0")&gt;0,"已收汇","待收汇"))</f>
        <v/>
      </c>
      <c r="N170" s="41"/>
      <c r="O170" s="41"/>
      <c r="P170" s="35" t="str">
        <f aca="true">IF(N170="","",IF(O170="",IF(TODAY()-N170&gt;15,"已超15天未留存","待留存"),IF(O170-N170&lt;=15,"及时","超期")))</f>
        <v/>
      </c>
      <c r="Q170" s="43"/>
    </row>
    <row r="171" customFormat="false" ht="21.75" hidden="false" customHeight="true" outlineLevel="0" collapsed="false">
      <c r="A171" s="49"/>
      <c r="B171" s="48"/>
      <c r="C171" s="43"/>
      <c r="D171" s="44"/>
      <c r="E171" s="44"/>
      <c r="F171" s="36" t="str">
        <f aca="false">IF(OR(D171="",E171=""),"",IF(IFERROR(INDEX(①出口报关!$I$4:$I$303,MATCH(E171,①出口报关!$A$4:$A$303,0)),"")=D171,"一致","SKU与报关单不符"))</f>
        <v/>
      </c>
      <c r="G171" s="45"/>
      <c r="H171" s="45"/>
      <c r="I171" s="31" t="str">
        <f aca="false">IF(AND(G171="",H171=""),"",N(G171)-N(H171))</f>
        <v/>
      </c>
      <c r="J171" s="46"/>
      <c r="K171" s="46"/>
      <c r="L171" s="34" t="str">
        <f aca="false">IF(AND(J171="",K171=""),"",N(J171)-N(K171))</f>
        <v/>
      </c>
      <c r="M171" s="35" t="str">
        <f aca="false">IF(B171="","",IF(COUNTIFS(③回款收汇!$A$4:$A$203,B171,③回款收汇!$R$4:$R$203,"&gt;0")&gt;0,"已收汇","待收汇"))</f>
        <v/>
      </c>
      <c r="N171" s="41"/>
      <c r="O171" s="41"/>
      <c r="P171" s="35" t="str">
        <f aca="true">IF(N171="","",IF(O171="",IF(TODAY()-N171&gt;15,"已超15天未留存","待留存"),IF(O171-N171&lt;=15,"及时","超期")))</f>
        <v/>
      </c>
      <c r="Q171" s="43"/>
    </row>
    <row r="172" customFormat="false" ht="21.75" hidden="false" customHeight="true" outlineLevel="0" collapsed="false">
      <c r="A172" s="49"/>
      <c r="B172" s="48"/>
      <c r="C172" s="43"/>
      <c r="D172" s="44"/>
      <c r="E172" s="44"/>
      <c r="F172" s="36" t="str">
        <f aca="false">IF(OR(D172="",E172=""),"",IF(IFERROR(INDEX(①出口报关!$I$4:$I$303,MATCH(E172,①出口报关!$A$4:$A$303,0)),"")=D172,"一致","SKU与报关单不符"))</f>
        <v/>
      </c>
      <c r="G172" s="45"/>
      <c r="H172" s="45"/>
      <c r="I172" s="31" t="str">
        <f aca="false">IF(AND(G172="",H172=""),"",N(G172)-N(H172))</f>
        <v/>
      </c>
      <c r="J172" s="46"/>
      <c r="K172" s="46"/>
      <c r="L172" s="34" t="str">
        <f aca="false">IF(AND(J172="",K172=""),"",N(J172)-N(K172))</f>
        <v/>
      </c>
      <c r="M172" s="35" t="str">
        <f aca="false">IF(B172="","",IF(COUNTIFS(③回款收汇!$A$4:$A$203,B172,③回款收汇!$R$4:$R$203,"&gt;0")&gt;0,"已收汇","待收汇"))</f>
        <v/>
      </c>
      <c r="N172" s="41"/>
      <c r="O172" s="41"/>
      <c r="P172" s="35" t="str">
        <f aca="true">IF(N172="","",IF(O172="",IF(TODAY()-N172&gt;15,"已超15天未留存","待留存"),IF(O172-N172&lt;=15,"及时","超期")))</f>
        <v/>
      </c>
      <c r="Q172" s="43"/>
    </row>
    <row r="173" customFormat="false" ht="21.75" hidden="false" customHeight="true" outlineLevel="0" collapsed="false">
      <c r="A173" s="49"/>
      <c r="B173" s="48"/>
      <c r="C173" s="43"/>
      <c r="D173" s="44"/>
      <c r="E173" s="44"/>
      <c r="F173" s="36" t="str">
        <f aca="false">IF(OR(D173="",E173=""),"",IF(IFERROR(INDEX(①出口报关!$I$4:$I$303,MATCH(E173,①出口报关!$A$4:$A$303,0)),"")=D173,"一致","SKU与报关单不符"))</f>
        <v/>
      </c>
      <c r="G173" s="45"/>
      <c r="H173" s="45"/>
      <c r="I173" s="31" t="str">
        <f aca="false">IF(AND(G173="",H173=""),"",N(G173)-N(H173))</f>
        <v/>
      </c>
      <c r="J173" s="46"/>
      <c r="K173" s="46"/>
      <c r="L173" s="34" t="str">
        <f aca="false">IF(AND(J173="",K173=""),"",N(J173)-N(K173))</f>
        <v/>
      </c>
      <c r="M173" s="35" t="str">
        <f aca="false">IF(B173="","",IF(COUNTIFS(③回款收汇!$A$4:$A$203,B173,③回款收汇!$R$4:$R$203,"&gt;0")&gt;0,"已收汇","待收汇"))</f>
        <v/>
      </c>
      <c r="N173" s="41"/>
      <c r="O173" s="41"/>
      <c r="P173" s="35" t="str">
        <f aca="true">IF(N173="","",IF(O173="",IF(TODAY()-N173&gt;15,"已超15天未留存","待留存"),IF(O173-N173&lt;=15,"及时","超期")))</f>
        <v/>
      </c>
      <c r="Q173" s="43"/>
    </row>
    <row r="174" customFormat="false" ht="21.75" hidden="false" customHeight="true" outlineLevel="0" collapsed="false">
      <c r="A174" s="49"/>
      <c r="B174" s="48"/>
      <c r="C174" s="43"/>
      <c r="D174" s="44"/>
      <c r="E174" s="44"/>
      <c r="F174" s="36" t="str">
        <f aca="false">IF(OR(D174="",E174=""),"",IF(IFERROR(INDEX(①出口报关!$I$4:$I$303,MATCH(E174,①出口报关!$A$4:$A$303,0)),"")=D174,"一致","SKU与报关单不符"))</f>
        <v/>
      </c>
      <c r="G174" s="45"/>
      <c r="H174" s="45"/>
      <c r="I174" s="31" t="str">
        <f aca="false">IF(AND(G174="",H174=""),"",N(G174)-N(H174))</f>
        <v/>
      </c>
      <c r="J174" s="46"/>
      <c r="K174" s="46"/>
      <c r="L174" s="34" t="str">
        <f aca="false">IF(AND(J174="",K174=""),"",N(J174)-N(K174))</f>
        <v/>
      </c>
      <c r="M174" s="35" t="str">
        <f aca="false">IF(B174="","",IF(COUNTIFS(③回款收汇!$A$4:$A$203,B174,③回款收汇!$R$4:$R$203,"&gt;0")&gt;0,"已收汇","待收汇"))</f>
        <v/>
      </c>
      <c r="N174" s="41"/>
      <c r="O174" s="41"/>
      <c r="P174" s="35" t="str">
        <f aca="true">IF(N174="","",IF(O174="",IF(TODAY()-N174&gt;15,"已超15天未留存","待留存"),IF(O174-N174&lt;=15,"及时","超期")))</f>
        <v/>
      </c>
      <c r="Q174" s="43"/>
    </row>
    <row r="175" customFormat="false" ht="21.75" hidden="false" customHeight="true" outlineLevel="0" collapsed="false">
      <c r="A175" s="49"/>
      <c r="B175" s="48"/>
      <c r="C175" s="43"/>
      <c r="D175" s="44"/>
      <c r="E175" s="44"/>
      <c r="F175" s="36" t="str">
        <f aca="false">IF(OR(D175="",E175=""),"",IF(IFERROR(INDEX(①出口报关!$I$4:$I$303,MATCH(E175,①出口报关!$A$4:$A$303,0)),"")=D175,"一致","SKU与报关单不符"))</f>
        <v/>
      </c>
      <c r="G175" s="45"/>
      <c r="H175" s="45"/>
      <c r="I175" s="31" t="str">
        <f aca="false">IF(AND(G175="",H175=""),"",N(G175)-N(H175))</f>
        <v/>
      </c>
      <c r="J175" s="46"/>
      <c r="K175" s="46"/>
      <c r="L175" s="34" t="str">
        <f aca="false">IF(AND(J175="",K175=""),"",N(J175)-N(K175))</f>
        <v/>
      </c>
      <c r="M175" s="35" t="str">
        <f aca="false">IF(B175="","",IF(COUNTIFS(③回款收汇!$A$4:$A$203,B175,③回款收汇!$R$4:$R$203,"&gt;0")&gt;0,"已收汇","待收汇"))</f>
        <v/>
      </c>
      <c r="N175" s="41"/>
      <c r="O175" s="41"/>
      <c r="P175" s="35" t="str">
        <f aca="true">IF(N175="","",IF(O175="",IF(TODAY()-N175&gt;15,"已超15天未留存","待留存"),IF(O175-N175&lt;=15,"及时","超期")))</f>
        <v/>
      </c>
      <c r="Q175" s="43"/>
    </row>
    <row r="176" customFormat="false" ht="21.75" hidden="false" customHeight="true" outlineLevel="0" collapsed="false">
      <c r="A176" s="49"/>
      <c r="B176" s="48"/>
      <c r="C176" s="43"/>
      <c r="D176" s="44"/>
      <c r="E176" s="44"/>
      <c r="F176" s="36" t="str">
        <f aca="false">IF(OR(D176="",E176=""),"",IF(IFERROR(INDEX(①出口报关!$I$4:$I$303,MATCH(E176,①出口报关!$A$4:$A$303,0)),"")=D176,"一致","SKU与报关单不符"))</f>
        <v/>
      </c>
      <c r="G176" s="45"/>
      <c r="H176" s="45"/>
      <c r="I176" s="31" t="str">
        <f aca="false">IF(AND(G176="",H176=""),"",N(G176)-N(H176))</f>
        <v/>
      </c>
      <c r="J176" s="46"/>
      <c r="K176" s="46"/>
      <c r="L176" s="34" t="str">
        <f aca="false">IF(AND(J176="",K176=""),"",N(J176)-N(K176))</f>
        <v/>
      </c>
      <c r="M176" s="35" t="str">
        <f aca="false">IF(B176="","",IF(COUNTIFS(③回款收汇!$A$4:$A$203,B176,③回款收汇!$R$4:$R$203,"&gt;0")&gt;0,"已收汇","待收汇"))</f>
        <v/>
      </c>
      <c r="N176" s="41"/>
      <c r="O176" s="41"/>
      <c r="P176" s="35" t="str">
        <f aca="true">IF(N176="","",IF(O176="",IF(TODAY()-N176&gt;15,"已超15天未留存","待留存"),IF(O176-N176&lt;=15,"及时","超期")))</f>
        <v/>
      </c>
      <c r="Q176" s="43"/>
    </row>
    <row r="177" customFormat="false" ht="21.75" hidden="false" customHeight="true" outlineLevel="0" collapsed="false">
      <c r="A177" s="49"/>
      <c r="B177" s="48"/>
      <c r="C177" s="43"/>
      <c r="D177" s="44"/>
      <c r="E177" s="44"/>
      <c r="F177" s="36" t="str">
        <f aca="false">IF(OR(D177="",E177=""),"",IF(IFERROR(INDEX(①出口报关!$I$4:$I$303,MATCH(E177,①出口报关!$A$4:$A$303,0)),"")=D177,"一致","SKU与报关单不符"))</f>
        <v/>
      </c>
      <c r="G177" s="45"/>
      <c r="H177" s="45"/>
      <c r="I177" s="31" t="str">
        <f aca="false">IF(AND(G177="",H177=""),"",N(G177)-N(H177))</f>
        <v/>
      </c>
      <c r="J177" s="46"/>
      <c r="K177" s="46"/>
      <c r="L177" s="34" t="str">
        <f aca="false">IF(AND(J177="",K177=""),"",N(J177)-N(K177))</f>
        <v/>
      </c>
      <c r="M177" s="35" t="str">
        <f aca="false">IF(B177="","",IF(COUNTIFS(③回款收汇!$A$4:$A$203,B177,③回款收汇!$R$4:$R$203,"&gt;0")&gt;0,"已收汇","待收汇"))</f>
        <v/>
      </c>
      <c r="N177" s="41"/>
      <c r="O177" s="41"/>
      <c r="P177" s="35" t="str">
        <f aca="true">IF(N177="","",IF(O177="",IF(TODAY()-N177&gt;15,"已超15天未留存","待留存"),IF(O177-N177&lt;=15,"及时","超期")))</f>
        <v/>
      </c>
      <c r="Q177" s="43"/>
    </row>
    <row r="178" customFormat="false" ht="21.75" hidden="false" customHeight="true" outlineLevel="0" collapsed="false">
      <c r="A178" s="49"/>
      <c r="B178" s="48"/>
      <c r="C178" s="43"/>
      <c r="D178" s="44"/>
      <c r="E178" s="44"/>
      <c r="F178" s="36" t="str">
        <f aca="false">IF(OR(D178="",E178=""),"",IF(IFERROR(INDEX(①出口报关!$I$4:$I$303,MATCH(E178,①出口报关!$A$4:$A$303,0)),"")=D178,"一致","SKU与报关单不符"))</f>
        <v/>
      </c>
      <c r="G178" s="45"/>
      <c r="H178" s="45"/>
      <c r="I178" s="31" t="str">
        <f aca="false">IF(AND(G178="",H178=""),"",N(G178)-N(H178))</f>
        <v/>
      </c>
      <c r="J178" s="46"/>
      <c r="K178" s="46"/>
      <c r="L178" s="34" t="str">
        <f aca="false">IF(AND(J178="",K178=""),"",N(J178)-N(K178))</f>
        <v/>
      </c>
      <c r="M178" s="35" t="str">
        <f aca="false">IF(B178="","",IF(COUNTIFS(③回款收汇!$A$4:$A$203,B178,③回款收汇!$R$4:$R$203,"&gt;0")&gt;0,"已收汇","待收汇"))</f>
        <v/>
      </c>
      <c r="N178" s="41"/>
      <c r="O178" s="41"/>
      <c r="P178" s="35" t="str">
        <f aca="true">IF(N178="","",IF(O178="",IF(TODAY()-N178&gt;15,"已超15天未留存","待留存"),IF(O178-N178&lt;=15,"及时","超期")))</f>
        <v/>
      </c>
      <c r="Q178" s="43"/>
    </row>
    <row r="179" customFormat="false" ht="21.75" hidden="false" customHeight="true" outlineLevel="0" collapsed="false">
      <c r="A179" s="49"/>
      <c r="B179" s="48"/>
      <c r="C179" s="43"/>
      <c r="D179" s="44"/>
      <c r="E179" s="44"/>
      <c r="F179" s="36" t="str">
        <f aca="false">IF(OR(D179="",E179=""),"",IF(IFERROR(INDEX(①出口报关!$I$4:$I$303,MATCH(E179,①出口报关!$A$4:$A$303,0)),"")=D179,"一致","SKU与报关单不符"))</f>
        <v/>
      </c>
      <c r="G179" s="45"/>
      <c r="H179" s="45"/>
      <c r="I179" s="31" t="str">
        <f aca="false">IF(AND(G179="",H179=""),"",N(G179)-N(H179))</f>
        <v/>
      </c>
      <c r="J179" s="46"/>
      <c r="K179" s="46"/>
      <c r="L179" s="34" t="str">
        <f aca="false">IF(AND(J179="",K179=""),"",N(J179)-N(K179))</f>
        <v/>
      </c>
      <c r="M179" s="35" t="str">
        <f aca="false">IF(B179="","",IF(COUNTIFS(③回款收汇!$A$4:$A$203,B179,③回款收汇!$R$4:$R$203,"&gt;0")&gt;0,"已收汇","待收汇"))</f>
        <v/>
      </c>
      <c r="N179" s="41"/>
      <c r="O179" s="41"/>
      <c r="P179" s="35" t="str">
        <f aca="true">IF(N179="","",IF(O179="",IF(TODAY()-N179&gt;15,"已超15天未留存","待留存"),IF(O179-N179&lt;=15,"及时","超期")))</f>
        <v/>
      </c>
      <c r="Q179" s="43"/>
    </row>
    <row r="180" customFormat="false" ht="21.75" hidden="false" customHeight="true" outlineLevel="0" collapsed="false">
      <c r="A180" s="49"/>
      <c r="B180" s="48"/>
      <c r="C180" s="43"/>
      <c r="D180" s="44"/>
      <c r="E180" s="44"/>
      <c r="F180" s="36" t="str">
        <f aca="false">IF(OR(D180="",E180=""),"",IF(IFERROR(INDEX(①出口报关!$I$4:$I$303,MATCH(E180,①出口报关!$A$4:$A$303,0)),"")=D180,"一致","SKU与报关单不符"))</f>
        <v/>
      </c>
      <c r="G180" s="45"/>
      <c r="H180" s="45"/>
      <c r="I180" s="31" t="str">
        <f aca="false">IF(AND(G180="",H180=""),"",N(G180)-N(H180))</f>
        <v/>
      </c>
      <c r="J180" s="46"/>
      <c r="K180" s="46"/>
      <c r="L180" s="34" t="str">
        <f aca="false">IF(AND(J180="",K180=""),"",N(J180)-N(K180))</f>
        <v/>
      </c>
      <c r="M180" s="35" t="str">
        <f aca="false">IF(B180="","",IF(COUNTIFS(③回款收汇!$A$4:$A$203,B180,③回款收汇!$R$4:$R$203,"&gt;0")&gt;0,"已收汇","待收汇"))</f>
        <v/>
      </c>
      <c r="N180" s="41"/>
      <c r="O180" s="41"/>
      <c r="P180" s="35" t="str">
        <f aca="true">IF(N180="","",IF(O180="",IF(TODAY()-N180&gt;15,"已超15天未留存","待留存"),IF(O180-N180&lt;=15,"及时","超期")))</f>
        <v/>
      </c>
      <c r="Q180" s="43"/>
    </row>
    <row r="181" customFormat="false" ht="21.75" hidden="false" customHeight="true" outlineLevel="0" collapsed="false">
      <c r="A181" s="49"/>
      <c r="B181" s="48"/>
      <c r="C181" s="43"/>
      <c r="D181" s="44"/>
      <c r="E181" s="44"/>
      <c r="F181" s="36" t="str">
        <f aca="false">IF(OR(D181="",E181=""),"",IF(IFERROR(INDEX(①出口报关!$I$4:$I$303,MATCH(E181,①出口报关!$A$4:$A$303,0)),"")=D181,"一致","SKU与报关单不符"))</f>
        <v/>
      </c>
      <c r="G181" s="45"/>
      <c r="H181" s="45"/>
      <c r="I181" s="31" t="str">
        <f aca="false">IF(AND(G181="",H181=""),"",N(G181)-N(H181))</f>
        <v/>
      </c>
      <c r="J181" s="46"/>
      <c r="K181" s="46"/>
      <c r="L181" s="34" t="str">
        <f aca="false">IF(AND(J181="",K181=""),"",N(J181)-N(K181))</f>
        <v/>
      </c>
      <c r="M181" s="35" t="str">
        <f aca="false">IF(B181="","",IF(COUNTIFS(③回款收汇!$A$4:$A$203,B181,③回款收汇!$R$4:$R$203,"&gt;0")&gt;0,"已收汇","待收汇"))</f>
        <v/>
      </c>
      <c r="N181" s="41"/>
      <c r="O181" s="41"/>
      <c r="P181" s="35" t="str">
        <f aca="true">IF(N181="","",IF(O181="",IF(TODAY()-N181&gt;15,"已超15天未留存","待留存"),IF(O181-N181&lt;=15,"及时","超期")))</f>
        <v/>
      </c>
      <c r="Q181" s="43"/>
    </row>
    <row r="182" customFormat="false" ht="21.75" hidden="false" customHeight="true" outlineLevel="0" collapsed="false">
      <c r="A182" s="49"/>
      <c r="B182" s="48"/>
      <c r="C182" s="43"/>
      <c r="D182" s="44"/>
      <c r="E182" s="44"/>
      <c r="F182" s="36" t="str">
        <f aca="false">IF(OR(D182="",E182=""),"",IF(IFERROR(INDEX(①出口报关!$I$4:$I$303,MATCH(E182,①出口报关!$A$4:$A$303,0)),"")=D182,"一致","SKU与报关单不符"))</f>
        <v/>
      </c>
      <c r="G182" s="45"/>
      <c r="H182" s="45"/>
      <c r="I182" s="31" t="str">
        <f aca="false">IF(AND(G182="",H182=""),"",N(G182)-N(H182))</f>
        <v/>
      </c>
      <c r="J182" s="46"/>
      <c r="K182" s="46"/>
      <c r="L182" s="34" t="str">
        <f aca="false">IF(AND(J182="",K182=""),"",N(J182)-N(K182))</f>
        <v/>
      </c>
      <c r="M182" s="35" t="str">
        <f aca="false">IF(B182="","",IF(COUNTIFS(③回款收汇!$A$4:$A$203,B182,③回款收汇!$R$4:$R$203,"&gt;0")&gt;0,"已收汇","待收汇"))</f>
        <v/>
      </c>
      <c r="N182" s="41"/>
      <c r="O182" s="41"/>
      <c r="P182" s="35" t="str">
        <f aca="true">IF(N182="","",IF(O182="",IF(TODAY()-N182&gt;15,"已超15天未留存","待留存"),IF(O182-N182&lt;=15,"及时","超期")))</f>
        <v/>
      </c>
      <c r="Q182" s="43"/>
    </row>
    <row r="183" customFormat="false" ht="21.75" hidden="false" customHeight="true" outlineLevel="0" collapsed="false">
      <c r="A183" s="49"/>
      <c r="B183" s="48"/>
      <c r="C183" s="43"/>
      <c r="D183" s="44"/>
      <c r="E183" s="44"/>
      <c r="F183" s="36" t="str">
        <f aca="false">IF(OR(D183="",E183=""),"",IF(IFERROR(INDEX(①出口报关!$I$4:$I$303,MATCH(E183,①出口报关!$A$4:$A$303,0)),"")=D183,"一致","SKU与报关单不符"))</f>
        <v/>
      </c>
      <c r="G183" s="45"/>
      <c r="H183" s="45"/>
      <c r="I183" s="31" t="str">
        <f aca="false">IF(AND(G183="",H183=""),"",N(G183)-N(H183))</f>
        <v/>
      </c>
      <c r="J183" s="46"/>
      <c r="K183" s="46"/>
      <c r="L183" s="34" t="str">
        <f aca="false">IF(AND(J183="",K183=""),"",N(J183)-N(K183))</f>
        <v/>
      </c>
      <c r="M183" s="35" t="str">
        <f aca="false">IF(B183="","",IF(COUNTIFS(③回款收汇!$A$4:$A$203,B183,③回款收汇!$R$4:$R$203,"&gt;0")&gt;0,"已收汇","待收汇"))</f>
        <v/>
      </c>
      <c r="N183" s="41"/>
      <c r="O183" s="41"/>
      <c r="P183" s="35" t="str">
        <f aca="true">IF(N183="","",IF(O183="",IF(TODAY()-N183&gt;15,"已超15天未留存","待留存"),IF(O183-N183&lt;=15,"及时","超期")))</f>
        <v/>
      </c>
      <c r="Q183" s="43"/>
    </row>
    <row r="184" customFormat="false" ht="21.75" hidden="false" customHeight="true" outlineLevel="0" collapsed="false">
      <c r="A184" s="49"/>
      <c r="B184" s="48"/>
      <c r="C184" s="43"/>
      <c r="D184" s="44"/>
      <c r="E184" s="44"/>
      <c r="F184" s="36" t="str">
        <f aca="false">IF(OR(D184="",E184=""),"",IF(IFERROR(INDEX(①出口报关!$I$4:$I$303,MATCH(E184,①出口报关!$A$4:$A$303,0)),"")=D184,"一致","SKU与报关单不符"))</f>
        <v/>
      </c>
      <c r="G184" s="45"/>
      <c r="H184" s="45"/>
      <c r="I184" s="31" t="str">
        <f aca="false">IF(AND(G184="",H184=""),"",N(G184)-N(H184))</f>
        <v/>
      </c>
      <c r="J184" s="46"/>
      <c r="K184" s="46"/>
      <c r="L184" s="34" t="str">
        <f aca="false">IF(AND(J184="",K184=""),"",N(J184)-N(K184))</f>
        <v/>
      </c>
      <c r="M184" s="35" t="str">
        <f aca="false">IF(B184="","",IF(COUNTIFS(③回款收汇!$A$4:$A$203,B184,③回款收汇!$R$4:$R$203,"&gt;0")&gt;0,"已收汇","待收汇"))</f>
        <v/>
      </c>
      <c r="N184" s="41"/>
      <c r="O184" s="41"/>
      <c r="P184" s="35" t="str">
        <f aca="true">IF(N184="","",IF(O184="",IF(TODAY()-N184&gt;15,"已超15天未留存","待留存"),IF(O184-N184&lt;=15,"及时","超期")))</f>
        <v/>
      </c>
      <c r="Q184" s="43"/>
    </row>
    <row r="185" customFormat="false" ht="21.75" hidden="false" customHeight="true" outlineLevel="0" collapsed="false">
      <c r="A185" s="49"/>
      <c r="B185" s="48"/>
      <c r="C185" s="43"/>
      <c r="D185" s="44"/>
      <c r="E185" s="44"/>
      <c r="F185" s="36" t="str">
        <f aca="false">IF(OR(D185="",E185=""),"",IF(IFERROR(INDEX(①出口报关!$I$4:$I$303,MATCH(E185,①出口报关!$A$4:$A$303,0)),"")=D185,"一致","SKU与报关单不符"))</f>
        <v/>
      </c>
      <c r="G185" s="45"/>
      <c r="H185" s="45"/>
      <c r="I185" s="31" t="str">
        <f aca="false">IF(AND(G185="",H185=""),"",N(G185)-N(H185))</f>
        <v/>
      </c>
      <c r="J185" s="46"/>
      <c r="K185" s="46"/>
      <c r="L185" s="34" t="str">
        <f aca="false">IF(AND(J185="",K185=""),"",N(J185)-N(K185))</f>
        <v/>
      </c>
      <c r="M185" s="35" t="str">
        <f aca="false">IF(B185="","",IF(COUNTIFS(③回款收汇!$A$4:$A$203,B185,③回款收汇!$R$4:$R$203,"&gt;0")&gt;0,"已收汇","待收汇"))</f>
        <v/>
      </c>
      <c r="N185" s="41"/>
      <c r="O185" s="41"/>
      <c r="P185" s="35" t="str">
        <f aca="true">IF(N185="","",IF(O185="",IF(TODAY()-N185&gt;15,"已超15天未留存","待留存"),IF(O185-N185&lt;=15,"及时","超期")))</f>
        <v/>
      </c>
      <c r="Q185" s="43"/>
    </row>
    <row r="186" customFormat="false" ht="21.75" hidden="false" customHeight="true" outlineLevel="0" collapsed="false">
      <c r="A186" s="49"/>
      <c r="B186" s="48"/>
      <c r="C186" s="43"/>
      <c r="D186" s="44"/>
      <c r="E186" s="44"/>
      <c r="F186" s="36" t="str">
        <f aca="false">IF(OR(D186="",E186=""),"",IF(IFERROR(INDEX(①出口报关!$I$4:$I$303,MATCH(E186,①出口报关!$A$4:$A$303,0)),"")=D186,"一致","SKU与报关单不符"))</f>
        <v/>
      </c>
      <c r="G186" s="45"/>
      <c r="H186" s="45"/>
      <c r="I186" s="31" t="str">
        <f aca="false">IF(AND(G186="",H186=""),"",N(G186)-N(H186))</f>
        <v/>
      </c>
      <c r="J186" s="46"/>
      <c r="K186" s="46"/>
      <c r="L186" s="34" t="str">
        <f aca="false">IF(AND(J186="",K186=""),"",N(J186)-N(K186))</f>
        <v/>
      </c>
      <c r="M186" s="35" t="str">
        <f aca="false">IF(B186="","",IF(COUNTIFS(③回款收汇!$A$4:$A$203,B186,③回款收汇!$R$4:$R$203,"&gt;0")&gt;0,"已收汇","待收汇"))</f>
        <v/>
      </c>
      <c r="N186" s="41"/>
      <c r="O186" s="41"/>
      <c r="P186" s="35" t="str">
        <f aca="true">IF(N186="","",IF(O186="",IF(TODAY()-N186&gt;15,"已超15天未留存","待留存"),IF(O186-N186&lt;=15,"及时","超期")))</f>
        <v/>
      </c>
      <c r="Q186" s="43"/>
    </row>
    <row r="187" customFormat="false" ht="21.75" hidden="false" customHeight="true" outlineLevel="0" collapsed="false">
      <c r="A187" s="49"/>
      <c r="B187" s="48"/>
      <c r="C187" s="43"/>
      <c r="D187" s="44"/>
      <c r="E187" s="44"/>
      <c r="F187" s="36" t="str">
        <f aca="false">IF(OR(D187="",E187=""),"",IF(IFERROR(INDEX(①出口报关!$I$4:$I$303,MATCH(E187,①出口报关!$A$4:$A$303,0)),"")=D187,"一致","SKU与报关单不符"))</f>
        <v/>
      </c>
      <c r="G187" s="45"/>
      <c r="H187" s="45"/>
      <c r="I187" s="31" t="str">
        <f aca="false">IF(AND(G187="",H187=""),"",N(G187)-N(H187))</f>
        <v/>
      </c>
      <c r="J187" s="46"/>
      <c r="K187" s="46"/>
      <c r="L187" s="34" t="str">
        <f aca="false">IF(AND(J187="",K187=""),"",N(J187)-N(K187))</f>
        <v/>
      </c>
      <c r="M187" s="35" t="str">
        <f aca="false">IF(B187="","",IF(COUNTIFS(③回款收汇!$A$4:$A$203,B187,③回款收汇!$R$4:$R$203,"&gt;0")&gt;0,"已收汇","待收汇"))</f>
        <v/>
      </c>
      <c r="N187" s="41"/>
      <c r="O187" s="41"/>
      <c r="P187" s="35" t="str">
        <f aca="true">IF(N187="","",IF(O187="",IF(TODAY()-N187&gt;15,"已超15天未留存","待留存"),IF(O187-N187&lt;=15,"及时","超期")))</f>
        <v/>
      </c>
      <c r="Q187" s="43"/>
    </row>
    <row r="188" customFormat="false" ht="21.75" hidden="false" customHeight="true" outlineLevel="0" collapsed="false">
      <c r="A188" s="49"/>
      <c r="B188" s="48"/>
      <c r="C188" s="43"/>
      <c r="D188" s="44"/>
      <c r="E188" s="44"/>
      <c r="F188" s="36" t="str">
        <f aca="false">IF(OR(D188="",E188=""),"",IF(IFERROR(INDEX(①出口报关!$I$4:$I$303,MATCH(E188,①出口报关!$A$4:$A$303,0)),"")=D188,"一致","SKU与报关单不符"))</f>
        <v/>
      </c>
      <c r="G188" s="45"/>
      <c r="H188" s="45"/>
      <c r="I188" s="31" t="str">
        <f aca="false">IF(AND(G188="",H188=""),"",N(G188)-N(H188))</f>
        <v/>
      </c>
      <c r="J188" s="46"/>
      <c r="K188" s="46"/>
      <c r="L188" s="34" t="str">
        <f aca="false">IF(AND(J188="",K188=""),"",N(J188)-N(K188))</f>
        <v/>
      </c>
      <c r="M188" s="35" t="str">
        <f aca="false">IF(B188="","",IF(COUNTIFS(③回款收汇!$A$4:$A$203,B188,③回款收汇!$R$4:$R$203,"&gt;0")&gt;0,"已收汇","待收汇"))</f>
        <v/>
      </c>
      <c r="N188" s="41"/>
      <c r="O188" s="41"/>
      <c r="P188" s="35" t="str">
        <f aca="true">IF(N188="","",IF(O188="",IF(TODAY()-N188&gt;15,"已超15天未留存","待留存"),IF(O188-N188&lt;=15,"及时","超期")))</f>
        <v/>
      </c>
      <c r="Q188" s="43"/>
    </row>
    <row r="189" customFormat="false" ht="21.75" hidden="false" customHeight="true" outlineLevel="0" collapsed="false">
      <c r="A189" s="49"/>
      <c r="B189" s="48"/>
      <c r="C189" s="43"/>
      <c r="D189" s="44"/>
      <c r="E189" s="44"/>
      <c r="F189" s="36" t="str">
        <f aca="false">IF(OR(D189="",E189=""),"",IF(IFERROR(INDEX(①出口报关!$I$4:$I$303,MATCH(E189,①出口报关!$A$4:$A$303,0)),"")=D189,"一致","SKU与报关单不符"))</f>
        <v/>
      </c>
      <c r="G189" s="45"/>
      <c r="H189" s="45"/>
      <c r="I189" s="31" t="str">
        <f aca="false">IF(AND(G189="",H189=""),"",N(G189)-N(H189))</f>
        <v/>
      </c>
      <c r="J189" s="46"/>
      <c r="K189" s="46"/>
      <c r="L189" s="34" t="str">
        <f aca="false">IF(AND(J189="",K189=""),"",N(J189)-N(K189))</f>
        <v/>
      </c>
      <c r="M189" s="35" t="str">
        <f aca="false">IF(B189="","",IF(COUNTIFS(③回款收汇!$A$4:$A$203,B189,③回款收汇!$R$4:$R$203,"&gt;0")&gt;0,"已收汇","待收汇"))</f>
        <v/>
      </c>
      <c r="N189" s="41"/>
      <c r="O189" s="41"/>
      <c r="P189" s="35" t="str">
        <f aca="true">IF(N189="","",IF(O189="",IF(TODAY()-N189&gt;15,"已超15天未留存","待留存"),IF(O189-N189&lt;=15,"及时","超期")))</f>
        <v/>
      </c>
      <c r="Q189" s="43"/>
    </row>
    <row r="190" customFormat="false" ht="21.75" hidden="false" customHeight="true" outlineLevel="0" collapsed="false">
      <c r="A190" s="49"/>
      <c r="B190" s="48"/>
      <c r="C190" s="43"/>
      <c r="D190" s="44"/>
      <c r="E190" s="44"/>
      <c r="F190" s="36" t="str">
        <f aca="false">IF(OR(D190="",E190=""),"",IF(IFERROR(INDEX(①出口报关!$I$4:$I$303,MATCH(E190,①出口报关!$A$4:$A$303,0)),"")=D190,"一致","SKU与报关单不符"))</f>
        <v/>
      </c>
      <c r="G190" s="45"/>
      <c r="H190" s="45"/>
      <c r="I190" s="31" t="str">
        <f aca="false">IF(AND(G190="",H190=""),"",N(G190)-N(H190))</f>
        <v/>
      </c>
      <c r="J190" s="46"/>
      <c r="K190" s="46"/>
      <c r="L190" s="34" t="str">
        <f aca="false">IF(AND(J190="",K190=""),"",N(J190)-N(K190))</f>
        <v/>
      </c>
      <c r="M190" s="35" t="str">
        <f aca="false">IF(B190="","",IF(COUNTIFS(③回款收汇!$A$4:$A$203,B190,③回款收汇!$R$4:$R$203,"&gt;0")&gt;0,"已收汇","待收汇"))</f>
        <v/>
      </c>
      <c r="N190" s="41"/>
      <c r="O190" s="41"/>
      <c r="P190" s="35" t="str">
        <f aca="true">IF(N190="","",IF(O190="",IF(TODAY()-N190&gt;15,"已超15天未留存","待留存"),IF(O190-N190&lt;=15,"及时","超期")))</f>
        <v/>
      </c>
      <c r="Q190" s="43"/>
    </row>
    <row r="191" customFormat="false" ht="21.75" hidden="false" customHeight="true" outlineLevel="0" collapsed="false">
      <c r="A191" s="49"/>
      <c r="B191" s="48"/>
      <c r="C191" s="43"/>
      <c r="D191" s="44"/>
      <c r="E191" s="44"/>
      <c r="F191" s="36" t="str">
        <f aca="false">IF(OR(D191="",E191=""),"",IF(IFERROR(INDEX(①出口报关!$I$4:$I$303,MATCH(E191,①出口报关!$A$4:$A$303,0)),"")=D191,"一致","SKU与报关单不符"))</f>
        <v/>
      </c>
      <c r="G191" s="45"/>
      <c r="H191" s="45"/>
      <c r="I191" s="31" t="str">
        <f aca="false">IF(AND(G191="",H191=""),"",N(G191)-N(H191))</f>
        <v/>
      </c>
      <c r="J191" s="46"/>
      <c r="K191" s="46"/>
      <c r="L191" s="34" t="str">
        <f aca="false">IF(AND(J191="",K191=""),"",N(J191)-N(K191))</f>
        <v/>
      </c>
      <c r="M191" s="35" t="str">
        <f aca="false">IF(B191="","",IF(COUNTIFS(③回款收汇!$A$4:$A$203,B191,③回款收汇!$R$4:$R$203,"&gt;0")&gt;0,"已收汇","待收汇"))</f>
        <v/>
      </c>
      <c r="N191" s="41"/>
      <c r="O191" s="41"/>
      <c r="P191" s="35" t="str">
        <f aca="true">IF(N191="","",IF(O191="",IF(TODAY()-N191&gt;15,"已超15天未留存","待留存"),IF(O191-N191&lt;=15,"及时","超期")))</f>
        <v/>
      </c>
      <c r="Q191" s="43"/>
    </row>
    <row r="192" customFormat="false" ht="21.75" hidden="false" customHeight="true" outlineLevel="0" collapsed="false">
      <c r="A192" s="49"/>
      <c r="B192" s="48"/>
      <c r="C192" s="43"/>
      <c r="D192" s="44"/>
      <c r="E192" s="44"/>
      <c r="F192" s="36" t="str">
        <f aca="false">IF(OR(D192="",E192=""),"",IF(IFERROR(INDEX(①出口报关!$I$4:$I$303,MATCH(E192,①出口报关!$A$4:$A$303,0)),"")=D192,"一致","SKU与报关单不符"))</f>
        <v/>
      </c>
      <c r="G192" s="45"/>
      <c r="H192" s="45"/>
      <c r="I192" s="31" t="str">
        <f aca="false">IF(AND(G192="",H192=""),"",N(G192)-N(H192))</f>
        <v/>
      </c>
      <c r="J192" s="46"/>
      <c r="K192" s="46"/>
      <c r="L192" s="34" t="str">
        <f aca="false">IF(AND(J192="",K192=""),"",N(J192)-N(K192))</f>
        <v/>
      </c>
      <c r="M192" s="35" t="str">
        <f aca="false">IF(B192="","",IF(COUNTIFS(③回款收汇!$A$4:$A$203,B192,③回款收汇!$R$4:$R$203,"&gt;0")&gt;0,"已收汇","待收汇"))</f>
        <v/>
      </c>
      <c r="N192" s="41"/>
      <c r="O192" s="41"/>
      <c r="P192" s="35" t="str">
        <f aca="true">IF(N192="","",IF(O192="",IF(TODAY()-N192&gt;15,"已超15天未留存","待留存"),IF(O192-N192&lt;=15,"及时","超期")))</f>
        <v/>
      </c>
      <c r="Q192" s="43"/>
    </row>
    <row r="193" customFormat="false" ht="21.75" hidden="false" customHeight="true" outlineLevel="0" collapsed="false">
      <c r="A193" s="49"/>
      <c r="B193" s="48"/>
      <c r="C193" s="43"/>
      <c r="D193" s="44"/>
      <c r="E193" s="44"/>
      <c r="F193" s="36" t="str">
        <f aca="false">IF(OR(D193="",E193=""),"",IF(IFERROR(INDEX(①出口报关!$I$4:$I$303,MATCH(E193,①出口报关!$A$4:$A$303,0)),"")=D193,"一致","SKU与报关单不符"))</f>
        <v/>
      </c>
      <c r="G193" s="45"/>
      <c r="H193" s="45"/>
      <c r="I193" s="31" t="str">
        <f aca="false">IF(AND(G193="",H193=""),"",N(G193)-N(H193))</f>
        <v/>
      </c>
      <c r="J193" s="46"/>
      <c r="K193" s="46"/>
      <c r="L193" s="34" t="str">
        <f aca="false">IF(AND(J193="",K193=""),"",N(J193)-N(K193))</f>
        <v/>
      </c>
      <c r="M193" s="35" t="str">
        <f aca="false">IF(B193="","",IF(COUNTIFS(③回款收汇!$A$4:$A$203,B193,③回款收汇!$R$4:$R$203,"&gt;0")&gt;0,"已收汇","待收汇"))</f>
        <v/>
      </c>
      <c r="N193" s="41"/>
      <c r="O193" s="41"/>
      <c r="P193" s="35" t="str">
        <f aca="true">IF(N193="","",IF(O193="",IF(TODAY()-N193&gt;15,"已超15天未留存","待留存"),IF(O193-N193&lt;=15,"及时","超期")))</f>
        <v/>
      </c>
      <c r="Q193" s="43"/>
    </row>
    <row r="194" customFormat="false" ht="21.75" hidden="false" customHeight="true" outlineLevel="0" collapsed="false">
      <c r="A194" s="49"/>
      <c r="B194" s="48"/>
      <c r="C194" s="43"/>
      <c r="D194" s="44"/>
      <c r="E194" s="44"/>
      <c r="F194" s="36" t="str">
        <f aca="false">IF(OR(D194="",E194=""),"",IF(IFERROR(INDEX(①出口报关!$I$4:$I$303,MATCH(E194,①出口报关!$A$4:$A$303,0)),"")=D194,"一致","SKU与报关单不符"))</f>
        <v/>
      </c>
      <c r="G194" s="45"/>
      <c r="H194" s="45"/>
      <c r="I194" s="31" t="str">
        <f aca="false">IF(AND(G194="",H194=""),"",N(G194)-N(H194))</f>
        <v/>
      </c>
      <c r="J194" s="46"/>
      <c r="K194" s="46"/>
      <c r="L194" s="34" t="str">
        <f aca="false">IF(AND(J194="",K194=""),"",N(J194)-N(K194))</f>
        <v/>
      </c>
      <c r="M194" s="35" t="str">
        <f aca="false">IF(B194="","",IF(COUNTIFS(③回款收汇!$A$4:$A$203,B194,③回款收汇!$R$4:$R$203,"&gt;0")&gt;0,"已收汇","待收汇"))</f>
        <v/>
      </c>
      <c r="N194" s="41"/>
      <c r="O194" s="41"/>
      <c r="P194" s="35" t="str">
        <f aca="true">IF(N194="","",IF(O194="",IF(TODAY()-N194&gt;15,"已超15天未留存","待留存"),IF(O194-N194&lt;=15,"及时","超期")))</f>
        <v/>
      </c>
      <c r="Q194" s="43"/>
    </row>
    <row r="195" customFormat="false" ht="21.75" hidden="false" customHeight="true" outlineLevel="0" collapsed="false">
      <c r="A195" s="49"/>
      <c r="B195" s="48"/>
      <c r="C195" s="43"/>
      <c r="D195" s="44"/>
      <c r="E195" s="44"/>
      <c r="F195" s="36" t="str">
        <f aca="false">IF(OR(D195="",E195=""),"",IF(IFERROR(INDEX(①出口报关!$I$4:$I$303,MATCH(E195,①出口报关!$A$4:$A$303,0)),"")=D195,"一致","SKU与报关单不符"))</f>
        <v/>
      </c>
      <c r="G195" s="45"/>
      <c r="H195" s="45"/>
      <c r="I195" s="31" t="str">
        <f aca="false">IF(AND(G195="",H195=""),"",N(G195)-N(H195))</f>
        <v/>
      </c>
      <c r="J195" s="46"/>
      <c r="K195" s="46"/>
      <c r="L195" s="34" t="str">
        <f aca="false">IF(AND(J195="",K195=""),"",N(J195)-N(K195))</f>
        <v/>
      </c>
      <c r="M195" s="35" t="str">
        <f aca="false">IF(B195="","",IF(COUNTIFS(③回款收汇!$A$4:$A$203,B195,③回款收汇!$R$4:$R$203,"&gt;0")&gt;0,"已收汇","待收汇"))</f>
        <v/>
      </c>
      <c r="N195" s="41"/>
      <c r="O195" s="41"/>
      <c r="P195" s="35" t="str">
        <f aca="true">IF(N195="","",IF(O195="",IF(TODAY()-N195&gt;15,"已超15天未留存","待留存"),IF(O195-N195&lt;=15,"及时","超期")))</f>
        <v/>
      </c>
      <c r="Q195" s="43"/>
    </row>
    <row r="196" customFormat="false" ht="21.75" hidden="false" customHeight="true" outlineLevel="0" collapsed="false">
      <c r="A196" s="49"/>
      <c r="B196" s="48"/>
      <c r="C196" s="43"/>
      <c r="D196" s="44"/>
      <c r="E196" s="44"/>
      <c r="F196" s="36" t="str">
        <f aca="false">IF(OR(D196="",E196=""),"",IF(IFERROR(INDEX(①出口报关!$I$4:$I$303,MATCH(E196,①出口报关!$A$4:$A$303,0)),"")=D196,"一致","SKU与报关单不符"))</f>
        <v/>
      </c>
      <c r="G196" s="45"/>
      <c r="H196" s="45"/>
      <c r="I196" s="31" t="str">
        <f aca="false">IF(AND(G196="",H196=""),"",N(G196)-N(H196))</f>
        <v/>
      </c>
      <c r="J196" s="46"/>
      <c r="K196" s="46"/>
      <c r="L196" s="34" t="str">
        <f aca="false">IF(AND(J196="",K196=""),"",N(J196)-N(K196))</f>
        <v/>
      </c>
      <c r="M196" s="35" t="str">
        <f aca="false">IF(B196="","",IF(COUNTIFS(③回款收汇!$A$4:$A$203,B196,③回款收汇!$R$4:$R$203,"&gt;0")&gt;0,"已收汇","待收汇"))</f>
        <v/>
      </c>
      <c r="N196" s="41"/>
      <c r="O196" s="41"/>
      <c r="P196" s="35" t="str">
        <f aca="true">IF(N196="","",IF(O196="",IF(TODAY()-N196&gt;15,"已超15天未留存","待留存"),IF(O196-N196&lt;=15,"及时","超期")))</f>
        <v/>
      </c>
      <c r="Q196" s="43"/>
    </row>
    <row r="197" customFormat="false" ht="21.75" hidden="false" customHeight="true" outlineLevel="0" collapsed="false">
      <c r="A197" s="49"/>
      <c r="B197" s="48"/>
      <c r="C197" s="43"/>
      <c r="D197" s="44"/>
      <c r="E197" s="44"/>
      <c r="F197" s="36" t="str">
        <f aca="false">IF(OR(D197="",E197=""),"",IF(IFERROR(INDEX(①出口报关!$I$4:$I$303,MATCH(E197,①出口报关!$A$4:$A$303,0)),"")=D197,"一致","SKU与报关单不符"))</f>
        <v/>
      </c>
      <c r="G197" s="45"/>
      <c r="H197" s="45"/>
      <c r="I197" s="31" t="str">
        <f aca="false">IF(AND(G197="",H197=""),"",N(G197)-N(H197))</f>
        <v/>
      </c>
      <c r="J197" s="46"/>
      <c r="K197" s="46"/>
      <c r="L197" s="34" t="str">
        <f aca="false">IF(AND(J197="",K197=""),"",N(J197)-N(K197))</f>
        <v/>
      </c>
      <c r="M197" s="35" t="str">
        <f aca="false">IF(B197="","",IF(COUNTIFS(③回款收汇!$A$4:$A$203,B197,③回款收汇!$R$4:$R$203,"&gt;0")&gt;0,"已收汇","待收汇"))</f>
        <v/>
      </c>
      <c r="N197" s="41"/>
      <c r="O197" s="41"/>
      <c r="P197" s="35" t="str">
        <f aca="true">IF(N197="","",IF(O197="",IF(TODAY()-N197&gt;15,"已超15天未留存","待留存"),IF(O197-N197&lt;=15,"及时","超期")))</f>
        <v/>
      </c>
      <c r="Q197" s="43"/>
    </row>
    <row r="198" customFormat="false" ht="21.75" hidden="false" customHeight="true" outlineLevel="0" collapsed="false">
      <c r="A198" s="49"/>
      <c r="B198" s="48"/>
      <c r="C198" s="43"/>
      <c r="D198" s="44"/>
      <c r="E198" s="44"/>
      <c r="F198" s="36" t="str">
        <f aca="false">IF(OR(D198="",E198=""),"",IF(IFERROR(INDEX(①出口报关!$I$4:$I$303,MATCH(E198,①出口报关!$A$4:$A$303,0)),"")=D198,"一致","SKU与报关单不符"))</f>
        <v/>
      </c>
      <c r="G198" s="45"/>
      <c r="H198" s="45"/>
      <c r="I198" s="31" t="str">
        <f aca="false">IF(AND(G198="",H198=""),"",N(G198)-N(H198))</f>
        <v/>
      </c>
      <c r="J198" s="46"/>
      <c r="K198" s="46"/>
      <c r="L198" s="34" t="str">
        <f aca="false">IF(AND(J198="",K198=""),"",N(J198)-N(K198))</f>
        <v/>
      </c>
      <c r="M198" s="35" t="str">
        <f aca="false">IF(B198="","",IF(COUNTIFS(③回款收汇!$A$4:$A$203,B198,③回款收汇!$R$4:$R$203,"&gt;0")&gt;0,"已收汇","待收汇"))</f>
        <v/>
      </c>
      <c r="N198" s="41"/>
      <c r="O198" s="41"/>
      <c r="P198" s="35" t="str">
        <f aca="true">IF(N198="","",IF(O198="",IF(TODAY()-N198&gt;15,"已超15天未留存","待留存"),IF(O198-N198&lt;=15,"及时","超期")))</f>
        <v/>
      </c>
      <c r="Q198" s="43"/>
    </row>
    <row r="199" customFormat="false" ht="21.75" hidden="false" customHeight="true" outlineLevel="0" collapsed="false">
      <c r="A199" s="49"/>
      <c r="B199" s="48"/>
      <c r="C199" s="43"/>
      <c r="D199" s="44"/>
      <c r="E199" s="44"/>
      <c r="F199" s="36" t="str">
        <f aca="false">IF(OR(D199="",E199=""),"",IF(IFERROR(INDEX(①出口报关!$I$4:$I$303,MATCH(E199,①出口报关!$A$4:$A$303,0)),"")=D199,"一致","SKU与报关单不符"))</f>
        <v/>
      </c>
      <c r="G199" s="45"/>
      <c r="H199" s="45"/>
      <c r="I199" s="31" t="str">
        <f aca="false">IF(AND(G199="",H199=""),"",N(G199)-N(H199))</f>
        <v/>
      </c>
      <c r="J199" s="46"/>
      <c r="K199" s="46"/>
      <c r="L199" s="34" t="str">
        <f aca="false">IF(AND(J199="",K199=""),"",N(J199)-N(K199))</f>
        <v/>
      </c>
      <c r="M199" s="35" t="str">
        <f aca="false">IF(B199="","",IF(COUNTIFS(③回款收汇!$A$4:$A$203,B199,③回款收汇!$R$4:$R$203,"&gt;0")&gt;0,"已收汇","待收汇"))</f>
        <v/>
      </c>
      <c r="N199" s="41"/>
      <c r="O199" s="41"/>
      <c r="P199" s="35" t="str">
        <f aca="true">IF(N199="","",IF(O199="",IF(TODAY()-N199&gt;15,"已超15天未留存","待留存"),IF(O199-N199&lt;=15,"及时","超期")))</f>
        <v/>
      </c>
      <c r="Q199" s="43"/>
    </row>
    <row r="200" customFormat="false" ht="21.75" hidden="false" customHeight="true" outlineLevel="0" collapsed="false">
      <c r="A200" s="49"/>
      <c r="B200" s="48"/>
      <c r="C200" s="43"/>
      <c r="D200" s="44"/>
      <c r="E200" s="44"/>
      <c r="F200" s="36" t="str">
        <f aca="false">IF(OR(D200="",E200=""),"",IF(IFERROR(INDEX(①出口报关!$I$4:$I$303,MATCH(E200,①出口报关!$A$4:$A$303,0)),"")=D200,"一致","SKU与报关单不符"))</f>
        <v/>
      </c>
      <c r="G200" s="45"/>
      <c r="H200" s="45"/>
      <c r="I200" s="31" t="str">
        <f aca="false">IF(AND(G200="",H200=""),"",N(G200)-N(H200))</f>
        <v/>
      </c>
      <c r="J200" s="46"/>
      <c r="K200" s="46"/>
      <c r="L200" s="34" t="str">
        <f aca="false">IF(AND(J200="",K200=""),"",N(J200)-N(K200))</f>
        <v/>
      </c>
      <c r="M200" s="35" t="str">
        <f aca="false">IF(B200="","",IF(COUNTIFS(③回款收汇!$A$4:$A$203,B200,③回款收汇!$R$4:$R$203,"&gt;0")&gt;0,"已收汇","待收汇"))</f>
        <v/>
      </c>
      <c r="N200" s="41"/>
      <c r="O200" s="41"/>
      <c r="P200" s="35" t="str">
        <f aca="true">IF(N200="","",IF(O200="",IF(TODAY()-N200&gt;15,"已超15天未留存","待留存"),IF(O200-N200&lt;=15,"及时","超期")))</f>
        <v/>
      </c>
      <c r="Q200" s="43"/>
    </row>
    <row r="201" customFormat="false" ht="21.75" hidden="false" customHeight="true" outlineLevel="0" collapsed="false">
      <c r="A201" s="49"/>
      <c r="B201" s="48"/>
      <c r="C201" s="43"/>
      <c r="D201" s="44"/>
      <c r="E201" s="44"/>
      <c r="F201" s="36" t="str">
        <f aca="false">IF(OR(D201="",E201=""),"",IF(IFERROR(INDEX(①出口报关!$I$4:$I$303,MATCH(E201,①出口报关!$A$4:$A$303,0)),"")=D201,"一致","SKU与报关单不符"))</f>
        <v/>
      </c>
      <c r="G201" s="45"/>
      <c r="H201" s="45"/>
      <c r="I201" s="31" t="str">
        <f aca="false">IF(AND(G201="",H201=""),"",N(G201)-N(H201))</f>
        <v/>
      </c>
      <c r="J201" s="46"/>
      <c r="K201" s="46"/>
      <c r="L201" s="34" t="str">
        <f aca="false">IF(AND(J201="",K201=""),"",N(J201)-N(K201))</f>
        <v/>
      </c>
      <c r="M201" s="35" t="str">
        <f aca="false">IF(B201="","",IF(COUNTIFS(③回款收汇!$A$4:$A$203,B201,③回款收汇!$R$4:$R$203,"&gt;0")&gt;0,"已收汇","待收汇"))</f>
        <v/>
      </c>
      <c r="N201" s="41"/>
      <c r="O201" s="41"/>
      <c r="P201" s="35" t="str">
        <f aca="true">IF(N201="","",IF(O201="",IF(TODAY()-N201&gt;15,"已超15天未留存","待留存"),IF(O201-N201&lt;=15,"及时","超期")))</f>
        <v/>
      </c>
      <c r="Q201" s="43"/>
    </row>
    <row r="202" customFormat="false" ht="21.75" hidden="false" customHeight="true" outlineLevel="0" collapsed="false">
      <c r="A202" s="49"/>
      <c r="B202" s="48"/>
      <c r="C202" s="43"/>
      <c r="D202" s="44"/>
      <c r="E202" s="44"/>
      <c r="F202" s="36" t="str">
        <f aca="false">IF(OR(D202="",E202=""),"",IF(IFERROR(INDEX(①出口报关!$I$4:$I$303,MATCH(E202,①出口报关!$A$4:$A$303,0)),"")=D202,"一致","SKU与报关单不符"))</f>
        <v/>
      </c>
      <c r="G202" s="45"/>
      <c r="H202" s="45"/>
      <c r="I202" s="31" t="str">
        <f aca="false">IF(AND(G202="",H202=""),"",N(G202)-N(H202))</f>
        <v/>
      </c>
      <c r="J202" s="46"/>
      <c r="K202" s="46"/>
      <c r="L202" s="34" t="str">
        <f aca="false">IF(AND(J202="",K202=""),"",N(J202)-N(K202))</f>
        <v/>
      </c>
      <c r="M202" s="35" t="str">
        <f aca="false">IF(B202="","",IF(COUNTIFS(③回款收汇!$A$4:$A$203,B202,③回款收汇!$R$4:$R$203,"&gt;0")&gt;0,"已收汇","待收汇"))</f>
        <v/>
      </c>
      <c r="N202" s="41"/>
      <c r="O202" s="41"/>
      <c r="P202" s="35" t="str">
        <f aca="true">IF(N202="","",IF(O202="",IF(TODAY()-N202&gt;15,"已超15天未留存","待留存"),IF(O202-N202&lt;=15,"及时","超期")))</f>
        <v/>
      </c>
      <c r="Q202" s="43"/>
    </row>
    <row r="203" customFormat="false" ht="21.75" hidden="false" customHeight="true" outlineLevel="0" collapsed="false">
      <c r="A203" s="49"/>
      <c r="B203" s="48"/>
      <c r="C203" s="43"/>
      <c r="D203" s="44"/>
      <c r="E203" s="44"/>
      <c r="F203" s="36" t="str">
        <f aca="false">IF(OR(D203="",E203=""),"",IF(IFERROR(INDEX(①出口报关!$I$4:$I$303,MATCH(E203,①出口报关!$A$4:$A$303,0)),"")=D203,"一致","SKU与报关单不符"))</f>
        <v/>
      </c>
      <c r="G203" s="45"/>
      <c r="H203" s="45"/>
      <c r="I203" s="31" t="str">
        <f aca="false">IF(AND(G203="",H203=""),"",N(G203)-N(H203))</f>
        <v/>
      </c>
      <c r="J203" s="46"/>
      <c r="K203" s="46"/>
      <c r="L203" s="34" t="str">
        <f aca="false">IF(AND(J203="",K203=""),"",N(J203)-N(K203))</f>
        <v/>
      </c>
      <c r="M203" s="35" t="str">
        <f aca="false">IF(B203="","",IF(COUNTIFS(③回款收汇!$A$4:$A$203,B203,③回款收汇!$R$4:$R$203,"&gt;0")&gt;0,"已收汇","待收汇"))</f>
        <v/>
      </c>
      <c r="N203" s="41"/>
      <c r="O203" s="41"/>
      <c r="P203" s="35" t="str">
        <f aca="true">IF(N203="","",IF(O203="",IF(TODAY()-N203&gt;15,"已超15天未留存","待留存"),IF(O203-N203&lt;=15,"及时","超期")))</f>
        <v/>
      </c>
      <c r="Q203" s="43"/>
    </row>
    <row r="204" customFormat="false" ht="21.75" hidden="false" customHeight="true" outlineLevel="0" collapsed="false">
      <c r="A204" s="49"/>
      <c r="B204" s="48"/>
      <c r="C204" s="43"/>
      <c r="D204" s="44"/>
      <c r="E204" s="44"/>
      <c r="F204" s="36" t="str">
        <f aca="false">IF(OR(D204="",E204=""),"",IF(IFERROR(INDEX(①出口报关!$I$4:$I$303,MATCH(E204,①出口报关!$A$4:$A$303,0)),"")=D204,"一致","SKU与报关单不符"))</f>
        <v/>
      </c>
      <c r="G204" s="45"/>
      <c r="H204" s="45"/>
      <c r="I204" s="31" t="str">
        <f aca="false">IF(AND(G204="",H204=""),"",N(G204)-N(H204))</f>
        <v/>
      </c>
      <c r="J204" s="46"/>
      <c r="K204" s="46"/>
      <c r="L204" s="34" t="str">
        <f aca="false">IF(AND(J204="",K204=""),"",N(J204)-N(K204))</f>
        <v/>
      </c>
      <c r="M204" s="35" t="str">
        <f aca="false">IF(B204="","",IF(COUNTIFS(③回款收汇!$A$4:$A$203,B204,③回款收汇!$R$4:$R$203,"&gt;0")&gt;0,"已收汇","待收汇"))</f>
        <v/>
      </c>
      <c r="N204" s="41"/>
      <c r="O204" s="41"/>
      <c r="P204" s="35" t="str">
        <f aca="true">IF(N204="","",IF(O204="",IF(TODAY()-N204&gt;15,"已超15天未留存","待留存"),IF(O204-N204&lt;=15,"及时","超期")))</f>
        <v/>
      </c>
      <c r="Q204" s="43"/>
    </row>
    <row r="205" customFormat="false" ht="21.75" hidden="false" customHeight="true" outlineLevel="0" collapsed="false">
      <c r="A205" s="49"/>
      <c r="B205" s="48"/>
      <c r="C205" s="43"/>
      <c r="D205" s="44"/>
      <c r="E205" s="44"/>
      <c r="F205" s="36" t="str">
        <f aca="false">IF(OR(D205="",E205=""),"",IF(IFERROR(INDEX(①出口报关!$I$4:$I$303,MATCH(E205,①出口报关!$A$4:$A$303,0)),"")=D205,"一致","SKU与报关单不符"))</f>
        <v/>
      </c>
      <c r="G205" s="45"/>
      <c r="H205" s="45"/>
      <c r="I205" s="31" t="str">
        <f aca="false">IF(AND(G205="",H205=""),"",N(G205)-N(H205))</f>
        <v/>
      </c>
      <c r="J205" s="46"/>
      <c r="K205" s="46"/>
      <c r="L205" s="34" t="str">
        <f aca="false">IF(AND(J205="",K205=""),"",N(J205)-N(K205))</f>
        <v/>
      </c>
      <c r="M205" s="35" t="str">
        <f aca="false">IF(B205="","",IF(COUNTIFS(③回款收汇!$A$4:$A$203,B205,③回款收汇!$R$4:$R$203,"&gt;0")&gt;0,"已收汇","待收汇"))</f>
        <v/>
      </c>
      <c r="N205" s="41"/>
      <c r="O205" s="41"/>
      <c r="P205" s="35" t="str">
        <f aca="true">IF(N205="","",IF(O205="",IF(TODAY()-N205&gt;15,"已超15天未留存","待留存"),IF(O205-N205&lt;=15,"及时","超期")))</f>
        <v/>
      </c>
      <c r="Q205" s="43"/>
    </row>
    <row r="206" customFormat="false" ht="21.75" hidden="false" customHeight="true" outlineLevel="0" collapsed="false">
      <c r="A206" s="49"/>
      <c r="B206" s="48"/>
      <c r="C206" s="43"/>
      <c r="D206" s="44"/>
      <c r="E206" s="44"/>
      <c r="F206" s="36" t="str">
        <f aca="false">IF(OR(D206="",E206=""),"",IF(IFERROR(INDEX(①出口报关!$I$4:$I$303,MATCH(E206,①出口报关!$A$4:$A$303,0)),"")=D206,"一致","SKU与报关单不符"))</f>
        <v/>
      </c>
      <c r="G206" s="45"/>
      <c r="H206" s="45"/>
      <c r="I206" s="31" t="str">
        <f aca="false">IF(AND(G206="",H206=""),"",N(G206)-N(H206))</f>
        <v/>
      </c>
      <c r="J206" s="46"/>
      <c r="K206" s="46"/>
      <c r="L206" s="34" t="str">
        <f aca="false">IF(AND(J206="",K206=""),"",N(J206)-N(K206))</f>
        <v/>
      </c>
      <c r="M206" s="35" t="str">
        <f aca="false">IF(B206="","",IF(COUNTIFS(③回款收汇!$A$4:$A$203,B206,③回款收汇!$R$4:$R$203,"&gt;0")&gt;0,"已收汇","待收汇"))</f>
        <v/>
      </c>
      <c r="N206" s="41"/>
      <c r="O206" s="41"/>
      <c r="P206" s="35" t="str">
        <f aca="true">IF(N206="","",IF(O206="",IF(TODAY()-N206&gt;15,"已超15天未留存","待留存"),IF(O206-N206&lt;=15,"及时","超期")))</f>
        <v/>
      </c>
      <c r="Q206" s="43"/>
    </row>
    <row r="207" customFormat="false" ht="21.75" hidden="false" customHeight="true" outlineLevel="0" collapsed="false">
      <c r="A207" s="49"/>
      <c r="B207" s="48"/>
      <c r="C207" s="43"/>
      <c r="D207" s="44"/>
      <c r="E207" s="44"/>
      <c r="F207" s="36" t="str">
        <f aca="false">IF(OR(D207="",E207=""),"",IF(IFERROR(INDEX(①出口报关!$I$4:$I$303,MATCH(E207,①出口报关!$A$4:$A$303,0)),"")=D207,"一致","SKU与报关单不符"))</f>
        <v/>
      </c>
      <c r="G207" s="45"/>
      <c r="H207" s="45"/>
      <c r="I207" s="31" t="str">
        <f aca="false">IF(AND(G207="",H207=""),"",N(G207)-N(H207))</f>
        <v/>
      </c>
      <c r="J207" s="46"/>
      <c r="K207" s="46"/>
      <c r="L207" s="34" t="str">
        <f aca="false">IF(AND(J207="",K207=""),"",N(J207)-N(K207))</f>
        <v/>
      </c>
      <c r="M207" s="35" t="str">
        <f aca="false">IF(B207="","",IF(COUNTIFS(③回款收汇!$A$4:$A$203,B207,③回款收汇!$R$4:$R$203,"&gt;0")&gt;0,"已收汇","待收汇"))</f>
        <v/>
      </c>
      <c r="N207" s="41"/>
      <c r="O207" s="41"/>
      <c r="P207" s="35" t="str">
        <f aca="true">IF(N207="","",IF(O207="",IF(TODAY()-N207&gt;15,"已超15天未留存","待留存"),IF(O207-N207&lt;=15,"及时","超期")))</f>
        <v/>
      </c>
      <c r="Q207" s="43"/>
    </row>
    <row r="208" customFormat="false" ht="21.75" hidden="false" customHeight="true" outlineLevel="0" collapsed="false">
      <c r="A208" s="49"/>
      <c r="B208" s="48"/>
      <c r="C208" s="43"/>
      <c r="D208" s="44"/>
      <c r="E208" s="44"/>
      <c r="F208" s="36" t="str">
        <f aca="false">IF(OR(D208="",E208=""),"",IF(IFERROR(INDEX(①出口报关!$I$4:$I$303,MATCH(E208,①出口报关!$A$4:$A$303,0)),"")=D208,"一致","SKU与报关单不符"))</f>
        <v/>
      </c>
      <c r="G208" s="45"/>
      <c r="H208" s="45"/>
      <c r="I208" s="31" t="str">
        <f aca="false">IF(AND(G208="",H208=""),"",N(G208)-N(H208))</f>
        <v/>
      </c>
      <c r="J208" s="46"/>
      <c r="K208" s="46"/>
      <c r="L208" s="34" t="str">
        <f aca="false">IF(AND(J208="",K208=""),"",N(J208)-N(K208))</f>
        <v/>
      </c>
      <c r="M208" s="35" t="str">
        <f aca="false">IF(B208="","",IF(COUNTIFS(③回款收汇!$A$4:$A$203,B208,③回款收汇!$R$4:$R$203,"&gt;0")&gt;0,"已收汇","待收汇"))</f>
        <v/>
      </c>
      <c r="N208" s="41"/>
      <c r="O208" s="41"/>
      <c r="P208" s="35" t="str">
        <f aca="true">IF(N208="","",IF(O208="",IF(TODAY()-N208&gt;15,"已超15天未留存","待留存"),IF(O208-N208&lt;=15,"及时","超期")))</f>
        <v/>
      </c>
      <c r="Q208" s="43"/>
    </row>
    <row r="209" customFormat="false" ht="21.75" hidden="false" customHeight="true" outlineLevel="0" collapsed="false">
      <c r="A209" s="49"/>
      <c r="B209" s="48"/>
      <c r="C209" s="43"/>
      <c r="D209" s="44"/>
      <c r="E209" s="44"/>
      <c r="F209" s="36" t="str">
        <f aca="false">IF(OR(D209="",E209=""),"",IF(IFERROR(INDEX(①出口报关!$I$4:$I$303,MATCH(E209,①出口报关!$A$4:$A$303,0)),"")=D209,"一致","SKU与报关单不符"))</f>
        <v/>
      </c>
      <c r="G209" s="45"/>
      <c r="H209" s="45"/>
      <c r="I209" s="31" t="str">
        <f aca="false">IF(AND(G209="",H209=""),"",N(G209)-N(H209))</f>
        <v/>
      </c>
      <c r="J209" s="46"/>
      <c r="K209" s="46"/>
      <c r="L209" s="34" t="str">
        <f aca="false">IF(AND(J209="",K209=""),"",N(J209)-N(K209))</f>
        <v/>
      </c>
      <c r="M209" s="35" t="str">
        <f aca="false">IF(B209="","",IF(COUNTIFS(③回款收汇!$A$4:$A$203,B209,③回款收汇!$R$4:$R$203,"&gt;0")&gt;0,"已收汇","待收汇"))</f>
        <v/>
      </c>
      <c r="N209" s="41"/>
      <c r="O209" s="41"/>
      <c r="P209" s="35" t="str">
        <f aca="true">IF(N209="","",IF(O209="",IF(TODAY()-N209&gt;15,"已超15天未留存","待留存"),IF(O209-N209&lt;=15,"及时","超期")))</f>
        <v/>
      </c>
      <c r="Q209" s="43"/>
    </row>
    <row r="210" customFormat="false" ht="21.75" hidden="false" customHeight="true" outlineLevel="0" collapsed="false">
      <c r="A210" s="49"/>
      <c r="B210" s="48"/>
      <c r="C210" s="43"/>
      <c r="D210" s="44"/>
      <c r="E210" s="44"/>
      <c r="F210" s="36" t="str">
        <f aca="false">IF(OR(D210="",E210=""),"",IF(IFERROR(INDEX(①出口报关!$I$4:$I$303,MATCH(E210,①出口报关!$A$4:$A$303,0)),"")=D210,"一致","SKU与报关单不符"))</f>
        <v/>
      </c>
      <c r="G210" s="45"/>
      <c r="H210" s="45"/>
      <c r="I210" s="31" t="str">
        <f aca="false">IF(AND(G210="",H210=""),"",N(G210)-N(H210))</f>
        <v/>
      </c>
      <c r="J210" s="46"/>
      <c r="K210" s="46"/>
      <c r="L210" s="34" t="str">
        <f aca="false">IF(AND(J210="",K210=""),"",N(J210)-N(K210))</f>
        <v/>
      </c>
      <c r="M210" s="35" t="str">
        <f aca="false">IF(B210="","",IF(COUNTIFS(③回款收汇!$A$4:$A$203,B210,③回款收汇!$R$4:$R$203,"&gt;0")&gt;0,"已收汇","待收汇"))</f>
        <v/>
      </c>
      <c r="N210" s="41"/>
      <c r="O210" s="41"/>
      <c r="P210" s="35" t="str">
        <f aca="true">IF(N210="","",IF(O210="",IF(TODAY()-N210&gt;15,"已超15天未留存","待留存"),IF(O210-N210&lt;=15,"及时","超期")))</f>
        <v/>
      </c>
      <c r="Q210" s="43"/>
    </row>
    <row r="211" customFormat="false" ht="21.75" hidden="false" customHeight="true" outlineLevel="0" collapsed="false">
      <c r="A211" s="49"/>
      <c r="B211" s="48"/>
      <c r="C211" s="43"/>
      <c r="D211" s="44"/>
      <c r="E211" s="44"/>
      <c r="F211" s="36" t="str">
        <f aca="false">IF(OR(D211="",E211=""),"",IF(IFERROR(INDEX(①出口报关!$I$4:$I$303,MATCH(E211,①出口报关!$A$4:$A$303,0)),"")=D211,"一致","SKU与报关单不符"))</f>
        <v/>
      </c>
      <c r="G211" s="45"/>
      <c r="H211" s="45"/>
      <c r="I211" s="31" t="str">
        <f aca="false">IF(AND(G211="",H211=""),"",N(G211)-N(H211))</f>
        <v/>
      </c>
      <c r="J211" s="46"/>
      <c r="K211" s="46"/>
      <c r="L211" s="34" t="str">
        <f aca="false">IF(AND(J211="",K211=""),"",N(J211)-N(K211))</f>
        <v/>
      </c>
      <c r="M211" s="35" t="str">
        <f aca="false">IF(B211="","",IF(COUNTIFS(③回款收汇!$A$4:$A$203,B211,③回款收汇!$R$4:$R$203,"&gt;0")&gt;0,"已收汇","待收汇"))</f>
        <v/>
      </c>
      <c r="N211" s="41"/>
      <c r="O211" s="41"/>
      <c r="P211" s="35" t="str">
        <f aca="true">IF(N211="","",IF(O211="",IF(TODAY()-N211&gt;15,"已超15天未留存","待留存"),IF(O211-N211&lt;=15,"及时","超期")))</f>
        <v/>
      </c>
      <c r="Q211" s="43"/>
    </row>
    <row r="212" customFormat="false" ht="21.75" hidden="false" customHeight="true" outlineLevel="0" collapsed="false">
      <c r="A212" s="49"/>
      <c r="B212" s="48"/>
      <c r="C212" s="43"/>
      <c r="D212" s="44"/>
      <c r="E212" s="44"/>
      <c r="F212" s="36" t="str">
        <f aca="false">IF(OR(D212="",E212=""),"",IF(IFERROR(INDEX(①出口报关!$I$4:$I$303,MATCH(E212,①出口报关!$A$4:$A$303,0)),"")=D212,"一致","SKU与报关单不符"))</f>
        <v/>
      </c>
      <c r="G212" s="45"/>
      <c r="H212" s="45"/>
      <c r="I212" s="31" t="str">
        <f aca="false">IF(AND(G212="",H212=""),"",N(G212)-N(H212))</f>
        <v/>
      </c>
      <c r="J212" s="46"/>
      <c r="K212" s="46"/>
      <c r="L212" s="34" t="str">
        <f aca="false">IF(AND(J212="",K212=""),"",N(J212)-N(K212))</f>
        <v/>
      </c>
      <c r="M212" s="35" t="str">
        <f aca="false">IF(B212="","",IF(COUNTIFS(③回款收汇!$A$4:$A$203,B212,③回款收汇!$R$4:$R$203,"&gt;0")&gt;0,"已收汇","待收汇"))</f>
        <v/>
      </c>
      <c r="N212" s="41"/>
      <c r="O212" s="41"/>
      <c r="P212" s="35" t="str">
        <f aca="true">IF(N212="","",IF(O212="",IF(TODAY()-N212&gt;15,"已超15天未留存","待留存"),IF(O212-N212&lt;=15,"及时","超期")))</f>
        <v/>
      </c>
      <c r="Q212" s="43"/>
    </row>
    <row r="213" customFormat="false" ht="21.75" hidden="false" customHeight="true" outlineLevel="0" collapsed="false">
      <c r="A213" s="49"/>
      <c r="B213" s="48"/>
      <c r="C213" s="43"/>
      <c r="D213" s="44"/>
      <c r="E213" s="44"/>
      <c r="F213" s="36" t="str">
        <f aca="false">IF(OR(D213="",E213=""),"",IF(IFERROR(INDEX(①出口报关!$I$4:$I$303,MATCH(E213,①出口报关!$A$4:$A$303,0)),"")=D213,"一致","SKU与报关单不符"))</f>
        <v/>
      </c>
      <c r="G213" s="45"/>
      <c r="H213" s="45"/>
      <c r="I213" s="31" t="str">
        <f aca="false">IF(AND(G213="",H213=""),"",N(G213)-N(H213))</f>
        <v/>
      </c>
      <c r="J213" s="46"/>
      <c r="K213" s="46"/>
      <c r="L213" s="34" t="str">
        <f aca="false">IF(AND(J213="",K213=""),"",N(J213)-N(K213))</f>
        <v/>
      </c>
      <c r="M213" s="35" t="str">
        <f aca="false">IF(B213="","",IF(COUNTIFS(③回款收汇!$A$4:$A$203,B213,③回款收汇!$R$4:$R$203,"&gt;0")&gt;0,"已收汇","待收汇"))</f>
        <v/>
      </c>
      <c r="N213" s="41"/>
      <c r="O213" s="41"/>
      <c r="P213" s="35" t="str">
        <f aca="true">IF(N213="","",IF(O213="",IF(TODAY()-N213&gt;15,"已超15天未留存","待留存"),IF(O213-N213&lt;=15,"及时","超期")))</f>
        <v/>
      </c>
      <c r="Q213" s="43"/>
    </row>
    <row r="214" customFormat="false" ht="21.75" hidden="false" customHeight="true" outlineLevel="0" collapsed="false">
      <c r="A214" s="49"/>
      <c r="B214" s="48"/>
      <c r="C214" s="43"/>
      <c r="D214" s="44"/>
      <c r="E214" s="44"/>
      <c r="F214" s="36" t="str">
        <f aca="false">IF(OR(D214="",E214=""),"",IF(IFERROR(INDEX(①出口报关!$I$4:$I$303,MATCH(E214,①出口报关!$A$4:$A$303,0)),"")=D214,"一致","SKU与报关单不符"))</f>
        <v/>
      </c>
      <c r="G214" s="45"/>
      <c r="H214" s="45"/>
      <c r="I214" s="31" t="str">
        <f aca="false">IF(AND(G214="",H214=""),"",N(G214)-N(H214))</f>
        <v/>
      </c>
      <c r="J214" s="46"/>
      <c r="K214" s="46"/>
      <c r="L214" s="34" t="str">
        <f aca="false">IF(AND(J214="",K214=""),"",N(J214)-N(K214))</f>
        <v/>
      </c>
      <c r="M214" s="35" t="str">
        <f aca="false">IF(B214="","",IF(COUNTIFS(③回款收汇!$A$4:$A$203,B214,③回款收汇!$R$4:$R$203,"&gt;0")&gt;0,"已收汇","待收汇"))</f>
        <v/>
      </c>
      <c r="N214" s="41"/>
      <c r="O214" s="41"/>
      <c r="P214" s="35" t="str">
        <f aca="true">IF(N214="","",IF(O214="",IF(TODAY()-N214&gt;15,"已超15天未留存","待留存"),IF(O214-N214&lt;=15,"及时","超期")))</f>
        <v/>
      </c>
      <c r="Q214" s="43"/>
    </row>
    <row r="215" customFormat="false" ht="21.75" hidden="false" customHeight="true" outlineLevel="0" collapsed="false">
      <c r="A215" s="49"/>
      <c r="B215" s="48"/>
      <c r="C215" s="43"/>
      <c r="D215" s="44"/>
      <c r="E215" s="44"/>
      <c r="F215" s="36" t="str">
        <f aca="false">IF(OR(D215="",E215=""),"",IF(IFERROR(INDEX(①出口报关!$I$4:$I$303,MATCH(E215,①出口报关!$A$4:$A$303,0)),"")=D215,"一致","SKU与报关单不符"))</f>
        <v/>
      </c>
      <c r="G215" s="45"/>
      <c r="H215" s="45"/>
      <c r="I215" s="31" t="str">
        <f aca="false">IF(AND(G215="",H215=""),"",N(G215)-N(H215))</f>
        <v/>
      </c>
      <c r="J215" s="46"/>
      <c r="K215" s="46"/>
      <c r="L215" s="34" t="str">
        <f aca="false">IF(AND(J215="",K215=""),"",N(J215)-N(K215))</f>
        <v/>
      </c>
      <c r="M215" s="35" t="str">
        <f aca="false">IF(B215="","",IF(COUNTIFS(③回款收汇!$A$4:$A$203,B215,③回款收汇!$R$4:$R$203,"&gt;0")&gt;0,"已收汇","待收汇"))</f>
        <v/>
      </c>
      <c r="N215" s="41"/>
      <c r="O215" s="41"/>
      <c r="P215" s="35" t="str">
        <f aca="true">IF(N215="","",IF(O215="",IF(TODAY()-N215&gt;15,"已超15天未留存","待留存"),IF(O215-N215&lt;=15,"及时","超期")))</f>
        <v/>
      </c>
      <c r="Q215" s="43"/>
    </row>
    <row r="216" customFormat="false" ht="21.75" hidden="false" customHeight="true" outlineLevel="0" collapsed="false">
      <c r="A216" s="49"/>
      <c r="B216" s="48"/>
      <c r="C216" s="43"/>
      <c r="D216" s="44"/>
      <c r="E216" s="44"/>
      <c r="F216" s="36" t="str">
        <f aca="false">IF(OR(D216="",E216=""),"",IF(IFERROR(INDEX(①出口报关!$I$4:$I$303,MATCH(E216,①出口报关!$A$4:$A$303,0)),"")=D216,"一致","SKU与报关单不符"))</f>
        <v/>
      </c>
      <c r="G216" s="45"/>
      <c r="H216" s="45"/>
      <c r="I216" s="31" t="str">
        <f aca="false">IF(AND(G216="",H216=""),"",N(G216)-N(H216))</f>
        <v/>
      </c>
      <c r="J216" s="46"/>
      <c r="K216" s="46"/>
      <c r="L216" s="34" t="str">
        <f aca="false">IF(AND(J216="",K216=""),"",N(J216)-N(K216))</f>
        <v/>
      </c>
      <c r="M216" s="35" t="str">
        <f aca="false">IF(B216="","",IF(COUNTIFS(③回款收汇!$A$4:$A$203,B216,③回款收汇!$R$4:$R$203,"&gt;0")&gt;0,"已收汇","待收汇"))</f>
        <v/>
      </c>
      <c r="N216" s="41"/>
      <c r="O216" s="41"/>
      <c r="P216" s="35" t="str">
        <f aca="true">IF(N216="","",IF(O216="",IF(TODAY()-N216&gt;15,"已超15天未留存","待留存"),IF(O216-N216&lt;=15,"及时","超期")))</f>
        <v/>
      </c>
      <c r="Q216" s="43"/>
    </row>
    <row r="217" customFormat="false" ht="21.75" hidden="false" customHeight="true" outlineLevel="0" collapsed="false">
      <c r="A217" s="49"/>
      <c r="B217" s="48"/>
      <c r="C217" s="43"/>
      <c r="D217" s="44"/>
      <c r="E217" s="44"/>
      <c r="F217" s="36" t="str">
        <f aca="false">IF(OR(D217="",E217=""),"",IF(IFERROR(INDEX(①出口报关!$I$4:$I$303,MATCH(E217,①出口报关!$A$4:$A$303,0)),"")=D217,"一致","SKU与报关单不符"))</f>
        <v/>
      </c>
      <c r="G217" s="45"/>
      <c r="H217" s="45"/>
      <c r="I217" s="31" t="str">
        <f aca="false">IF(AND(G217="",H217=""),"",N(G217)-N(H217))</f>
        <v/>
      </c>
      <c r="J217" s="46"/>
      <c r="K217" s="46"/>
      <c r="L217" s="34" t="str">
        <f aca="false">IF(AND(J217="",K217=""),"",N(J217)-N(K217))</f>
        <v/>
      </c>
      <c r="M217" s="35" t="str">
        <f aca="false">IF(B217="","",IF(COUNTIFS(③回款收汇!$A$4:$A$203,B217,③回款收汇!$R$4:$R$203,"&gt;0")&gt;0,"已收汇","待收汇"))</f>
        <v/>
      </c>
      <c r="N217" s="41"/>
      <c r="O217" s="41"/>
      <c r="P217" s="35" t="str">
        <f aca="true">IF(N217="","",IF(O217="",IF(TODAY()-N217&gt;15,"已超15天未留存","待留存"),IF(O217-N217&lt;=15,"及时","超期")))</f>
        <v/>
      </c>
      <c r="Q217" s="43"/>
    </row>
    <row r="218" customFormat="false" ht="21.75" hidden="false" customHeight="true" outlineLevel="0" collapsed="false">
      <c r="A218" s="49"/>
      <c r="B218" s="48"/>
      <c r="C218" s="43"/>
      <c r="D218" s="44"/>
      <c r="E218" s="44"/>
      <c r="F218" s="36" t="str">
        <f aca="false">IF(OR(D218="",E218=""),"",IF(IFERROR(INDEX(①出口报关!$I$4:$I$303,MATCH(E218,①出口报关!$A$4:$A$303,0)),"")=D218,"一致","SKU与报关单不符"))</f>
        <v/>
      </c>
      <c r="G218" s="45"/>
      <c r="H218" s="45"/>
      <c r="I218" s="31" t="str">
        <f aca="false">IF(AND(G218="",H218=""),"",N(G218)-N(H218))</f>
        <v/>
      </c>
      <c r="J218" s="46"/>
      <c r="K218" s="46"/>
      <c r="L218" s="34" t="str">
        <f aca="false">IF(AND(J218="",K218=""),"",N(J218)-N(K218))</f>
        <v/>
      </c>
      <c r="M218" s="35" t="str">
        <f aca="false">IF(B218="","",IF(COUNTIFS(③回款收汇!$A$4:$A$203,B218,③回款收汇!$R$4:$R$203,"&gt;0")&gt;0,"已收汇","待收汇"))</f>
        <v/>
      </c>
      <c r="N218" s="41"/>
      <c r="O218" s="41"/>
      <c r="P218" s="35" t="str">
        <f aca="true">IF(N218="","",IF(O218="",IF(TODAY()-N218&gt;15,"已超15天未留存","待留存"),IF(O218-N218&lt;=15,"及时","超期")))</f>
        <v/>
      </c>
      <c r="Q218" s="43"/>
    </row>
    <row r="219" customFormat="false" ht="21.75" hidden="false" customHeight="true" outlineLevel="0" collapsed="false">
      <c r="A219" s="49"/>
      <c r="B219" s="48"/>
      <c r="C219" s="43"/>
      <c r="D219" s="44"/>
      <c r="E219" s="44"/>
      <c r="F219" s="36" t="str">
        <f aca="false">IF(OR(D219="",E219=""),"",IF(IFERROR(INDEX(①出口报关!$I$4:$I$303,MATCH(E219,①出口报关!$A$4:$A$303,0)),"")=D219,"一致","SKU与报关单不符"))</f>
        <v/>
      </c>
      <c r="G219" s="45"/>
      <c r="H219" s="45"/>
      <c r="I219" s="31" t="str">
        <f aca="false">IF(AND(G219="",H219=""),"",N(G219)-N(H219))</f>
        <v/>
      </c>
      <c r="J219" s="46"/>
      <c r="K219" s="46"/>
      <c r="L219" s="34" t="str">
        <f aca="false">IF(AND(J219="",K219=""),"",N(J219)-N(K219))</f>
        <v/>
      </c>
      <c r="M219" s="35" t="str">
        <f aca="false">IF(B219="","",IF(COUNTIFS(③回款收汇!$A$4:$A$203,B219,③回款收汇!$R$4:$R$203,"&gt;0")&gt;0,"已收汇","待收汇"))</f>
        <v/>
      </c>
      <c r="N219" s="41"/>
      <c r="O219" s="41"/>
      <c r="P219" s="35" t="str">
        <f aca="true">IF(N219="","",IF(O219="",IF(TODAY()-N219&gt;15,"已超15天未留存","待留存"),IF(O219-N219&lt;=15,"及时","超期")))</f>
        <v/>
      </c>
      <c r="Q219" s="43"/>
    </row>
    <row r="220" customFormat="false" ht="21.75" hidden="false" customHeight="true" outlineLevel="0" collapsed="false">
      <c r="A220" s="49"/>
      <c r="B220" s="48"/>
      <c r="C220" s="43"/>
      <c r="D220" s="44"/>
      <c r="E220" s="44"/>
      <c r="F220" s="36" t="str">
        <f aca="false">IF(OR(D220="",E220=""),"",IF(IFERROR(INDEX(①出口报关!$I$4:$I$303,MATCH(E220,①出口报关!$A$4:$A$303,0)),"")=D220,"一致","SKU与报关单不符"))</f>
        <v/>
      </c>
      <c r="G220" s="45"/>
      <c r="H220" s="45"/>
      <c r="I220" s="31" t="str">
        <f aca="false">IF(AND(G220="",H220=""),"",N(G220)-N(H220))</f>
        <v/>
      </c>
      <c r="J220" s="46"/>
      <c r="K220" s="46"/>
      <c r="L220" s="34" t="str">
        <f aca="false">IF(AND(J220="",K220=""),"",N(J220)-N(K220))</f>
        <v/>
      </c>
      <c r="M220" s="35" t="str">
        <f aca="false">IF(B220="","",IF(COUNTIFS(③回款收汇!$A$4:$A$203,B220,③回款收汇!$R$4:$R$203,"&gt;0")&gt;0,"已收汇","待收汇"))</f>
        <v/>
      </c>
      <c r="N220" s="41"/>
      <c r="O220" s="41"/>
      <c r="P220" s="35" t="str">
        <f aca="true">IF(N220="","",IF(O220="",IF(TODAY()-N220&gt;15,"已超15天未留存","待留存"),IF(O220-N220&lt;=15,"及时","超期")))</f>
        <v/>
      </c>
      <c r="Q220" s="43"/>
    </row>
    <row r="221" customFormat="false" ht="21.75" hidden="false" customHeight="true" outlineLevel="0" collapsed="false">
      <c r="A221" s="49"/>
      <c r="B221" s="48"/>
      <c r="C221" s="43"/>
      <c r="D221" s="44"/>
      <c r="E221" s="44"/>
      <c r="F221" s="36" t="str">
        <f aca="false">IF(OR(D221="",E221=""),"",IF(IFERROR(INDEX(①出口报关!$I$4:$I$303,MATCH(E221,①出口报关!$A$4:$A$303,0)),"")=D221,"一致","SKU与报关单不符"))</f>
        <v/>
      </c>
      <c r="G221" s="45"/>
      <c r="H221" s="45"/>
      <c r="I221" s="31" t="str">
        <f aca="false">IF(AND(G221="",H221=""),"",N(G221)-N(H221))</f>
        <v/>
      </c>
      <c r="J221" s="46"/>
      <c r="K221" s="46"/>
      <c r="L221" s="34" t="str">
        <f aca="false">IF(AND(J221="",K221=""),"",N(J221)-N(K221))</f>
        <v/>
      </c>
      <c r="M221" s="35" t="str">
        <f aca="false">IF(B221="","",IF(COUNTIFS(③回款收汇!$A$4:$A$203,B221,③回款收汇!$R$4:$R$203,"&gt;0")&gt;0,"已收汇","待收汇"))</f>
        <v/>
      </c>
      <c r="N221" s="41"/>
      <c r="O221" s="41"/>
      <c r="P221" s="35" t="str">
        <f aca="true">IF(N221="","",IF(O221="",IF(TODAY()-N221&gt;15,"已超15天未留存","待留存"),IF(O221-N221&lt;=15,"及时","超期")))</f>
        <v/>
      </c>
      <c r="Q221" s="43"/>
    </row>
    <row r="222" customFormat="false" ht="21.75" hidden="false" customHeight="true" outlineLevel="0" collapsed="false">
      <c r="A222" s="49"/>
      <c r="B222" s="48"/>
      <c r="C222" s="43"/>
      <c r="D222" s="44"/>
      <c r="E222" s="44"/>
      <c r="F222" s="36" t="str">
        <f aca="false">IF(OR(D222="",E222=""),"",IF(IFERROR(INDEX(①出口报关!$I$4:$I$303,MATCH(E222,①出口报关!$A$4:$A$303,0)),"")=D222,"一致","SKU与报关单不符"))</f>
        <v/>
      </c>
      <c r="G222" s="45"/>
      <c r="H222" s="45"/>
      <c r="I222" s="31" t="str">
        <f aca="false">IF(AND(G222="",H222=""),"",N(G222)-N(H222))</f>
        <v/>
      </c>
      <c r="J222" s="46"/>
      <c r="K222" s="46"/>
      <c r="L222" s="34" t="str">
        <f aca="false">IF(AND(J222="",K222=""),"",N(J222)-N(K222))</f>
        <v/>
      </c>
      <c r="M222" s="35" t="str">
        <f aca="false">IF(B222="","",IF(COUNTIFS(③回款收汇!$A$4:$A$203,B222,③回款收汇!$R$4:$R$203,"&gt;0")&gt;0,"已收汇","待收汇"))</f>
        <v/>
      </c>
      <c r="N222" s="41"/>
      <c r="O222" s="41"/>
      <c r="P222" s="35" t="str">
        <f aca="true">IF(N222="","",IF(O222="",IF(TODAY()-N222&gt;15,"已超15天未留存","待留存"),IF(O222-N222&lt;=15,"及时","超期")))</f>
        <v/>
      </c>
      <c r="Q222" s="43"/>
    </row>
    <row r="223" customFormat="false" ht="21.75" hidden="false" customHeight="true" outlineLevel="0" collapsed="false">
      <c r="A223" s="49"/>
      <c r="B223" s="48"/>
      <c r="C223" s="43"/>
      <c r="D223" s="44"/>
      <c r="E223" s="44"/>
      <c r="F223" s="36" t="str">
        <f aca="false">IF(OR(D223="",E223=""),"",IF(IFERROR(INDEX(①出口报关!$I$4:$I$303,MATCH(E223,①出口报关!$A$4:$A$303,0)),"")=D223,"一致","SKU与报关单不符"))</f>
        <v/>
      </c>
      <c r="G223" s="45"/>
      <c r="H223" s="45"/>
      <c r="I223" s="31" t="str">
        <f aca="false">IF(AND(G223="",H223=""),"",N(G223)-N(H223))</f>
        <v/>
      </c>
      <c r="J223" s="46"/>
      <c r="K223" s="46"/>
      <c r="L223" s="34" t="str">
        <f aca="false">IF(AND(J223="",K223=""),"",N(J223)-N(K223))</f>
        <v/>
      </c>
      <c r="M223" s="35" t="str">
        <f aca="false">IF(B223="","",IF(COUNTIFS(③回款收汇!$A$4:$A$203,B223,③回款收汇!$R$4:$R$203,"&gt;0")&gt;0,"已收汇","待收汇"))</f>
        <v/>
      </c>
      <c r="N223" s="41"/>
      <c r="O223" s="41"/>
      <c r="P223" s="35" t="str">
        <f aca="true">IF(N223="","",IF(O223="",IF(TODAY()-N223&gt;15,"已超15天未留存","待留存"),IF(O223-N223&lt;=15,"及时","超期")))</f>
        <v/>
      </c>
      <c r="Q223" s="43"/>
    </row>
    <row r="224" customFormat="false" ht="21.75" hidden="false" customHeight="true" outlineLevel="0" collapsed="false">
      <c r="A224" s="49"/>
      <c r="B224" s="48"/>
      <c r="C224" s="43"/>
      <c r="D224" s="44"/>
      <c r="E224" s="44"/>
      <c r="F224" s="36" t="str">
        <f aca="false">IF(OR(D224="",E224=""),"",IF(IFERROR(INDEX(①出口报关!$I$4:$I$303,MATCH(E224,①出口报关!$A$4:$A$303,0)),"")=D224,"一致","SKU与报关单不符"))</f>
        <v/>
      </c>
      <c r="G224" s="45"/>
      <c r="H224" s="45"/>
      <c r="I224" s="31" t="str">
        <f aca="false">IF(AND(G224="",H224=""),"",N(G224)-N(H224))</f>
        <v/>
      </c>
      <c r="J224" s="46"/>
      <c r="K224" s="46"/>
      <c r="L224" s="34" t="str">
        <f aca="false">IF(AND(J224="",K224=""),"",N(J224)-N(K224))</f>
        <v/>
      </c>
      <c r="M224" s="35" t="str">
        <f aca="false">IF(B224="","",IF(COUNTIFS(③回款收汇!$A$4:$A$203,B224,③回款收汇!$R$4:$R$203,"&gt;0")&gt;0,"已收汇","待收汇"))</f>
        <v/>
      </c>
      <c r="N224" s="41"/>
      <c r="O224" s="41"/>
      <c r="P224" s="35" t="str">
        <f aca="true">IF(N224="","",IF(O224="",IF(TODAY()-N224&gt;15,"已超15天未留存","待留存"),IF(O224-N224&lt;=15,"及时","超期")))</f>
        <v/>
      </c>
      <c r="Q224" s="43"/>
    </row>
    <row r="225" customFormat="false" ht="21.75" hidden="false" customHeight="true" outlineLevel="0" collapsed="false">
      <c r="A225" s="49"/>
      <c r="B225" s="48"/>
      <c r="C225" s="43"/>
      <c r="D225" s="44"/>
      <c r="E225" s="44"/>
      <c r="F225" s="36" t="str">
        <f aca="false">IF(OR(D225="",E225=""),"",IF(IFERROR(INDEX(①出口报关!$I$4:$I$303,MATCH(E225,①出口报关!$A$4:$A$303,0)),"")=D225,"一致","SKU与报关单不符"))</f>
        <v/>
      </c>
      <c r="G225" s="45"/>
      <c r="H225" s="45"/>
      <c r="I225" s="31" t="str">
        <f aca="false">IF(AND(G225="",H225=""),"",N(G225)-N(H225))</f>
        <v/>
      </c>
      <c r="J225" s="46"/>
      <c r="K225" s="46"/>
      <c r="L225" s="34" t="str">
        <f aca="false">IF(AND(J225="",K225=""),"",N(J225)-N(K225))</f>
        <v/>
      </c>
      <c r="M225" s="35" t="str">
        <f aca="false">IF(B225="","",IF(COUNTIFS(③回款收汇!$A$4:$A$203,B225,③回款收汇!$R$4:$R$203,"&gt;0")&gt;0,"已收汇","待收汇"))</f>
        <v/>
      </c>
      <c r="N225" s="41"/>
      <c r="O225" s="41"/>
      <c r="P225" s="35" t="str">
        <f aca="true">IF(N225="","",IF(O225="",IF(TODAY()-N225&gt;15,"已超15天未留存","待留存"),IF(O225-N225&lt;=15,"及时","超期")))</f>
        <v/>
      </c>
      <c r="Q225" s="43"/>
    </row>
    <row r="226" customFormat="false" ht="21.75" hidden="false" customHeight="true" outlineLevel="0" collapsed="false">
      <c r="A226" s="49"/>
      <c r="B226" s="48"/>
      <c r="C226" s="43"/>
      <c r="D226" s="44"/>
      <c r="E226" s="44"/>
      <c r="F226" s="36" t="str">
        <f aca="false">IF(OR(D226="",E226=""),"",IF(IFERROR(INDEX(①出口报关!$I$4:$I$303,MATCH(E226,①出口报关!$A$4:$A$303,0)),"")=D226,"一致","SKU与报关单不符"))</f>
        <v/>
      </c>
      <c r="G226" s="45"/>
      <c r="H226" s="45"/>
      <c r="I226" s="31" t="str">
        <f aca="false">IF(AND(G226="",H226=""),"",N(G226)-N(H226))</f>
        <v/>
      </c>
      <c r="J226" s="46"/>
      <c r="K226" s="46"/>
      <c r="L226" s="34" t="str">
        <f aca="false">IF(AND(J226="",K226=""),"",N(J226)-N(K226))</f>
        <v/>
      </c>
      <c r="M226" s="35" t="str">
        <f aca="false">IF(B226="","",IF(COUNTIFS(③回款收汇!$A$4:$A$203,B226,③回款收汇!$R$4:$R$203,"&gt;0")&gt;0,"已收汇","待收汇"))</f>
        <v/>
      </c>
      <c r="N226" s="41"/>
      <c r="O226" s="41"/>
      <c r="P226" s="35" t="str">
        <f aca="true">IF(N226="","",IF(O226="",IF(TODAY()-N226&gt;15,"已超15天未留存","待留存"),IF(O226-N226&lt;=15,"及时","超期")))</f>
        <v/>
      </c>
      <c r="Q226" s="43"/>
    </row>
    <row r="227" customFormat="false" ht="21.75" hidden="false" customHeight="true" outlineLevel="0" collapsed="false">
      <c r="A227" s="49"/>
      <c r="B227" s="48"/>
      <c r="C227" s="43"/>
      <c r="D227" s="44"/>
      <c r="E227" s="44"/>
      <c r="F227" s="36" t="str">
        <f aca="false">IF(OR(D227="",E227=""),"",IF(IFERROR(INDEX(①出口报关!$I$4:$I$303,MATCH(E227,①出口报关!$A$4:$A$303,0)),"")=D227,"一致","SKU与报关单不符"))</f>
        <v/>
      </c>
      <c r="G227" s="45"/>
      <c r="H227" s="45"/>
      <c r="I227" s="31" t="str">
        <f aca="false">IF(AND(G227="",H227=""),"",N(G227)-N(H227))</f>
        <v/>
      </c>
      <c r="J227" s="46"/>
      <c r="K227" s="46"/>
      <c r="L227" s="34" t="str">
        <f aca="false">IF(AND(J227="",K227=""),"",N(J227)-N(K227))</f>
        <v/>
      </c>
      <c r="M227" s="35" t="str">
        <f aca="false">IF(B227="","",IF(COUNTIFS(③回款收汇!$A$4:$A$203,B227,③回款收汇!$R$4:$R$203,"&gt;0")&gt;0,"已收汇","待收汇"))</f>
        <v/>
      </c>
      <c r="N227" s="41"/>
      <c r="O227" s="41"/>
      <c r="P227" s="35" t="str">
        <f aca="true">IF(N227="","",IF(O227="",IF(TODAY()-N227&gt;15,"已超15天未留存","待留存"),IF(O227-N227&lt;=15,"及时","超期")))</f>
        <v/>
      </c>
      <c r="Q227" s="43"/>
    </row>
    <row r="228" customFormat="false" ht="21.75" hidden="false" customHeight="true" outlineLevel="0" collapsed="false">
      <c r="A228" s="49"/>
      <c r="B228" s="48"/>
      <c r="C228" s="43"/>
      <c r="D228" s="44"/>
      <c r="E228" s="44"/>
      <c r="F228" s="36" t="str">
        <f aca="false">IF(OR(D228="",E228=""),"",IF(IFERROR(INDEX(①出口报关!$I$4:$I$303,MATCH(E228,①出口报关!$A$4:$A$303,0)),"")=D228,"一致","SKU与报关单不符"))</f>
        <v/>
      </c>
      <c r="G228" s="45"/>
      <c r="H228" s="45"/>
      <c r="I228" s="31" t="str">
        <f aca="false">IF(AND(G228="",H228=""),"",N(G228)-N(H228))</f>
        <v/>
      </c>
      <c r="J228" s="46"/>
      <c r="K228" s="46"/>
      <c r="L228" s="34" t="str">
        <f aca="false">IF(AND(J228="",K228=""),"",N(J228)-N(K228))</f>
        <v/>
      </c>
      <c r="M228" s="35" t="str">
        <f aca="false">IF(B228="","",IF(COUNTIFS(③回款收汇!$A$4:$A$203,B228,③回款收汇!$R$4:$R$203,"&gt;0")&gt;0,"已收汇","待收汇"))</f>
        <v/>
      </c>
      <c r="N228" s="41"/>
      <c r="O228" s="41"/>
      <c r="P228" s="35" t="str">
        <f aca="true">IF(N228="","",IF(O228="",IF(TODAY()-N228&gt;15,"已超15天未留存","待留存"),IF(O228-N228&lt;=15,"及时","超期")))</f>
        <v/>
      </c>
      <c r="Q228" s="43"/>
    </row>
    <row r="229" customFormat="false" ht="21.75" hidden="false" customHeight="true" outlineLevel="0" collapsed="false">
      <c r="A229" s="49"/>
      <c r="B229" s="48"/>
      <c r="C229" s="43"/>
      <c r="D229" s="44"/>
      <c r="E229" s="44"/>
      <c r="F229" s="36" t="str">
        <f aca="false">IF(OR(D229="",E229=""),"",IF(IFERROR(INDEX(①出口报关!$I$4:$I$303,MATCH(E229,①出口报关!$A$4:$A$303,0)),"")=D229,"一致","SKU与报关单不符"))</f>
        <v/>
      </c>
      <c r="G229" s="45"/>
      <c r="H229" s="45"/>
      <c r="I229" s="31" t="str">
        <f aca="false">IF(AND(G229="",H229=""),"",N(G229)-N(H229))</f>
        <v/>
      </c>
      <c r="J229" s="46"/>
      <c r="K229" s="46"/>
      <c r="L229" s="34" t="str">
        <f aca="false">IF(AND(J229="",K229=""),"",N(J229)-N(K229))</f>
        <v/>
      </c>
      <c r="M229" s="35" t="str">
        <f aca="false">IF(B229="","",IF(COUNTIFS(③回款收汇!$A$4:$A$203,B229,③回款收汇!$R$4:$R$203,"&gt;0")&gt;0,"已收汇","待收汇"))</f>
        <v/>
      </c>
      <c r="N229" s="41"/>
      <c r="O229" s="41"/>
      <c r="P229" s="35" t="str">
        <f aca="true">IF(N229="","",IF(O229="",IF(TODAY()-N229&gt;15,"已超15天未留存","待留存"),IF(O229-N229&lt;=15,"及时","超期")))</f>
        <v/>
      </c>
      <c r="Q229" s="43"/>
    </row>
    <row r="230" customFormat="false" ht="21.75" hidden="false" customHeight="true" outlineLevel="0" collapsed="false">
      <c r="A230" s="49"/>
      <c r="B230" s="48"/>
      <c r="C230" s="43"/>
      <c r="D230" s="44"/>
      <c r="E230" s="44"/>
      <c r="F230" s="36" t="str">
        <f aca="false">IF(OR(D230="",E230=""),"",IF(IFERROR(INDEX(①出口报关!$I$4:$I$303,MATCH(E230,①出口报关!$A$4:$A$303,0)),"")=D230,"一致","SKU与报关单不符"))</f>
        <v/>
      </c>
      <c r="G230" s="45"/>
      <c r="H230" s="45"/>
      <c r="I230" s="31" t="str">
        <f aca="false">IF(AND(G230="",H230=""),"",N(G230)-N(H230))</f>
        <v/>
      </c>
      <c r="J230" s="46"/>
      <c r="K230" s="46"/>
      <c r="L230" s="34" t="str">
        <f aca="false">IF(AND(J230="",K230=""),"",N(J230)-N(K230))</f>
        <v/>
      </c>
      <c r="M230" s="35" t="str">
        <f aca="false">IF(B230="","",IF(COUNTIFS(③回款收汇!$A$4:$A$203,B230,③回款收汇!$R$4:$R$203,"&gt;0")&gt;0,"已收汇","待收汇"))</f>
        <v/>
      </c>
      <c r="N230" s="41"/>
      <c r="O230" s="41"/>
      <c r="P230" s="35" t="str">
        <f aca="true">IF(N230="","",IF(O230="",IF(TODAY()-N230&gt;15,"已超15天未留存","待留存"),IF(O230-N230&lt;=15,"及时","超期")))</f>
        <v/>
      </c>
      <c r="Q230" s="43"/>
    </row>
    <row r="231" customFormat="false" ht="21.75" hidden="false" customHeight="true" outlineLevel="0" collapsed="false">
      <c r="A231" s="49"/>
      <c r="B231" s="48"/>
      <c r="C231" s="43"/>
      <c r="D231" s="44"/>
      <c r="E231" s="44"/>
      <c r="F231" s="36" t="str">
        <f aca="false">IF(OR(D231="",E231=""),"",IF(IFERROR(INDEX(①出口报关!$I$4:$I$303,MATCH(E231,①出口报关!$A$4:$A$303,0)),"")=D231,"一致","SKU与报关单不符"))</f>
        <v/>
      </c>
      <c r="G231" s="45"/>
      <c r="H231" s="45"/>
      <c r="I231" s="31" t="str">
        <f aca="false">IF(AND(G231="",H231=""),"",N(G231)-N(H231))</f>
        <v/>
      </c>
      <c r="J231" s="46"/>
      <c r="K231" s="46"/>
      <c r="L231" s="34" t="str">
        <f aca="false">IF(AND(J231="",K231=""),"",N(J231)-N(K231))</f>
        <v/>
      </c>
      <c r="M231" s="35" t="str">
        <f aca="false">IF(B231="","",IF(COUNTIFS(③回款收汇!$A$4:$A$203,B231,③回款收汇!$R$4:$R$203,"&gt;0")&gt;0,"已收汇","待收汇"))</f>
        <v/>
      </c>
      <c r="N231" s="41"/>
      <c r="O231" s="41"/>
      <c r="P231" s="35" t="str">
        <f aca="true">IF(N231="","",IF(O231="",IF(TODAY()-N231&gt;15,"已超15天未留存","待留存"),IF(O231-N231&lt;=15,"及时","超期")))</f>
        <v/>
      </c>
      <c r="Q231" s="43"/>
    </row>
    <row r="232" customFormat="false" ht="21.75" hidden="false" customHeight="true" outlineLevel="0" collapsed="false">
      <c r="A232" s="49"/>
      <c r="B232" s="48"/>
      <c r="C232" s="43"/>
      <c r="D232" s="44"/>
      <c r="E232" s="44"/>
      <c r="F232" s="36" t="str">
        <f aca="false">IF(OR(D232="",E232=""),"",IF(IFERROR(INDEX(①出口报关!$I$4:$I$303,MATCH(E232,①出口报关!$A$4:$A$303,0)),"")=D232,"一致","SKU与报关单不符"))</f>
        <v/>
      </c>
      <c r="G232" s="45"/>
      <c r="H232" s="45"/>
      <c r="I232" s="31" t="str">
        <f aca="false">IF(AND(G232="",H232=""),"",N(G232)-N(H232))</f>
        <v/>
      </c>
      <c r="J232" s="46"/>
      <c r="K232" s="46"/>
      <c r="L232" s="34" t="str">
        <f aca="false">IF(AND(J232="",K232=""),"",N(J232)-N(K232))</f>
        <v/>
      </c>
      <c r="M232" s="35" t="str">
        <f aca="false">IF(B232="","",IF(COUNTIFS(③回款收汇!$A$4:$A$203,B232,③回款收汇!$R$4:$R$203,"&gt;0")&gt;0,"已收汇","待收汇"))</f>
        <v/>
      </c>
      <c r="N232" s="41"/>
      <c r="O232" s="41"/>
      <c r="P232" s="35" t="str">
        <f aca="true">IF(N232="","",IF(O232="",IF(TODAY()-N232&gt;15,"已超15天未留存","待留存"),IF(O232-N232&lt;=15,"及时","超期")))</f>
        <v/>
      </c>
      <c r="Q232" s="43"/>
    </row>
    <row r="233" customFormat="false" ht="21.75" hidden="false" customHeight="true" outlineLevel="0" collapsed="false">
      <c r="A233" s="49"/>
      <c r="B233" s="48"/>
      <c r="C233" s="43"/>
      <c r="D233" s="44"/>
      <c r="E233" s="44"/>
      <c r="F233" s="36" t="str">
        <f aca="false">IF(OR(D233="",E233=""),"",IF(IFERROR(INDEX(①出口报关!$I$4:$I$303,MATCH(E233,①出口报关!$A$4:$A$303,0)),"")=D233,"一致","SKU与报关单不符"))</f>
        <v/>
      </c>
      <c r="G233" s="45"/>
      <c r="H233" s="45"/>
      <c r="I233" s="31" t="str">
        <f aca="false">IF(AND(G233="",H233=""),"",N(G233)-N(H233))</f>
        <v/>
      </c>
      <c r="J233" s="46"/>
      <c r="K233" s="46"/>
      <c r="L233" s="34" t="str">
        <f aca="false">IF(AND(J233="",K233=""),"",N(J233)-N(K233))</f>
        <v/>
      </c>
      <c r="M233" s="35" t="str">
        <f aca="false">IF(B233="","",IF(COUNTIFS(③回款收汇!$A$4:$A$203,B233,③回款收汇!$R$4:$R$203,"&gt;0")&gt;0,"已收汇","待收汇"))</f>
        <v/>
      </c>
      <c r="N233" s="41"/>
      <c r="O233" s="41"/>
      <c r="P233" s="35" t="str">
        <f aca="true">IF(N233="","",IF(O233="",IF(TODAY()-N233&gt;15,"已超15天未留存","待留存"),IF(O233-N233&lt;=15,"及时","超期")))</f>
        <v/>
      </c>
      <c r="Q233" s="43"/>
    </row>
    <row r="234" customFormat="false" ht="21.75" hidden="false" customHeight="true" outlineLevel="0" collapsed="false">
      <c r="A234" s="49"/>
      <c r="B234" s="48"/>
      <c r="C234" s="43"/>
      <c r="D234" s="44"/>
      <c r="E234" s="44"/>
      <c r="F234" s="36" t="str">
        <f aca="false">IF(OR(D234="",E234=""),"",IF(IFERROR(INDEX(①出口报关!$I$4:$I$303,MATCH(E234,①出口报关!$A$4:$A$303,0)),"")=D234,"一致","SKU与报关单不符"))</f>
        <v/>
      </c>
      <c r="G234" s="45"/>
      <c r="H234" s="45"/>
      <c r="I234" s="31" t="str">
        <f aca="false">IF(AND(G234="",H234=""),"",N(G234)-N(H234))</f>
        <v/>
      </c>
      <c r="J234" s="46"/>
      <c r="K234" s="46"/>
      <c r="L234" s="34" t="str">
        <f aca="false">IF(AND(J234="",K234=""),"",N(J234)-N(K234))</f>
        <v/>
      </c>
      <c r="M234" s="35" t="str">
        <f aca="false">IF(B234="","",IF(COUNTIFS(③回款收汇!$A$4:$A$203,B234,③回款收汇!$R$4:$R$203,"&gt;0")&gt;0,"已收汇","待收汇"))</f>
        <v/>
      </c>
      <c r="N234" s="41"/>
      <c r="O234" s="41"/>
      <c r="P234" s="35" t="str">
        <f aca="true">IF(N234="","",IF(O234="",IF(TODAY()-N234&gt;15,"已超15天未留存","待留存"),IF(O234-N234&lt;=15,"及时","超期")))</f>
        <v/>
      </c>
      <c r="Q234" s="43"/>
    </row>
    <row r="235" customFormat="false" ht="21.75" hidden="false" customHeight="true" outlineLevel="0" collapsed="false">
      <c r="A235" s="49"/>
      <c r="B235" s="48"/>
      <c r="C235" s="43"/>
      <c r="D235" s="44"/>
      <c r="E235" s="44"/>
      <c r="F235" s="36" t="str">
        <f aca="false">IF(OR(D235="",E235=""),"",IF(IFERROR(INDEX(①出口报关!$I$4:$I$303,MATCH(E235,①出口报关!$A$4:$A$303,0)),"")=D235,"一致","SKU与报关单不符"))</f>
        <v/>
      </c>
      <c r="G235" s="45"/>
      <c r="H235" s="45"/>
      <c r="I235" s="31" t="str">
        <f aca="false">IF(AND(G235="",H235=""),"",N(G235)-N(H235))</f>
        <v/>
      </c>
      <c r="J235" s="46"/>
      <c r="K235" s="46"/>
      <c r="L235" s="34" t="str">
        <f aca="false">IF(AND(J235="",K235=""),"",N(J235)-N(K235))</f>
        <v/>
      </c>
      <c r="M235" s="35" t="str">
        <f aca="false">IF(B235="","",IF(COUNTIFS(③回款收汇!$A$4:$A$203,B235,③回款收汇!$R$4:$R$203,"&gt;0")&gt;0,"已收汇","待收汇"))</f>
        <v/>
      </c>
      <c r="N235" s="41"/>
      <c r="O235" s="41"/>
      <c r="P235" s="35" t="str">
        <f aca="true">IF(N235="","",IF(O235="",IF(TODAY()-N235&gt;15,"已超15天未留存","待留存"),IF(O235-N235&lt;=15,"及时","超期")))</f>
        <v/>
      </c>
      <c r="Q235" s="43"/>
    </row>
    <row r="236" customFormat="false" ht="21.75" hidden="false" customHeight="true" outlineLevel="0" collapsed="false">
      <c r="A236" s="49"/>
      <c r="B236" s="48"/>
      <c r="C236" s="43"/>
      <c r="D236" s="44"/>
      <c r="E236" s="44"/>
      <c r="F236" s="36" t="str">
        <f aca="false">IF(OR(D236="",E236=""),"",IF(IFERROR(INDEX(①出口报关!$I$4:$I$303,MATCH(E236,①出口报关!$A$4:$A$303,0)),"")=D236,"一致","SKU与报关单不符"))</f>
        <v/>
      </c>
      <c r="G236" s="45"/>
      <c r="H236" s="45"/>
      <c r="I236" s="31" t="str">
        <f aca="false">IF(AND(G236="",H236=""),"",N(G236)-N(H236))</f>
        <v/>
      </c>
      <c r="J236" s="46"/>
      <c r="K236" s="46"/>
      <c r="L236" s="34" t="str">
        <f aca="false">IF(AND(J236="",K236=""),"",N(J236)-N(K236))</f>
        <v/>
      </c>
      <c r="M236" s="35" t="str">
        <f aca="false">IF(B236="","",IF(COUNTIFS(③回款收汇!$A$4:$A$203,B236,③回款收汇!$R$4:$R$203,"&gt;0")&gt;0,"已收汇","待收汇"))</f>
        <v/>
      </c>
      <c r="N236" s="41"/>
      <c r="O236" s="41"/>
      <c r="P236" s="35" t="str">
        <f aca="true">IF(N236="","",IF(O236="",IF(TODAY()-N236&gt;15,"已超15天未留存","待留存"),IF(O236-N236&lt;=15,"及时","超期")))</f>
        <v/>
      </c>
      <c r="Q236" s="43"/>
    </row>
    <row r="237" customFormat="false" ht="21.75" hidden="false" customHeight="true" outlineLevel="0" collapsed="false">
      <c r="A237" s="49"/>
      <c r="B237" s="48"/>
      <c r="C237" s="43"/>
      <c r="D237" s="44"/>
      <c r="E237" s="44"/>
      <c r="F237" s="36" t="str">
        <f aca="false">IF(OR(D237="",E237=""),"",IF(IFERROR(INDEX(①出口报关!$I$4:$I$303,MATCH(E237,①出口报关!$A$4:$A$303,0)),"")=D237,"一致","SKU与报关单不符"))</f>
        <v/>
      </c>
      <c r="G237" s="45"/>
      <c r="H237" s="45"/>
      <c r="I237" s="31" t="str">
        <f aca="false">IF(AND(G237="",H237=""),"",N(G237)-N(H237))</f>
        <v/>
      </c>
      <c r="J237" s="46"/>
      <c r="K237" s="46"/>
      <c r="L237" s="34" t="str">
        <f aca="false">IF(AND(J237="",K237=""),"",N(J237)-N(K237))</f>
        <v/>
      </c>
      <c r="M237" s="35" t="str">
        <f aca="false">IF(B237="","",IF(COUNTIFS(③回款收汇!$A$4:$A$203,B237,③回款收汇!$R$4:$R$203,"&gt;0")&gt;0,"已收汇","待收汇"))</f>
        <v/>
      </c>
      <c r="N237" s="41"/>
      <c r="O237" s="41"/>
      <c r="P237" s="35" t="str">
        <f aca="true">IF(N237="","",IF(O237="",IF(TODAY()-N237&gt;15,"已超15天未留存","待留存"),IF(O237-N237&lt;=15,"及时","超期")))</f>
        <v/>
      </c>
      <c r="Q237" s="43"/>
    </row>
    <row r="238" customFormat="false" ht="21.75" hidden="false" customHeight="true" outlineLevel="0" collapsed="false">
      <c r="A238" s="49"/>
      <c r="B238" s="48"/>
      <c r="C238" s="43"/>
      <c r="D238" s="44"/>
      <c r="E238" s="44"/>
      <c r="F238" s="36" t="str">
        <f aca="false">IF(OR(D238="",E238=""),"",IF(IFERROR(INDEX(①出口报关!$I$4:$I$303,MATCH(E238,①出口报关!$A$4:$A$303,0)),"")=D238,"一致","SKU与报关单不符"))</f>
        <v/>
      </c>
      <c r="G238" s="45"/>
      <c r="H238" s="45"/>
      <c r="I238" s="31" t="str">
        <f aca="false">IF(AND(G238="",H238=""),"",N(G238)-N(H238))</f>
        <v/>
      </c>
      <c r="J238" s="46"/>
      <c r="K238" s="46"/>
      <c r="L238" s="34" t="str">
        <f aca="false">IF(AND(J238="",K238=""),"",N(J238)-N(K238))</f>
        <v/>
      </c>
      <c r="M238" s="35" t="str">
        <f aca="false">IF(B238="","",IF(COUNTIFS(③回款收汇!$A$4:$A$203,B238,③回款收汇!$R$4:$R$203,"&gt;0")&gt;0,"已收汇","待收汇"))</f>
        <v/>
      </c>
      <c r="N238" s="41"/>
      <c r="O238" s="41"/>
      <c r="P238" s="35" t="str">
        <f aca="true">IF(N238="","",IF(O238="",IF(TODAY()-N238&gt;15,"已超15天未留存","待留存"),IF(O238-N238&lt;=15,"及时","超期")))</f>
        <v/>
      </c>
      <c r="Q238" s="43"/>
    </row>
    <row r="239" customFormat="false" ht="21.75" hidden="false" customHeight="true" outlineLevel="0" collapsed="false">
      <c r="A239" s="49"/>
      <c r="B239" s="48"/>
      <c r="C239" s="43"/>
      <c r="D239" s="44"/>
      <c r="E239" s="44"/>
      <c r="F239" s="36" t="str">
        <f aca="false">IF(OR(D239="",E239=""),"",IF(IFERROR(INDEX(①出口报关!$I$4:$I$303,MATCH(E239,①出口报关!$A$4:$A$303,0)),"")=D239,"一致","SKU与报关单不符"))</f>
        <v/>
      </c>
      <c r="G239" s="45"/>
      <c r="H239" s="45"/>
      <c r="I239" s="31" t="str">
        <f aca="false">IF(AND(G239="",H239=""),"",N(G239)-N(H239))</f>
        <v/>
      </c>
      <c r="J239" s="46"/>
      <c r="K239" s="46"/>
      <c r="L239" s="34" t="str">
        <f aca="false">IF(AND(J239="",K239=""),"",N(J239)-N(K239))</f>
        <v/>
      </c>
      <c r="M239" s="35" t="str">
        <f aca="false">IF(B239="","",IF(COUNTIFS(③回款收汇!$A$4:$A$203,B239,③回款收汇!$R$4:$R$203,"&gt;0")&gt;0,"已收汇","待收汇"))</f>
        <v/>
      </c>
      <c r="N239" s="41"/>
      <c r="O239" s="41"/>
      <c r="P239" s="35" t="str">
        <f aca="true">IF(N239="","",IF(O239="",IF(TODAY()-N239&gt;15,"已超15天未留存","待留存"),IF(O239-N239&lt;=15,"及时","超期")))</f>
        <v/>
      </c>
      <c r="Q239" s="43"/>
    </row>
    <row r="240" customFormat="false" ht="21.75" hidden="false" customHeight="true" outlineLevel="0" collapsed="false">
      <c r="A240" s="49"/>
      <c r="B240" s="48"/>
      <c r="C240" s="43"/>
      <c r="D240" s="44"/>
      <c r="E240" s="44"/>
      <c r="F240" s="36" t="str">
        <f aca="false">IF(OR(D240="",E240=""),"",IF(IFERROR(INDEX(①出口报关!$I$4:$I$303,MATCH(E240,①出口报关!$A$4:$A$303,0)),"")=D240,"一致","SKU与报关单不符"))</f>
        <v/>
      </c>
      <c r="G240" s="45"/>
      <c r="H240" s="45"/>
      <c r="I240" s="31" t="str">
        <f aca="false">IF(AND(G240="",H240=""),"",N(G240)-N(H240))</f>
        <v/>
      </c>
      <c r="J240" s="46"/>
      <c r="K240" s="46"/>
      <c r="L240" s="34" t="str">
        <f aca="false">IF(AND(J240="",K240=""),"",N(J240)-N(K240))</f>
        <v/>
      </c>
      <c r="M240" s="35" t="str">
        <f aca="false">IF(B240="","",IF(COUNTIFS(③回款收汇!$A$4:$A$203,B240,③回款收汇!$R$4:$R$203,"&gt;0")&gt;0,"已收汇","待收汇"))</f>
        <v/>
      </c>
      <c r="N240" s="41"/>
      <c r="O240" s="41"/>
      <c r="P240" s="35" t="str">
        <f aca="true">IF(N240="","",IF(O240="",IF(TODAY()-N240&gt;15,"已超15天未留存","待留存"),IF(O240-N240&lt;=15,"及时","超期")))</f>
        <v/>
      </c>
      <c r="Q240" s="43"/>
    </row>
    <row r="241" customFormat="false" ht="21.75" hidden="false" customHeight="true" outlineLevel="0" collapsed="false">
      <c r="A241" s="49"/>
      <c r="B241" s="48"/>
      <c r="C241" s="43"/>
      <c r="D241" s="44"/>
      <c r="E241" s="44"/>
      <c r="F241" s="36" t="str">
        <f aca="false">IF(OR(D241="",E241=""),"",IF(IFERROR(INDEX(①出口报关!$I$4:$I$303,MATCH(E241,①出口报关!$A$4:$A$303,0)),"")=D241,"一致","SKU与报关单不符"))</f>
        <v/>
      </c>
      <c r="G241" s="45"/>
      <c r="H241" s="45"/>
      <c r="I241" s="31" t="str">
        <f aca="false">IF(AND(G241="",H241=""),"",N(G241)-N(H241))</f>
        <v/>
      </c>
      <c r="J241" s="46"/>
      <c r="K241" s="46"/>
      <c r="L241" s="34" t="str">
        <f aca="false">IF(AND(J241="",K241=""),"",N(J241)-N(K241))</f>
        <v/>
      </c>
      <c r="M241" s="35" t="str">
        <f aca="false">IF(B241="","",IF(COUNTIFS(③回款收汇!$A$4:$A$203,B241,③回款收汇!$R$4:$R$203,"&gt;0")&gt;0,"已收汇","待收汇"))</f>
        <v/>
      </c>
      <c r="N241" s="41"/>
      <c r="O241" s="41"/>
      <c r="P241" s="35" t="str">
        <f aca="true">IF(N241="","",IF(O241="",IF(TODAY()-N241&gt;15,"已超15天未留存","待留存"),IF(O241-N241&lt;=15,"及时","超期")))</f>
        <v/>
      </c>
      <c r="Q241" s="43"/>
    </row>
    <row r="242" customFormat="false" ht="21.75" hidden="false" customHeight="true" outlineLevel="0" collapsed="false">
      <c r="A242" s="49"/>
      <c r="B242" s="48"/>
      <c r="C242" s="43"/>
      <c r="D242" s="44"/>
      <c r="E242" s="44"/>
      <c r="F242" s="36" t="str">
        <f aca="false">IF(OR(D242="",E242=""),"",IF(IFERROR(INDEX(①出口报关!$I$4:$I$303,MATCH(E242,①出口报关!$A$4:$A$303,0)),"")=D242,"一致","SKU与报关单不符"))</f>
        <v/>
      </c>
      <c r="G242" s="45"/>
      <c r="H242" s="45"/>
      <c r="I242" s="31" t="str">
        <f aca="false">IF(AND(G242="",H242=""),"",N(G242)-N(H242))</f>
        <v/>
      </c>
      <c r="J242" s="46"/>
      <c r="K242" s="46"/>
      <c r="L242" s="34" t="str">
        <f aca="false">IF(AND(J242="",K242=""),"",N(J242)-N(K242))</f>
        <v/>
      </c>
      <c r="M242" s="35" t="str">
        <f aca="false">IF(B242="","",IF(COUNTIFS(③回款收汇!$A$4:$A$203,B242,③回款收汇!$R$4:$R$203,"&gt;0")&gt;0,"已收汇","待收汇"))</f>
        <v/>
      </c>
      <c r="N242" s="41"/>
      <c r="O242" s="41"/>
      <c r="P242" s="35" t="str">
        <f aca="true">IF(N242="","",IF(O242="",IF(TODAY()-N242&gt;15,"已超15天未留存","待留存"),IF(O242-N242&lt;=15,"及时","超期")))</f>
        <v/>
      </c>
      <c r="Q242" s="43"/>
    </row>
    <row r="243" customFormat="false" ht="21.75" hidden="false" customHeight="true" outlineLevel="0" collapsed="false">
      <c r="A243" s="49"/>
      <c r="B243" s="48"/>
      <c r="C243" s="43"/>
      <c r="D243" s="44"/>
      <c r="E243" s="44"/>
      <c r="F243" s="36" t="str">
        <f aca="false">IF(OR(D243="",E243=""),"",IF(IFERROR(INDEX(①出口报关!$I$4:$I$303,MATCH(E243,①出口报关!$A$4:$A$303,0)),"")=D243,"一致","SKU与报关单不符"))</f>
        <v/>
      </c>
      <c r="G243" s="45"/>
      <c r="H243" s="45"/>
      <c r="I243" s="31" t="str">
        <f aca="false">IF(AND(G243="",H243=""),"",N(G243)-N(H243))</f>
        <v/>
      </c>
      <c r="J243" s="46"/>
      <c r="K243" s="46"/>
      <c r="L243" s="34" t="str">
        <f aca="false">IF(AND(J243="",K243=""),"",N(J243)-N(K243))</f>
        <v/>
      </c>
      <c r="M243" s="35" t="str">
        <f aca="false">IF(B243="","",IF(COUNTIFS(③回款收汇!$A$4:$A$203,B243,③回款收汇!$R$4:$R$203,"&gt;0")&gt;0,"已收汇","待收汇"))</f>
        <v/>
      </c>
      <c r="N243" s="41"/>
      <c r="O243" s="41"/>
      <c r="P243" s="35" t="str">
        <f aca="true">IF(N243="","",IF(O243="",IF(TODAY()-N243&gt;15,"已超15天未留存","待留存"),IF(O243-N243&lt;=15,"及时","超期")))</f>
        <v/>
      </c>
      <c r="Q243" s="43"/>
    </row>
    <row r="244" customFormat="false" ht="21.75" hidden="false" customHeight="true" outlineLevel="0" collapsed="false">
      <c r="A244" s="49"/>
      <c r="B244" s="48"/>
      <c r="C244" s="43"/>
      <c r="D244" s="44"/>
      <c r="E244" s="44"/>
      <c r="F244" s="36" t="str">
        <f aca="false">IF(OR(D244="",E244=""),"",IF(IFERROR(INDEX(①出口报关!$I$4:$I$303,MATCH(E244,①出口报关!$A$4:$A$303,0)),"")=D244,"一致","SKU与报关单不符"))</f>
        <v/>
      </c>
      <c r="G244" s="45"/>
      <c r="H244" s="45"/>
      <c r="I244" s="31" t="str">
        <f aca="false">IF(AND(G244="",H244=""),"",N(G244)-N(H244))</f>
        <v/>
      </c>
      <c r="J244" s="46"/>
      <c r="K244" s="46"/>
      <c r="L244" s="34" t="str">
        <f aca="false">IF(AND(J244="",K244=""),"",N(J244)-N(K244))</f>
        <v/>
      </c>
      <c r="M244" s="35" t="str">
        <f aca="false">IF(B244="","",IF(COUNTIFS(③回款收汇!$A$4:$A$203,B244,③回款收汇!$R$4:$R$203,"&gt;0")&gt;0,"已收汇","待收汇"))</f>
        <v/>
      </c>
      <c r="N244" s="41"/>
      <c r="O244" s="41"/>
      <c r="P244" s="35" t="str">
        <f aca="true">IF(N244="","",IF(O244="",IF(TODAY()-N244&gt;15,"已超15天未留存","待留存"),IF(O244-N244&lt;=15,"及时","超期")))</f>
        <v/>
      </c>
      <c r="Q244" s="43"/>
    </row>
    <row r="245" customFormat="false" ht="21.75" hidden="false" customHeight="true" outlineLevel="0" collapsed="false">
      <c r="A245" s="49"/>
      <c r="B245" s="48"/>
      <c r="C245" s="43"/>
      <c r="D245" s="44"/>
      <c r="E245" s="44"/>
      <c r="F245" s="36" t="str">
        <f aca="false">IF(OR(D245="",E245=""),"",IF(IFERROR(INDEX(①出口报关!$I$4:$I$303,MATCH(E245,①出口报关!$A$4:$A$303,0)),"")=D245,"一致","SKU与报关单不符"))</f>
        <v/>
      </c>
      <c r="G245" s="45"/>
      <c r="H245" s="45"/>
      <c r="I245" s="31" t="str">
        <f aca="false">IF(AND(G245="",H245=""),"",N(G245)-N(H245))</f>
        <v/>
      </c>
      <c r="J245" s="46"/>
      <c r="K245" s="46"/>
      <c r="L245" s="34" t="str">
        <f aca="false">IF(AND(J245="",K245=""),"",N(J245)-N(K245))</f>
        <v/>
      </c>
      <c r="M245" s="35" t="str">
        <f aca="false">IF(B245="","",IF(COUNTIFS(③回款收汇!$A$4:$A$203,B245,③回款收汇!$R$4:$R$203,"&gt;0")&gt;0,"已收汇","待收汇"))</f>
        <v/>
      </c>
      <c r="N245" s="41"/>
      <c r="O245" s="41"/>
      <c r="P245" s="35" t="str">
        <f aca="true">IF(N245="","",IF(O245="",IF(TODAY()-N245&gt;15,"已超15天未留存","待留存"),IF(O245-N245&lt;=15,"及时","超期")))</f>
        <v/>
      </c>
      <c r="Q245" s="43"/>
    </row>
    <row r="246" customFormat="false" ht="21.75" hidden="false" customHeight="true" outlineLevel="0" collapsed="false">
      <c r="A246" s="49"/>
      <c r="B246" s="48"/>
      <c r="C246" s="43"/>
      <c r="D246" s="44"/>
      <c r="E246" s="44"/>
      <c r="F246" s="36" t="str">
        <f aca="false">IF(OR(D246="",E246=""),"",IF(IFERROR(INDEX(①出口报关!$I$4:$I$303,MATCH(E246,①出口报关!$A$4:$A$303,0)),"")=D246,"一致","SKU与报关单不符"))</f>
        <v/>
      </c>
      <c r="G246" s="45"/>
      <c r="H246" s="45"/>
      <c r="I246" s="31" t="str">
        <f aca="false">IF(AND(G246="",H246=""),"",N(G246)-N(H246))</f>
        <v/>
      </c>
      <c r="J246" s="46"/>
      <c r="K246" s="46"/>
      <c r="L246" s="34" t="str">
        <f aca="false">IF(AND(J246="",K246=""),"",N(J246)-N(K246))</f>
        <v/>
      </c>
      <c r="M246" s="35" t="str">
        <f aca="false">IF(B246="","",IF(COUNTIFS(③回款收汇!$A$4:$A$203,B246,③回款收汇!$R$4:$R$203,"&gt;0")&gt;0,"已收汇","待收汇"))</f>
        <v/>
      </c>
      <c r="N246" s="41"/>
      <c r="O246" s="41"/>
      <c r="P246" s="35" t="str">
        <f aca="true">IF(N246="","",IF(O246="",IF(TODAY()-N246&gt;15,"已超15天未留存","待留存"),IF(O246-N246&lt;=15,"及时","超期")))</f>
        <v/>
      </c>
      <c r="Q246" s="43"/>
    </row>
    <row r="247" customFormat="false" ht="21.75" hidden="false" customHeight="true" outlineLevel="0" collapsed="false">
      <c r="A247" s="49"/>
      <c r="B247" s="48"/>
      <c r="C247" s="43"/>
      <c r="D247" s="44"/>
      <c r="E247" s="44"/>
      <c r="F247" s="36" t="str">
        <f aca="false">IF(OR(D247="",E247=""),"",IF(IFERROR(INDEX(①出口报关!$I$4:$I$303,MATCH(E247,①出口报关!$A$4:$A$303,0)),"")=D247,"一致","SKU与报关单不符"))</f>
        <v/>
      </c>
      <c r="G247" s="45"/>
      <c r="H247" s="45"/>
      <c r="I247" s="31" t="str">
        <f aca="false">IF(AND(G247="",H247=""),"",N(G247)-N(H247))</f>
        <v/>
      </c>
      <c r="J247" s="46"/>
      <c r="K247" s="46"/>
      <c r="L247" s="34" t="str">
        <f aca="false">IF(AND(J247="",K247=""),"",N(J247)-N(K247))</f>
        <v/>
      </c>
      <c r="M247" s="35" t="str">
        <f aca="false">IF(B247="","",IF(COUNTIFS(③回款收汇!$A$4:$A$203,B247,③回款收汇!$R$4:$R$203,"&gt;0")&gt;0,"已收汇","待收汇"))</f>
        <v/>
      </c>
      <c r="N247" s="41"/>
      <c r="O247" s="41"/>
      <c r="P247" s="35" t="str">
        <f aca="true">IF(N247="","",IF(O247="",IF(TODAY()-N247&gt;15,"已超15天未留存","待留存"),IF(O247-N247&lt;=15,"及时","超期")))</f>
        <v/>
      </c>
      <c r="Q247" s="43"/>
    </row>
    <row r="248" customFormat="false" ht="21.75" hidden="false" customHeight="true" outlineLevel="0" collapsed="false">
      <c r="A248" s="49"/>
      <c r="B248" s="48"/>
      <c r="C248" s="43"/>
      <c r="D248" s="44"/>
      <c r="E248" s="44"/>
      <c r="F248" s="36" t="str">
        <f aca="false">IF(OR(D248="",E248=""),"",IF(IFERROR(INDEX(①出口报关!$I$4:$I$303,MATCH(E248,①出口报关!$A$4:$A$303,0)),"")=D248,"一致","SKU与报关单不符"))</f>
        <v/>
      </c>
      <c r="G248" s="45"/>
      <c r="H248" s="45"/>
      <c r="I248" s="31" t="str">
        <f aca="false">IF(AND(G248="",H248=""),"",N(G248)-N(H248))</f>
        <v/>
      </c>
      <c r="J248" s="46"/>
      <c r="K248" s="46"/>
      <c r="L248" s="34" t="str">
        <f aca="false">IF(AND(J248="",K248=""),"",N(J248)-N(K248))</f>
        <v/>
      </c>
      <c r="M248" s="35" t="str">
        <f aca="false">IF(B248="","",IF(COUNTIFS(③回款收汇!$A$4:$A$203,B248,③回款收汇!$R$4:$R$203,"&gt;0")&gt;0,"已收汇","待收汇"))</f>
        <v/>
      </c>
      <c r="N248" s="41"/>
      <c r="O248" s="41"/>
      <c r="P248" s="35" t="str">
        <f aca="true">IF(N248="","",IF(O248="",IF(TODAY()-N248&gt;15,"已超15天未留存","待留存"),IF(O248-N248&lt;=15,"及时","超期")))</f>
        <v/>
      </c>
      <c r="Q248" s="43"/>
    </row>
    <row r="249" customFormat="false" ht="21.75" hidden="false" customHeight="true" outlineLevel="0" collapsed="false">
      <c r="A249" s="49"/>
      <c r="B249" s="48"/>
      <c r="C249" s="43"/>
      <c r="D249" s="44"/>
      <c r="E249" s="44"/>
      <c r="F249" s="36" t="str">
        <f aca="false">IF(OR(D249="",E249=""),"",IF(IFERROR(INDEX(①出口报关!$I$4:$I$303,MATCH(E249,①出口报关!$A$4:$A$303,0)),"")=D249,"一致","SKU与报关单不符"))</f>
        <v/>
      </c>
      <c r="G249" s="45"/>
      <c r="H249" s="45"/>
      <c r="I249" s="31" t="str">
        <f aca="false">IF(AND(G249="",H249=""),"",N(G249)-N(H249))</f>
        <v/>
      </c>
      <c r="J249" s="46"/>
      <c r="K249" s="46"/>
      <c r="L249" s="34" t="str">
        <f aca="false">IF(AND(J249="",K249=""),"",N(J249)-N(K249))</f>
        <v/>
      </c>
      <c r="M249" s="35" t="str">
        <f aca="false">IF(B249="","",IF(COUNTIFS(③回款收汇!$A$4:$A$203,B249,③回款收汇!$R$4:$R$203,"&gt;0")&gt;0,"已收汇","待收汇"))</f>
        <v/>
      </c>
      <c r="N249" s="41"/>
      <c r="O249" s="41"/>
      <c r="P249" s="35" t="str">
        <f aca="true">IF(N249="","",IF(O249="",IF(TODAY()-N249&gt;15,"已超15天未留存","待留存"),IF(O249-N249&lt;=15,"及时","超期")))</f>
        <v/>
      </c>
      <c r="Q249" s="43"/>
    </row>
    <row r="250" customFormat="false" ht="21.75" hidden="false" customHeight="true" outlineLevel="0" collapsed="false">
      <c r="A250" s="49"/>
      <c r="B250" s="48"/>
      <c r="C250" s="43"/>
      <c r="D250" s="44"/>
      <c r="E250" s="44"/>
      <c r="F250" s="36" t="str">
        <f aca="false">IF(OR(D250="",E250=""),"",IF(IFERROR(INDEX(①出口报关!$I$4:$I$303,MATCH(E250,①出口报关!$A$4:$A$303,0)),"")=D250,"一致","SKU与报关单不符"))</f>
        <v/>
      </c>
      <c r="G250" s="45"/>
      <c r="H250" s="45"/>
      <c r="I250" s="31" t="str">
        <f aca="false">IF(AND(G250="",H250=""),"",N(G250)-N(H250))</f>
        <v/>
      </c>
      <c r="J250" s="46"/>
      <c r="K250" s="46"/>
      <c r="L250" s="34" t="str">
        <f aca="false">IF(AND(J250="",K250=""),"",N(J250)-N(K250))</f>
        <v/>
      </c>
      <c r="M250" s="35" t="str">
        <f aca="false">IF(B250="","",IF(COUNTIFS(③回款收汇!$A$4:$A$203,B250,③回款收汇!$R$4:$R$203,"&gt;0")&gt;0,"已收汇","待收汇"))</f>
        <v/>
      </c>
      <c r="N250" s="41"/>
      <c r="O250" s="41"/>
      <c r="P250" s="35" t="str">
        <f aca="true">IF(N250="","",IF(O250="",IF(TODAY()-N250&gt;15,"已超15天未留存","待留存"),IF(O250-N250&lt;=15,"及时","超期")))</f>
        <v/>
      </c>
      <c r="Q250" s="43"/>
    </row>
    <row r="251" customFormat="false" ht="21.75" hidden="false" customHeight="true" outlineLevel="0" collapsed="false">
      <c r="A251" s="49"/>
      <c r="B251" s="48"/>
      <c r="C251" s="43"/>
      <c r="D251" s="44"/>
      <c r="E251" s="44"/>
      <c r="F251" s="36" t="str">
        <f aca="false">IF(OR(D251="",E251=""),"",IF(IFERROR(INDEX(①出口报关!$I$4:$I$303,MATCH(E251,①出口报关!$A$4:$A$303,0)),"")=D251,"一致","SKU与报关单不符"))</f>
        <v/>
      </c>
      <c r="G251" s="45"/>
      <c r="H251" s="45"/>
      <c r="I251" s="31" t="str">
        <f aca="false">IF(AND(G251="",H251=""),"",N(G251)-N(H251))</f>
        <v/>
      </c>
      <c r="J251" s="46"/>
      <c r="K251" s="46"/>
      <c r="L251" s="34" t="str">
        <f aca="false">IF(AND(J251="",K251=""),"",N(J251)-N(K251))</f>
        <v/>
      </c>
      <c r="M251" s="35" t="str">
        <f aca="false">IF(B251="","",IF(COUNTIFS(③回款收汇!$A$4:$A$203,B251,③回款收汇!$R$4:$R$203,"&gt;0")&gt;0,"已收汇","待收汇"))</f>
        <v/>
      </c>
      <c r="N251" s="41"/>
      <c r="O251" s="41"/>
      <c r="P251" s="35" t="str">
        <f aca="true">IF(N251="","",IF(O251="",IF(TODAY()-N251&gt;15,"已超15天未留存","待留存"),IF(O251-N251&lt;=15,"及时","超期")))</f>
        <v/>
      </c>
      <c r="Q251" s="43"/>
    </row>
    <row r="252" customFormat="false" ht="21.75" hidden="false" customHeight="true" outlineLevel="0" collapsed="false">
      <c r="A252" s="49"/>
      <c r="B252" s="48"/>
      <c r="C252" s="43"/>
      <c r="D252" s="44"/>
      <c r="E252" s="44"/>
      <c r="F252" s="36" t="str">
        <f aca="false">IF(OR(D252="",E252=""),"",IF(IFERROR(INDEX(①出口报关!$I$4:$I$303,MATCH(E252,①出口报关!$A$4:$A$303,0)),"")=D252,"一致","SKU与报关单不符"))</f>
        <v/>
      </c>
      <c r="G252" s="45"/>
      <c r="H252" s="45"/>
      <c r="I252" s="31" t="str">
        <f aca="false">IF(AND(G252="",H252=""),"",N(G252)-N(H252))</f>
        <v/>
      </c>
      <c r="J252" s="46"/>
      <c r="K252" s="46"/>
      <c r="L252" s="34" t="str">
        <f aca="false">IF(AND(J252="",K252=""),"",N(J252)-N(K252))</f>
        <v/>
      </c>
      <c r="M252" s="35" t="str">
        <f aca="false">IF(B252="","",IF(COUNTIFS(③回款收汇!$A$4:$A$203,B252,③回款收汇!$R$4:$R$203,"&gt;0")&gt;0,"已收汇","待收汇"))</f>
        <v/>
      </c>
      <c r="N252" s="41"/>
      <c r="O252" s="41"/>
      <c r="P252" s="35" t="str">
        <f aca="true">IF(N252="","",IF(O252="",IF(TODAY()-N252&gt;15,"已超15天未留存","待留存"),IF(O252-N252&lt;=15,"及时","超期")))</f>
        <v/>
      </c>
      <c r="Q252" s="43"/>
    </row>
    <row r="253" customFormat="false" ht="21.75" hidden="false" customHeight="true" outlineLevel="0" collapsed="false">
      <c r="A253" s="49"/>
      <c r="B253" s="48"/>
      <c r="C253" s="43"/>
      <c r="D253" s="44"/>
      <c r="E253" s="44"/>
      <c r="F253" s="36" t="str">
        <f aca="false">IF(OR(D253="",E253=""),"",IF(IFERROR(INDEX(①出口报关!$I$4:$I$303,MATCH(E253,①出口报关!$A$4:$A$303,0)),"")=D253,"一致","SKU与报关单不符"))</f>
        <v/>
      </c>
      <c r="G253" s="45"/>
      <c r="H253" s="45"/>
      <c r="I253" s="31" t="str">
        <f aca="false">IF(AND(G253="",H253=""),"",N(G253)-N(H253))</f>
        <v/>
      </c>
      <c r="J253" s="46"/>
      <c r="K253" s="46"/>
      <c r="L253" s="34" t="str">
        <f aca="false">IF(AND(J253="",K253=""),"",N(J253)-N(K253))</f>
        <v/>
      </c>
      <c r="M253" s="35" t="str">
        <f aca="false">IF(B253="","",IF(COUNTIFS(③回款收汇!$A$4:$A$203,B253,③回款收汇!$R$4:$R$203,"&gt;0")&gt;0,"已收汇","待收汇"))</f>
        <v/>
      </c>
      <c r="N253" s="41"/>
      <c r="O253" s="41"/>
      <c r="P253" s="35" t="str">
        <f aca="true">IF(N253="","",IF(O253="",IF(TODAY()-N253&gt;15,"已超15天未留存","待留存"),IF(O253-N253&lt;=15,"及时","超期")))</f>
        <v/>
      </c>
      <c r="Q253" s="43"/>
    </row>
    <row r="254" customFormat="false" ht="21.75" hidden="false" customHeight="true" outlineLevel="0" collapsed="false">
      <c r="A254" s="49"/>
      <c r="B254" s="48"/>
      <c r="C254" s="43"/>
      <c r="D254" s="44"/>
      <c r="E254" s="44"/>
      <c r="F254" s="36" t="str">
        <f aca="false">IF(OR(D254="",E254=""),"",IF(IFERROR(INDEX(①出口报关!$I$4:$I$303,MATCH(E254,①出口报关!$A$4:$A$303,0)),"")=D254,"一致","SKU与报关单不符"))</f>
        <v/>
      </c>
      <c r="G254" s="45"/>
      <c r="H254" s="45"/>
      <c r="I254" s="31" t="str">
        <f aca="false">IF(AND(G254="",H254=""),"",N(G254)-N(H254))</f>
        <v/>
      </c>
      <c r="J254" s="46"/>
      <c r="K254" s="46"/>
      <c r="L254" s="34" t="str">
        <f aca="false">IF(AND(J254="",K254=""),"",N(J254)-N(K254))</f>
        <v/>
      </c>
      <c r="M254" s="35" t="str">
        <f aca="false">IF(B254="","",IF(COUNTIFS(③回款收汇!$A$4:$A$203,B254,③回款收汇!$R$4:$R$203,"&gt;0")&gt;0,"已收汇","待收汇"))</f>
        <v/>
      </c>
      <c r="N254" s="41"/>
      <c r="O254" s="41"/>
      <c r="P254" s="35" t="str">
        <f aca="true">IF(N254="","",IF(O254="",IF(TODAY()-N254&gt;15,"已超15天未留存","待留存"),IF(O254-N254&lt;=15,"及时","超期")))</f>
        <v/>
      </c>
      <c r="Q254" s="43"/>
    </row>
    <row r="255" customFormat="false" ht="21.75" hidden="false" customHeight="true" outlineLevel="0" collapsed="false">
      <c r="A255" s="49"/>
      <c r="B255" s="48"/>
      <c r="C255" s="43"/>
      <c r="D255" s="44"/>
      <c r="E255" s="44"/>
      <c r="F255" s="36" t="str">
        <f aca="false">IF(OR(D255="",E255=""),"",IF(IFERROR(INDEX(①出口报关!$I$4:$I$303,MATCH(E255,①出口报关!$A$4:$A$303,0)),"")=D255,"一致","SKU与报关单不符"))</f>
        <v/>
      </c>
      <c r="G255" s="45"/>
      <c r="H255" s="45"/>
      <c r="I255" s="31" t="str">
        <f aca="false">IF(AND(G255="",H255=""),"",N(G255)-N(H255))</f>
        <v/>
      </c>
      <c r="J255" s="46"/>
      <c r="K255" s="46"/>
      <c r="L255" s="34" t="str">
        <f aca="false">IF(AND(J255="",K255=""),"",N(J255)-N(K255))</f>
        <v/>
      </c>
      <c r="M255" s="35" t="str">
        <f aca="false">IF(B255="","",IF(COUNTIFS(③回款收汇!$A$4:$A$203,B255,③回款收汇!$R$4:$R$203,"&gt;0")&gt;0,"已收汇","待收汇"))</f>
        <v/>
      </c>
      <c r="N255" s="41"/>
      <c r="O255" s="41"/>
      <c r="P255" s="35" t="str">
        <f aca="true">IF(N255="","",IF(O255="",IF(TODAY()-N255&gt;15,"已超15天未留存","待留存"),IF(O255-N255&lt;=15,"及时","超期")))</f>
        <v/>
      </c>
      <c r="Q255" s="43"/>
    </row>
    <row r="256" customFormat="false" ht="21.75" hidden="false" customHeight="true" outlineLevel="0" collapsed="false">
      <c r="A256" s="49"/>
      <c r="B256" s="48"/>
      <c r="C256" s="43"/>
      <c r="D256" s="44"/>
      <c r="E256" s="44"/>
      <c r="F256" s="36" t="str">
        <f aca="false">IF(OR(D256="",E256=""),"",IF(IFERROR(INDEX(①出口报关!$I$4:$I$303,MATCH(E256,①出口报关!$A$4:$A$303,0)),"")=D256,"一致","SKU与报关单不符"))</f>
        <v/>
      </c>
      <c r="G256" s="45"/>
      <c r="H256" s="45"/>
      <c r="I256" s="31" t="str">
        <f aca="false">IF(AND(G256="",H256=""),"",N(G256)-N(H256))</f>
        <v/>
      </c>
      <c r="J256" s="46"/>
      <c r="K256" s="46"/>
      <c r="L256" s="34" t="str">
        <f aca="false">IF(AND(J256="",K256=""),"",N(J256)-N(K256))</f>
        <v/>
      </c>
      <c r="M256" s="35" t="str">
        <f aca="false">IF(B256="","",IF(COUNTIFS(③回款收汇!$A$4:$A$203,B256,③回款收汇!$R$4:$R$203,"&gt;0")&gt;0,"已收汇","待收汇"))</f>
        <v/>
      </c>
      <c r="N256" s="41"/>
      <c r="O256" s="41"/>
      <c r="P256" s="35" t="str">
        <f aca="true">IF(N256="","",IF(O256="",IF(TODAY()-N256&gt;15,"已超15天未留存","待留存"),IF(O256-N256&lt;=15,"及时","超期")))</f>
        <v/>
      </c>
      <c r="Q256" s="43"/>
    </row>
    <row r="257" customFormat="false" ht="21.75" hidden="false" customHeight="true" outlineLevel="0" collapsed="false">
      <c r="A257" s="49"/>
      <c r="B257" s="48"/>
      <c r="C257" s="43"/>
      <c r="D257" s="44"/>
      <c r="E257" s="44"/>
      <c r="F257" s="36" t="str">
        <f aca="false">IF(OR(D257="",E257=""),"",IF(IFERROR(INDEX(①出口报关!$I$4:$I$303,MATCH(E257,①出口报关!$A$4:$A$303,0)),"")=D257,"一致","SKU与报关单不符"))</f>
        <v/>
      </c>
      <c r="G257" s="45"/>
      <c r="H257" s="45"/>
      <c r="I257" s="31" t="str">
        <f aca="false">IF(AND(G257="",H257=""),"",N(G257)-N(H257))</f>
        <v/>
      </c>
      <c r="J257" s="46"/>
      <c r="K257" s="46"/>
      <c r="L257" s="34" t="str">
        <f aca="false">IF(AND(J257="",K257=""),"",N(J257)-N(K257))</f>
        <v/>
      </c>
      <c r="M257" s="35" t="str">
        <f aca="false">IF(B257="","",IF(COUNTIFS(③回款收汇!$A$4:$A$203,B257,③回款收汇!$R$4:$R$203,"&gt;0")&gt;0,"已收汇","待收汇"))</f>
        <v/>
      </c>
      <c r="N257" s="41"/>
      <c r="O257" s="41"/>
      <c r="P257" s="35" t="str">
        <f aca="true">IF(N257="","",IF(O257="",IF(TODAY()-N257&gt;15,"已超15天未留存","待留存"),IF(O257-N257&lt;=15,"及时","超期")))</f>
        <v/>
      </c>
      <c r="Q257" s="43"/>
    </row>
    <row r="258" customFormat="false" ht="21.75" hidden="false" customHeight="true" outlineLevel="0" collapsed="false">
      <c r="A258" s="49"/>
      <c r="B258" s="48"/>
      <c r="C258" s="43"/>
      <c r="D258" s="44"/>
      <c r="E258" s="44"/>
      <c r="F258" s="36" t="str">
        <f aca="false">IF(OR(D258="",E258=""),"",IF(IFERROR(INDEX(①出口报关!$I$4:$I$303,MATCH(E258,①出口报关!$A$4:$A$303,0)),"")=D258,"一致","SKU与报关单不符"))</f>
        <v/>
      </c>
      <c r="G258" s="45"/>
      <c r="H258" s="45"/>
      <c r="I258" s="31" t="str">
        <f aca="false">IF(AND(G258="",H258=""),"",N(G258)-N(H258))</f>
        <v/>
      </c>
      <c r="J258" s="46"/>
      <c r="K258" s="46"/>
      <c r="L258" s="34" t="str">
        <f aca="false">IF(AND(J258="",K258=""),"",N(J258)-N(K258))</f>
        <v/>
      </c>
      <c r="M258" s="35" t="str">
        <f aca="false">IF(B258="","",IF(COUNTIFS(③回款收汇!$A$4:$A$203,B258,③回款收汇!$R$4:$R$203,"&gt;0")&gt;0,"已收汇","待收汇"))</f>
        <v/>
      </c>
      <c r="N258" s="41"/>
      <c r="O258" s="41"/>
      <c r="P258" s="35" t="str">
        <f aca="true">IF(N258="","",IF(O258="",IF(TODAY()-N258&gt;15,"已超15天未留存","待留存"),IF(O258-N258&lt;=15,"及时","超期")))</f>
        <v/>
      </c>
      <c r="Q258" s="43"/>
    </row>
    <row r="259" customFormat="false" ht="21.75" hidden="false" customHeight="true" outlineLevel="0" collapsed="false">
      <c r="A259" s="49"/>
      <c r="B259" s="48"/>
      <c r="C259" s="43"/>
      <c r="D259" s="44"/>
      <c r="E259" s="44"/>
      <c r="F259" s="36" t="str">
        <f aca="false">IF(OR(D259="",E259=""),"",IF(IFERROR(INDEX(①出口报关!$I$4:$I$303,MATCH(E259,①出口报关!$A$4:$A$303,0)),"")=D259,"一致","SKU与报关单不符"))</f>
        <v/>
      </c>
      <c r="G259" s="45"/>
      <c r="H259" s="45"/>
      <c r="I259" s="31" t="str">
        <f aca="false">IF(AND(G259="",H259=""),"",N(G259)-N(H259))</f>
        <v/>
      </c>
      <c r="J259" s="46"/>
      <c r="K259" s="46"/>
      <c r="L259" s="34" t="str">
        <f aca="false">IF(AND(J259="",K259=""),"",N(J259)-N(K259))</f>
        <v/>
      </c>
      <c r="M259" s="35" t="str">
        <f aca="false">IF(B259="","",IF(COUNTIFS(③回款收汇!$A$4:$A$203,B259,③回款收汇!$R$4:$R$203,"&gt;0")&gt;0,"已收汇","待收汇"))</f>
        <v/>
      </c>
      <c r="N259" s="41"/>
      <c r="O259" s="41"/>
      <c r="P259" s="35" t="str">
        <f aca="true">IF(N259="","",IF(O259="",IF(TODAY()-N259&gt;15,"已超15天未留存","待留存"),IF(O259-N259&lt;=15,"及时","超期")))</f>
        <v/>
      </c>
      <c r="Q259" s="43"/>
    </row>
    <row r="260" customFormat="false" ht="21.75" hidden="false" customHeight="true" outlineLevel="0" collapsed="false">
      <c r="A260" s="49"/>
      <c r="B260" s="48"/>
      <c r="C260" s="43"/>
      <c r="D260" s="44"/>
      <c r="E260" s="44"/>
      <c r="F260" s="36" t="str">
        <f aca="false">IF(OR(D260="",E260=""),"",IF(IFERROR(INDEX(①出口报关!$I$4:$I$303,MATCH(E260,①出口报关!$A$4:$A$303,0)),"")=D260,"一致","SKU与报关单不符"))</f>
        <v/>
      </c>
      <c r="G260" s="45"/>
      <c r="H260" s="45"/>
      <c r="I260" s="31" t="str">
        <f aca="false">IF(AND(G260="",H260=""),"",N(G260)-N(H260))</f>
        <v/>
      </c>
      <c r="J260" s="46"/>
      <c r="K260" s="46"/>
      <c r="L260" s="34" t="str">
        <f aca="false">IF(AND(J260="",K260=""),"",N(J260)-N(K260))</f>
        <v/>
      </c>
      <c r="M260" s="35" t="str">
        <f aca="false">IF(B260="","",IF(COUNTIFS(③回款收汇!$A$4:$A$203,B260,③回款收汇!$R$4:$R$203,"&gt;0")&gt;0,"已收汇","待收汇"))</f>
        <v/>
      </c>
      <c r="N260" s="41"/>
      <c r="O260" s="41"/>
      <c r="P260" s="35" t="str">
        <f aca="true">IF(N260="","",IF(O260="",IF(TODAY()-N260&gt;15,"已超15天未留存","待留存"),IF(O260-N260&lt;=15,"及时","超期")))</f>
        <v/>
      </c>
      <c r="Q260" s="43"/>
    </row>
    <row r="261" customFormat="false" ht="21.75" hidden="false" customHeight="true" outlineLevel="0" collapsed="false">
      <c r="A261" s="49"/>
      <c r="B261" s="48"/>
      <c r="C261" s="43"/>
      <c r="D261" s="44"/>
      <c r="E261" s="44"/>
      <c r="F261" s="36" t="str">
        <f aca="false">IF(OR(D261="",E261=""),"",IF(IFERROR(INDEX(①出口报关!$I$4:$I$303,MATCH(E261,①出口报关!$A$4:$A$303,0)),"")=D261,"一致","SKU与报关单不符"))</f>
        <v/>
      </c>
      <c r="G261" s="45"/>
      <c r="H261" s="45"/>
      <c r="I261" s="31" t="str">
        <f aca="false">IF(AND(G261="",H261=""),"",N(G261)-N(H261))</f>
        <v/>
      </c>
      <c r="J261" s="46"/>
      <c r="K261" s="46"/>
      <c r="L261" s="34" t="str">
        <f aca="false">IF(AND(J261="",K261=""),"",N(J261)-N(K261))</f>
        <v/>
      </c>
      <c r="M261" s="35" t="str">
        <f aca="false">IF(B261="","",IF(COUNTIFS(③回款收汇!$A$4:$A$203,B261,③回款收汇!$R$4:$R$203,"&gt;0")&gt;0,"已收汇","待收汇"))</f>
        <v/>
      </c>
      <c r="N261" s="41"/>
      <c r="O261" s="41"/>
      <c r="P261" s="35" t="str">
        <f aca="true">IF(N261="","",IF(O261="",IF(TODAY()-N261&gt;15,"已超15天未留存","待留存"),IF(O261-N261&lt;=15,"及时","超期")))</f>
        <v/>
      </c>
      <c r="Q261" s="43"/>
    </row>
    <row r="262" customFormat="false" ht="21.75" hidden="false" customHeight="true" outlineLevel="0" collapsed="false">
      <c r="A262" s="49"/>
      <c r="B262" s="48"/>
      <c r="C262" s="43"/>
      <c r="D262" s="44"/>
      <c r="E262" s="44"/>
      <c r="F262" s="36" t="str">
        <f aca="false">IF(OR(D262="",E262=""),"",IF(IFERROR(INDEX(①出口报关!$I$4:$I$303,MATCH(E262,①出口报关!$A$4:$A$303,0)),"")=D262,"一致","SKU与报关单不符"))</f>
        <v/>
      </c>
      <c r="G262" s="45"/>
      <c r="H262" s="45"/>
      <c r="I262" s="31" t="str">
        <f aca="false">IF(AND(G262="",H262=""),"",N(G262)-N(H262))</f>
        <v/>
      </c>
      <c r="J262" s="46"/>
      <c r="K262" s="46"/>
      <c r="L262" s="34" t="str">
        <f aca="false">IF(AND(J262="",K262=""),"",N(J262)-N(K262))</f>
        <v/>
      </c>
      <c r="M262" s="35" t="str">
        <f aca="false">IF(B262="","",IF(COUNTIFS(③回款收汇!$A$4:$A$203,B262,③回款收汇!$R$4:$R$203,"&gt;0")&gt;0,"已收汇","待收汇"))</f>
        <v/>
      </c>
      <c r="N262" s="41"/>
      <c r="O262" s="41"/>
      <c r="P262" s="35" t="str">
        <f aca="true">IF(N262="","",IF(O262="",IF(TODAY()-N262&gt;15,"已超15天未留存","待留存"),IF(O262-N262&lt;=15,"及时","超期")))</f>
        <v/>
      </c>
      <c r="Q262" s="43"/>
    </row>
    <row r="263" customFormat="false" ht="21.75" hidden="false" customHeight="true" outlineLevel="0" collapsed="false">
      <c r="A263" s="49"/>
      <c r="B263" s="48"/>
      <c r="C263" s="43"/>
      <c r="D263" s="44"/>
      <c r="E263" s="44"/>
      <c r="F263" s="36" t="str">
        <f aca="false">IF(OR(D263="",E263=""),"",IF(IFERROR(INDEX(①出口报关!$I$4:$I$303,MATCH(E263,①出口报关!$A$4:$A$303,0)),"")=D263,"一致","SKU与报关单不符"))</f>
        <v/>
      </c>
      <c r="G263" s="45"/>
      <c r="H263" s="45"/>
      <c r="I263" s="31" t="str">
        <f aca="false">IF(AND(G263="",H263=""),"",N(G263)-N(H263))</f>
        <v/>
      </c>
      <c r="J263" s="46"/>
      <c r="K263" s="46"/>
      <c r="L263" s="34" t="str">
        <f aca="false">IF(AND(J263="",K263=""),"",N(J263)-N(K263))</f>
        <v/>
      </c>
      <c r="M263" s="35" t="str">
        <f aca="false">IF(B263="","",IF(COUNTIFS(③回款收汇!$A$4:$A$203,B263,③回款收汇!$R$4:$R$203,"&gt;0")&gt;0,"已收汇","待收汇"))</f>
        <v/>
      </c>
      <c r="N263" s="41"/>
      <c r="O263" s="41"/>
      <c r="P263" s="35" t="str">
        <f aca="true">IF(N263="","",IF(O263="",IF(TODAY()-N263&gt;15,"已超15天未留存","待留存"),IF(O263-N263&lt;=15,"及时","超期")))</f>
        <v/>
      </c>
      <c r="Q263" s="43"/>
    </row>
    <row r="264" customFormat="false" ht="21.75" hidden="false" customHeight="true" outlineLevel="0" collapsed="false">
      <c r="A264" s="49"/>
      <c r="B264" s="48"/>
      <c r="C264" s="43"/>
      <c r="D264" s="44"/>
      <c r="E264" s="44"/>
      <c r="F264" s="36" t="str">
        <f aca="false">IF(OR(D264="",E264=""),"",IF(IFERROR(INDEX(①出口报关!$I$4:$I$303,MATCH(E264,①出口报关!$A$4:$A$303,0)),"")=D264,"一致","SKU与报关单不符"))</f>
        <v/>
      </c>
      <c r="G264" s="45"/>
      <c r="H264" s="45"/>
      <c r="I264" s="31" t="str">
        <f aca="false">IF(AND(G264="",H264=""),"",N(G264)-N(H264))</f>
        <v/>
      </c>
      <c r="J264" s="46"/>
      <c r="K264" s="46"/>
      <c r="L264" s="34" t="str">
        <f aca="false">IF(AND(J264="",K264=""),"",N(J264)-N(K264))</f>
        <v/>
      </c>
      <c r="M264" s="35" t="str">
        <f aca="false">IF(B264="","",IF(COUNTIFS(③回款收汇!$A$4:$A$203,B264,③回款收汇!$R$4:$R$203,"&gt;0")&gt;0,"已收汇","待收汇"))</f>
        <v/>
      </c>
      <c r="N264" s="41"/>
      <c r="O264" s="41"/>
      <c r="P264" s="35" t="str">
        <f aca="true">IF(N264="","",IF(O264="",IF(TODAY()-N264&gt;15,"已超15天未留存","待留存"),IF(O264-N264&lt;=15,"及时","超期")))</f>
        <v/>
      </c>
      <c r="Q264" s="43"/>
    </row>
    <row r="265" customFormat="false" ht="21.75" hidden="false" customHeight="true" outlineLevel="0" collapsed="false">
      <c r="A265" s="49"/>
      <c r="B265" s="48"/>
      <c r="C265" s="43"/>
      <c r="D265" s="44"/>
      <c r="E265" s="44"/>
      <c r="F265" s="36" t="str">
        <f aca="false">IF(OR(D265="",E265=""),"",IF(IFERROR(INDEX(①出口报关!$I$4:$I$303,MATCH(E265,①出口报关!$A$4:$A$303,0)),"")=D265,"一致","SKU与报关单不符"))</f>
        <v/>
      </c>
      <c r="G265" s="45"/>
      <c r="H265" s="45"/>
      <c r="I265" s="31" t="str">
        <f aca="false">IF(AND(G265="",H265=""),"",N(G265)-N(H265))</f>
        <v/>
      </c>
      <c r="J265" s="46"/>
      <c r="K265" s="46"/>
      <c r="L265" s="34" t="str">
        <f aca="false">IF(AND(J265="",K265=""),"",N(J265)-N(K265))</f>
        <v/>
      </c>
      <c r="M265" s="35" t="str">
        <f aca="false">IF(B265="","",IF(COUNTIFS(③回款收汇!$A$4:$A$203,B265,③回款收汇!$R$4:$R$203,"&gt;0")&gt;0,"已收汇","待收汇"))</f>
        <v/>
      </c>
      <c r="N265" s="41"/>
      <c r="O265" s="41"/>
      <c r="P265" s="35" t="str">
        <f aca="true">IF(N265="","",IF(O265="",IF(TODAY()-N265&gt;15,"已超15天未留存","待留存"),IF(O265-N265&lt;=15,"及时","超期")))</f>
        <v/>
      </c>
      <c r="Q265" s="43"/>
    </row>
    <row r="266" customFormat="false" ht="21.75" hidden="false" customHeight="true" outlineLevel="0" collapsed="false">
      <c r="A266" s="49"/>
      <c r="B266" s="48"/>
      <c r="C266" s="43"/>
      <c r="D266" s="44"/>
      <c r="E266" s="44"/>
      <c r="F266" s="36" t="str">
        <f aca="false">IF(OR(D266="",E266=""),"",IF(IFERROR(INDEX(①出口报关!$I$4:$I$303,MATCH(E266,①出口报关!$A$4:$A$303,0)),"")=D266,"一致","SKU与报关单不符"))</f>
        <v/>
      </c>
      <c r="G266" s="45"/>
      <c r="H266" s="45"/>
      <c r="I266" s="31" t="str">
        <f aca="false">IF(AND(G266="",H266=""),"",N(G266)-N(H266))</f>
        <v/>
      </c>
      <c r="J266" s="46"/>
      <c r="K266" s="46"/>
      <c r="L266" s="34" t="str">
        <f aca="false">IF(AND(J266="",K266=""),"",N(J266)-N(K266))</f>
        <v/>
      </c>
      <c r="M266" s="35" t="str">
        <f aca="false">IF(B266="","",IF(COUNTIFS(③回款收汇!$A$4:$A$203,B266,③回款收汇!$R$4:$R$203,"&gt;0")&gt;0,"已收汇","待收汇"))</f>
        <v/>
      </c>
      <c r="N266" s="41"/>
      <c r="O266" s="41"/>
      <c r="P266" s="35" t="str">
        <f aca="true">IF(N266="","",IF(O266="",IF(TODAY()-N266&gt;15,"已超15天未留存","待留存"),IF(O266-N266&lt;=15,"及时","超期")))</f>
        <v/>
      </c>
      <c r="Q266" s="43"/>
    </row>
    <row r="267" customFormat="false" ht="21.75" hidden="false" customHeight="true" outlineLevel="0" collapsed="false">
      <c r="A267" s="49"/>
      <c r="B267" s="48"/>
      <c r="C267" s="43"/>
      <c r="D267" s="44"/>
      <c r="E267" s="44"/>
      <c r="F267" s="36" t="str">
        <f aca="false">IF(OR(D267="",E267=""),"",IF(IFERROR(INDEX(①出口报关!$I$4:$I$303,MATCH(E267,①出口报关!$A$4:$A$303,0)),"")=D267,"一致","SKU与报关单不符"))</f>
        <v/>
      </c>
      <c r="G267" s="45"/>
      <c r="H267" s="45"/>
      <c r="I267" s="31" t="str">
        <f aca="false">IF(AND(G267="",H267=""),"",N(G267)-N(H267))</f>
        <v/>
      </c>
      <c r="J267" s="46"/>
      <c r="K267" s="46"/>
      <c r="L267" s="34" t="str">
        <f aca="false">IF(AND(J267="",K267=""),"",N(J267)-N(K267))</f>
        <v/>
      </c>
      <c r="M267" s="35" t="str">
        <f aca="false">IF(B267="","",IF(COUNTIFS(③回款收汇!$A$4:$A$203,B267,③回款收汇!$R$4:$R$203,"&gt;0")&gt;0,"已收汇","待收汇"))</f>
        <v/>
      </c>
      <c r="N267" s="41"/>
      <c r="O267" s="41"/>
      <c r="P267" s="35" t="str">
        <f aca="true">IF(N267="","",IF(O267="",IF(TODAY()-N267&gt;15,"已超15天未留存","待留存"),IF(O267-N267&lt;=15,"及时","超期")))</f>
        <v/>
      </c>
      <c r="Q267" s="43"/>
    </row>
    <row r="268" customFormat="false" ht="21.75" hidden="false" customHeight="true" outlineLevel="0" collapsed="false">
      <c r="A268" s="49"/>
      <c r="B268" s="48"/>
      <c r="C268" s="43"/>
      <c r="D268" s="44"/>
      <c r="E268" s="44"/>
      <c r="F268" s="36" t="str">
        <f aca="false">IF(OR(D268="",E268=""),"",IF(IFERROR(INDEX(①出口报关!$I$4:$I$303,MATCH(E268,①出口报关!$A$4:$A$303,0)),"")=D268,"一致","SKU与报关单不符"))</f>
        <v/>
      </c>
      <c r="G268" s="45"/>
      <c r="H268" s="45"/>
      <c r="I268" s="31" t="str">
        <f aca="false">IF(AND(G268="",H268=""),"",N(G268)-N(H268))</f>
        <v/>
      </c>
      <c r="J268" s="46"/>
      <c r="K268" s="46"/>
      <c r="L268" s="34" t="str">
        <f aca="false">IF(AND(J268="",K268=""),"",N(J268)-N(K268))</f>
        <v/>
      </c>
      <c r="M268" s="35" t="str">
        <f aca="false">IF(B268="","",IF(COUNTIFS(③回款收汇!$A$4:$A$203,B268,③回款收汇!$R$4:$R$203,"&gt;0")&gt;0,"已收汇","待收汇"))</f>
        <v/>
      </c>
      <c r="N268" s="41"/>
      <c r="O268" s="41"/>
      <c r="P268" s="35" t="str">
        <f aca="true">IF(N268="","",IF(O268="",IF(TODAY()-N268&gt;15,"已超15天未留存","待留存"),IF(O268-N268&lt;=15,"及时","超期")))</f>
        <v/>
      </c>
      <c r="Q268" s="43"/>
    </row>
    <row r="269" customFormat="false" ht="21.75" hidden="false" customHeight="true" outlineLevel="0" collapsed="false">
      <c r="A269" s="49"/>
      <c r="B269" s="48"/>
      <c r="C269" s="43"/>
      <c r="D269" s="44"/>
      <c r="E269" s="44"/>
      <c r="F269" s="36" t="str">
        <f aca="false">IF(OR(D269="",E269=""),"",IF(IFERROR(INDEX(①出口报关!$I$4:$I$303,MATCH(E269,①出口报关!$A$4:$A$303,0)),"")=D269,"一致","SKU与报关单不符"))</f>
        <v/>
      </c>
      <c r="G269" s="45"/>
      <c r="H269" s="45"/>
      <c r="I269" s="31" t="str">
        <f aca="false">IF(AND(G269="",H269=""),"",N(G269)-N(H269))</f>
        <v/>
      </c>
      <c r="J269" s="46"/>
      <c r="K269" s="46"/>
      <c r="L269" s="34" t="str">
        <f aca="false">IF(AND(J269="",K269=""),"",N(J269)-N(K269))</f>
        <v/>
      </c>
      <c r="M269" s="35" t="str">
        <f aca="false">IF(B269="","",IF(COUNTIFS(③回款收汇!$A$4:$A$203,B269,③回款收汇!$R$4:$R$203,"&gt;0")&gt;0,"已收汇","待收汇"))</f>
        <v/>
      </c>
      <c r="N269" s="41"/>
      <c r="O269" s="41"/>
      <c r="P269" s="35" t="str">
        <f aca="true">IF(N269="","",IF(O269="",IF(TODAY()-N269&gt;15,"已超15天未留存","待留存"),IF(O269-N269&lt;=15,"及时","超期")))</f>
        <v/>
      </c>
      <c r="Q269" s="43"/>
    </row>
    <row r="270" customFormat="false" ht="21.75" hidden="false" customHeight="true" outlineLevel="0" collapsed="false">
      <c r="A270" s="49"/>
      <c r="B270" s="48"/>
      <c r="C270" s="43"/>
      <c r="D270" s="44"/>
      <c r="E270" s="44"/>
      <c r="F270" s="36" t="str">
        <f aca="false">IF(OR(D270="",E270=""),"",IF(IFERROR(INDEX(①出口报关!$I$4:$I$303,MATCH(E270,①出口报关!$A$4:$A$303,0)),"")=D270,"一致","SKU与报关单不符"))</f>
        <v/>
      </c>
      <c r="G270" s="45"/>
      <c r="H270" s="45"/>
      <c r="I270" s="31" t="str">
        <f aca="false">IF(AND(G270="",H270=""),"",N(G270)-N(H270))</f>
        <v/>
      </c>
      <c r="J270" s="46"/>
      <c r="K270" s="46"/>
      <c r="L270" s="34" t="str">
        <f aca="false">IF(AND(J270="",K270=""),"",N(J270)-N(K270))</f>
        <v/>
      </c>
      <c r="M270" s="35" t="str">
        <f aca="false">IF(B270="","",IF(COUNTIFS(③回款收汇!$A$4:$A$203,B270,③回款收汇!$R$4:$R$203,"&gt;0")&gt;0,"已收汇","待收汇"))</f>
        <v/>
      </c>
      <c r="N270" s="41"/>
      <c r="O270" s="41"/>
      <c r="P270" s="35" t="str">
        <f aca="true">IF(N270="","",IF(O270="",IF(TODAY()-N270&gt;15,"已超15天未留存","待留存"),IF(O270-N270&lt;=15,"及时","超期")))</f>
        <v/>
      </c>
      <c r="Q270" s="43"/>
    </row>
    <row r="271" customFormat="false" ht="21.75" hidden="false" customHeight="true" outlineLevel="0" collapsed="false">
      <c r="A271" s="49"/>
      <c r="B271" s="48"/>
      <c r="C271" s="43"/>
      <c r="D271" s="44"/>
      <c r="E271" s="44"/>
      <c r="F271" s="36" t="str">
        <f aca="false">IF(OR(D271="",E271=""),"",IF(IFERROR(INDEX(①出口报关!$I$4:$I$303,MATCH(E271,①出口报关!$A$4:$A$303,0)),"")=D271,"一致","SKU与报关单不符"))</f>
        <v/>
      </c>
      <c r="G271" s="45"/>
      <c r="H271" s="45"/>
      <c r="I271" s="31" t="str">
        <f aca="false">IF(AND(G271="",H271=""),"",N(G271)-N(H271))</f>
        <v/>
      </c>
      <c r="J271" s="46"/>
      <c r="K271" s="46"/>
      <c r="L271" s="34" t="str">
        <f aca="false">IF(AND(J271="",K271=""),"",N(J271)-N(K271))</f>
        <v/>
      </c>
      <c r="M271" s="35" t="str">
        <f aca="false">IF(B271="","",IF(COUNTIFS(③回款收汇!$A$4:$A$203,B271,③回款收汇!$R$4:$R$203,"&gt;0")&gt;0,"已收汇","待收汇"))</f>
        <v/>
      </c>
      <c r="N271" s="41"/>
      <c r="O271" s="41"/>
      <c r="P271" s="35" t="str">
        <f aca="true">IF(N271="","",IF(O271="",IF(TODAY()-N271&gt;15,"已超15天未留存","待留存"),IF(O271-N271&lt;=15,"及时","超期")))</f>
        <v/>
      </c>
      <c r="Q271" s="43"/>
    </row>
    <row r="272" customFormat="false" ht="21.75" hidden="false" customHeight="true" outlineLevel="0" collapsed="false">
      <c r="A272" s="49"/>
      <c r="B272" s="48"/>
      <c r="C272" s="43"/>
      <c r="D272" s="44"/>
      <c r="E272" s="44"/>
      <c r="F272" s="36" t="str">
        <f aca="false">IF(OR(D272="",E272=""),"",IF(IFERROR(INDEX(①出口报关!$I$4:$I$303,MATCH(E272,①出口报关!$A$4:$A$303,0)),"")=D272,"一致","SKU与报关单不符"))</f>
        <v/>
      </c>
      <c r="G272" s="45"/>
      <c r="H272" s="45"/>
      <c r="I272" s="31" t="str">
        <f aca="false">IF(AND(G272="",H272=""),"",N(G272)-N(H272))</f>
        <v/>
      </c>
      <c r="J272" s="46"/>
      <c r="K272" s="46"/>
      <c r="L272" s="34" t="str">
        <f aca="false">IF(AND(J272="",K272=""),"",N(J272)-N(K272))</f>
        <v/>
      </c>
      <c r="M272" s="35" t="str">
        <f aca="false">IF(B272="","",IF(COUNTIFS(③回款收汇!$A$4:$A$203,B272,③回款收汇!$R$4:$R$203,"&gt;0")&gt;0,"已收汇","待收汇"))</f>
        <v/>
      </c>
      <c r="N272" s="41"/>
      <c r="O272" s="41"/>
      <c r="P272" s="35" t="str">
        <f aca="true">IF(N272="","",IF(O272="",IF(TODAY()-N272&gt;15,"已超15天未留存","待留存"),IF(O272-N272&lt;=15,"及时","超期")))</f>
        <v/>
      </c>
      <c r="Q272" s="43"/>
    </row>
    <row r="273" customFormat="false" ht="21.75" hidden="false" customHeight="true" outlineLevel="0" collapsed="false">
      <c r="A273" s="49"/>
      <c r="B273" s="48"/>
      <c r="C273" s="43"/>
      <c r="D273" s="44"/>
      <c r="E273" s="44"/>
      <c r="F273" s="36" t="str">
        <f aca="false">IF(OR(D273="",E273=""),"",IF(IFERROR(INDEX(①出口报关!$I$4:$I$303,MATCH(E273,①出口报关!$A$4:$A$303,0)),"")=D273,"一致","SKU与报关单不符"))</f>
        <v/>
      </c>
      <c r="G273" s="45"/>
      <c r="H273" s="45"/>
      <c r="I273" s="31" t="str">
        <f aca="false">IF(AND(G273="",H273=""),"",N(G273)-N(H273))</f>
        <v/>
      </c>
      <c r="J273" s="46"/>
      <c r="K273" s="46"/>
      <c r="L273" s="34" t="str">
        <f aca="false">IF(AND(J273="",K273=""),"",N(J273)-N(K273))</f>
        <v/>
      </c>
      <c r="M273" s="35" t="str">
        <f aca="false">IF(B273="","",IF(COUNTIFS(③回款收汇!$A$4:$A$203,B273,③回款收汇!$R$4:$R$203,"&gt;0")&gt;0,"已收汇","待收汇"))</f>
        <v/>
      </c>
      <c r="N273" s="41"/>
      <c r="O273" s="41"/>
      <c r="P273" s="35" t="str">
        <f aca="true">IF(N273="","",IF(O273="",IF(TODAY()-N273&gt;15,"已超15天未留存","待留存"),IF(O273-N273&lt;=15,"及时","超期")))</f>
        <v/>
      </c>
      <c r="Q273" s="43"/>
    </row>
    <row r="274" customFormat="false" ht="21.75" hidden="false" customHeight="true" outlineLevel="0" collapsed="false">
      <c r="A274" s="49"/>
      <c r="B274" s="48"/>
      <c r="C274" s="43"/>
      <c r="D274" s="44"/>
      <c r="E274" s="44"/>
      <c r="F274" s="36" t="str">
        <f aca="false">IF(OR(D274="",E274=""),"",IF(IFERROR(INDEX(①出口报关!$I$4:$I$303,MATCH(E274,①出口报关!$A$4:$A$303,0)),"")=D274,"一致","SKU与报关单不符"))</f>
        <v/>
      </c>
      <c r="G274" s="45"/>
      <c r="H274" s="45"/>
      <c r="I274" s="31" t="str">
        <f aca="false">IF(AND(G274="",H274=""),"",N(G274)-N(H274))</f>
        <v/>
      </c>
      <c r="J274" s="46"/>
      <c r="K274" s="46"/>
      <c r="L274" s="34" t="str">
        <f aca="false">IF(AND(J274="",K274=""),"",N(J274)-N(K274))</f>
        <v/>
      </c>
      <c r="M274" s="35" t="str">
        <f aca="false">IF(B274="","",IF(COUNTIFS(③回款收汇!$A$4:$A$203,B274,③回款收汇!$R$4:$R$203,"&gt;0")&gt;0,"已收汇","待收汇"))</f>
        <v/>
      </c>
      <c r="N274" s="41"/>
      <c r="O274" s="41"/>
      <c r="P274" s="35" t="str">
        <f aca="true">IF(N274="","",IF(O274="",IF(TODAY()-N274&gt;15,"已超15天未留存","待留存"),IF(O274-N274&lt;=15,"及时","超期")))</f>
        <v/>
      </c>
      <c r="Q274" s="43"/>
    </row>
    <row r="275" customFormat="false" ht="21.75" hidden="false" customHeight="true" outlineLevel="0" collapsed="false">
      <c r="A275" s="49"/>
      <c r="B275" s="48"/>
      <c r="C275" s="43"/>
      <c r="D275" s="44"/>
      <c r="E275" s="44"/>
      <c r="F275" s="36" t="str">
        <f aca="false">IF(OR(D275="",E275=""),"",IF(IFERROR(INDEX(①出口报关!$I$4:$I$303,MATCH(E275,①出口报关!$A$4:$A$303,0)),"")=D275,"一致","SKU与报关单不符"))</f>
        <v/>
      </c>
      <c r="G275" s="45"/>
      <c r="H275" s="45"/>
      <c r="I275" s="31" t="str">
        <f aca="false">IF(AND(G275="",H275=""),"",N(G275)-N(H275))</f>
        <v/>
      </c>
      <c r="J275" s="46"/>
      <c r="K275" s="46"/>
      <c r="L275" s="34" t="str">
        <f aca="false">IF(AND(J275="",K275=""),"",N(J275)-N(K275))</f>
        <v/>
      </c>
      <c r="M275" s="35" t="str">
        <f aca="false">IF(B275="","",IF(COUNTIFS(③回款收汇!$A$4:$A$203,B275,③回款收汇!$R$4:$R$203,"&gt;0")&gt;0,"已收汇","待收汇"))</f>
        <v/>
      </c>
      <c r="N275" s="41"/>
      <c r="O275" s="41"/>
      <c r="P275" s="35" t="str">
        <f aca="true">IF(N275="","",IF(O275="",IF(TODAY()-N275&gt;15,"已超15天未留存","待留存"),IF(O275-N275&lt;=15,"及时","超期")))</f>
        <v/>
      </c>
      <c r="Q275" s="43"/>
    </row>
    <row r="276" customFormat="false" ht="21.75" hidden="false" customHeight="true" outlineLevel="0" collapsed="false">
      <c r="A276" s="49"/>
      <c r="B276" s="48"/>
      <c r="C276" s="43"/>
      <c r="D276" s="44"/>
      <c r="E276" s="44"/>
      <c r="F276" s="36" t="str">
        <f aca="false">IF(OR(D276="",E276=""),"",IF(IFERROR(INDEX(①出口报关!$I$4:$I$303,MATCH(E276,①出口报关!$A$4:$A$303,0)),"")=D276,"一致","SKU与报关单不符"))</f>
        <v/>
      </c>
      <c r="G276" s="45"/>
      <c r="H276" s="45"/>
      <c r="I276" s="31" t="str">
        <f aca="false">IF(AND(G276="",H276=""),"",N(G276)-N(H276))</f>
        <v/>
      </c>
      <c r="J276" s="46"/>
      <c r="K276" s="46"/>
      <c r="L276" s="34" t="str">
        <f aca="false">IF(AND(J276="",K276=""),"",N(J276)-N(K276))</f>
        <v/>
      </c>
      <c r="M276" s="35" t="str">
        <f aca="false">IF(B276="","",IF(COUNTIFS(③回款收汇!$A$4:$A$203,B276,③回款收汇!$R$4:$R$203,"&gt;0")&gt;0,"已收汇","待收汇"))</f>
        <v/>
      </c>
      <c r="N276" s="41"/>
      <c r="O276" s="41"/>
      <c r="P276" s="35" t="str">
        <f aca="true">IF(N276="","",IF(O276="",IF(TODAY()-N276&gt;15,"已超15天未留存","待留存"),IF(O276-N276&lt;=15,"及时","超期")))</f>
        <v/>
      </c>
      <c r="Q276" s="43"/>
    </row>
    <row r="277" customFormat="false" ht="21.75" hidden="false" customHeight="true" outlineLevel="0" collapsed="false">
      <c r="A277" s="49"/>
      <c r="B277" s="48"/>
      <c r="C277" s="43"/>
      <c r="D277" s="44"/>
      <c r="E277" s="44"/>
      <c r="F277" s="36" t="str">
        <f aca="false">IF(OR(D277="",E277=""),"",IF(IFERROR(INDEX(①出口报关!$I$4:$I$303,MATCH(E277,①出口报关!$A$4:$A$303,0)),"")=D277,"一致","SKU与报关单不符"))</f>
        <v/>
      </c>
      <c r="G277" s="45"/>
      <c r="H277" s="45"/>
      <c r="I277" s="31" t="str">
        <f aca="false">IF(AND(G277="",H277=""),"",N(G277)-N(H277))</f>
        <v/>
      </c>
      <c r="J277" s="46"/>
      <c r="K277" s="46"/>
      <c r="L277" s="34" t="str">
        <f aca="false">IF(AND(J277="",K277=""),"",N(J277)-N(K277))</f>
        <v/>
      </c>
      <c r="M277" s="35" t="str">
        <f aca="false">IF(B277="","",IF(COUNTIFS(③回款收汇!$A$4:$A$203,B277,③回款收汇!$R$4:$R$203,"&gt;0")&gt;0,"已收汇","待收汇"))</f>
        <v/>
      </c>
      <c r="N277" s="41"/>
      <c r="O277" s="41"/>
      <c r="P277" s="35" t="str">
        <f aca="true">IF(N277="","",IF(O277="",IF(TODAY()-N277&gt;15,"已超15天未留存","待留存"),IF(O277-N277&lt;=15,"及时","超期")))</f>
        <v/>
      </c>
      <c r="Q277" s="43"/>
    </row>
    <row r="278" customFormat="false" ht="21.75" hidden="false" customHeight="true" outlineLevel="0" collapsed="false">
      <c r="A278" s="49"/>
      <c r="B278" s="48"/>
      <c r="C278" s="43"/>
      <c r="D278" s="44"/>
      <c r="E278" s="44"/>
      <c r="F278" s="36" t="str">
        <f aca="false">IF(OR(D278="",E278=""),"",IF(IFERROR(INDEX(①出口报关!$I$4:$I$303,MATCH(E278,①出口报关!$A$4:$A$303,0)),"")=D278,"一致","SKU与报关单不符"))</f>
        <v/>
      </c>
      <c r="G278" s="45"/>
      <c r="H278" s="45"/>
      <c r="I278" s="31" t="str">
        <f aca="false">IF(AND(G278="",H278=""),"",N(G278)-N(H278))</f>
        <v/>
      </c>
      <c r="J278" s="46"/>
      <c r="K278" s="46"/>
      <c r="L278" s="34" t="str">
        <f aca="false">IF(AND(J278="",K278=""),"",N(J278)-N(K278))</f>
        <v/>
      </c>
      <c r="M278" s="35" t="str">
        <f aca="false">IF(B278="","",IF(COUNTIFS(③回款收汇!$A$4:$A$203,B278,③回款收汇!$R$4:$R$203,"&gt;0")&gt;0,"已收汇","待收汇"))</f>
        <v/>
      </c>
      <c r="N278" s="41"/>
      <c r="O278" s="41"/>
      <c r="P278" s="35" t="str">
        <f aca="true">IF(N278="","",IF(O278="",IF(TODAY()-N278&gt;15,"已超15天未留存","待留存"),IF(O278-N278&lt;=15,"及时","超期")))</f>
        <v/>
      </c>
      <c r="Q278" s="43"/>
    </row>
    <row r="279" customFormat="false" ht="21.75" hidden="false" customHeight="true" outlineLevel="0" collapsed="false">
      <c r="A279" s="49"/>
      <c r="B279" s="48"/>
      <c r="C279" s="43"/>
      <c r="D279" s="44"/>
      <c r="E279" s="44"/>
      <c r="F279" s="36" t="str">
        <f aca="false">IF(OR(D279="",E279=""),"",IF(IFERROR(INDEX(①出口报关!$I$4:$I$303,MATCH(E279,①出口报关!$A$4:$A$303,0)),"")=D279,"一致","SKU与报关单不符"))</f>
        <v/>
      </c>
      <c r="G279" s="45"/>
      <c r="H279" s="45"/>
      <c r="I279" s="31" t="str">
        <f aca="false">IF(AND(G279="",H279=""),"",N(G279)-N(H279))</f>
        <v/>
      </c>
      <c r="J279" s="46"/>
      <c r="K279" s="46"/>
      <c r="L279" s="34" t="str">
        <f aca="false">IF(AND(J279="",K279=""),"",N(J279)-N(K279))</f>
        <v/>
      </c>
      <c r="M279" s="35" t="str">
        <f aca="false">IF(B279="","",IF(COUNTIFS(③回款收汇!$A$4:$A$203,B279,③回款收汇!$R$4:$R$203,"&gt;0")&gt;0,"已收汇","待收汇"))</f>
        <v/>
      </c>
      <c r="N279" s="41"/>
      <c r="O279" s="41"/>
      <c r="P279" s="35" t="str">
        <f aca="true">IF(N279="","",IF(O279="",IF(TODAY()-N279&gt;15,"已超15天未留存","待留存"),IF(O279-N279&lt;=15,"及时","超期")))</f>
        <v/>
      </c>
      <c r="Q279" s="43"/>
    </row>
    <row r="280" customFormat="false" ht="21.75" hidden="false" customHeight="true" outlineLevel="0" collapsed="false">
      <c r="A280" s="49"/>
      <c r="B280" s="48"/>
      <c r="C280" s="43"/>
      <c r="D280" s="44"/>
      <c r="E280" s="44"/>
      <c r="F280" s="36" t="str">
        <f aca="false">IF(OR(D280="",E280=""),"",IF(IFERROR(INDEX(①出口报关!$I$4:$I$303,MATCH(E280,①出口报关!$A$4:$A$303,0)),"")=D280,"一致","SKU与报关单不符"))</f>
        <v/>
      </c>
      <c r="G280" s="45"/>
      <c r="H280" s="45"/>
      <c r="I280" s="31" t="str">
        <f aca="false">IF(AND(G280="",H280=""),"",N(G280)-N(H280))</f>
        <v/>
      </c>
      <c r="J280" s="46"/>
      <c r="K280" s="46"/>
      <c r="L280" s="34" t="str">
        <f aca="false">IF(AND(J280="",K280=""),"",N(J280)-N(K280))</f>
        <v/>
      </c>
      <c r="M280" s="35" t="str">
        <f aca="false">IF(B280="","",IF(COUNTIFS(③回款收汇!$A$4:$A$203,B280,③回款收汇!$R$4:$R$203,"&gt;0")&gt;0,"已收汇","待收汇"))</f>
        <v/>
      </c>
      <c r="N280" s="41"/>
      <c r="O280" s="41"/>
      <c r="P280" s="35" t="str">
        <f aca="true">IF(N280="","",IF(O280="",IF(TODAY()-N280&gt;15,"已超15天未留存","待留存"),IF(O280-N280&lt;=15,"及时","超期")))</f>
        <v/>
      </c>
      <c r="Q280" s="43"/>
    </row>
    <row r="281" customFormat="false" ht="21.75" hidden="false" customHeight="true" outlineLevel="0" collapsed="false">
      <c r="A281" s="49"/>
      <c r="B281" s="48"/>
      <c r="C281" s="43"/>
      <c r="D281" s="44"/>
      <c r="E281" s="44"/>
      <c r="F281" s="36" t="str">
        <f aca="false">IF(OR(D281="",E281=""),"",IF(IFERROR(INDEX(①出口报关!$I$4:$I$303,MATCH(E281,①出口报关!$A$4:$A$303,0)),"")=D281,"一致","SKU与报关单不符"))</f>
        <v/>
      </c>
      <c r="G281" s="45"/>
      <c r="H281" s="45"/>
      <c r="I281" s="31" t="str">
        <f aca="false">IF(AND(G281="",H281=""),"",N(G281)-N(H281))</f>
        <v/>
      </c>
      <c r="J281" s="46"/>
      <c r="K281" s="46"/>
      <c r="L281" s="34" t="str">
        <f aca="false">IF(AND(J281="",K281=""),"",N(J281)-N(K281))</f>
        <v/>
      </c>
      <c r="M281" s="35" t="str">
        <f aca="false">IF(B281="","",IF(COUNTIFS(③回款收汇!$A$4:$A$203,B281,③回款收汇!$R$4:$R$203,"&gt;0")&gt;0,"已收汇","待收汇"))</f>
        <v/>
      </c>
      <c r="N281" s="41"/>
      <c r="O281" s="41"/>
      <c r="P281" s="35" t="str">
        <f aca="true">IF(N281="","",IF(O281="",IF(TODAY()-N281&gt;15,"已超15天未留存","待留存"),IF(O281-N281&lt;=15,"及时","超期")))</f>
        <v/>
      </c>
      <c r="Q281" s="43"/>
    </row>
    <row r="282" customFormat="false" ht="21.75" hidden="false" customHeight="true" outlineLevel="0" collapsed="false">
      <c r="A282" s="49"/>
      <c r="B282" s="48"/>
      <c r="C282" s="43"/>
      <c r="D282" s="44"/>
      <c r="E282" s="44"/>
      <c r="F282" s="36" t="str">
        <f aca="false">IF(OR(D282="",E282=""),"",IF(IFERROR(INDEX(①出口报关!$I$4:$I$303,MATCH(E282,①出口报关!$A$4:$A$303,0)),"")=D282,"一致","SKU与报关单不符"))</f>
        <v/>
      </c>
      <c r="G282" s="45"/>
      <c r="H282" s="45"/>
      <c r="I282" s="31" t="str">
        <f aca="false">IF(AND(G282="",H282=""),"",N(G282)-N(H282))</f>
        <v/>
      </c>
      <c r="J282" s="46"/>
      <c r="K282" s="46"/>
      <c r="L282" s="34" t="str">
        <f aca="false">IF(AND(J282="",K282=""),"",N(J282)-N(K282))</f>
        <v/>
      </c>
      <c r="M282" s="35" t="str">
        <f aca="false">IF(B282="","",IF(COUNTIFS(③回款收汇!$A$4:$A$203,B282,③回款收汇!$R$4:$R$203,"&gt;0")&gt;0,"已收汇","待收汇"))</f>
        <v/>
      </c>
      <c r="N282" s="41"/>
      <c r="O282" s="41"/>
      <c r="P282" s="35" t="str">
        <f aca="true">IF(N282="","",IF(O282="",IF(TODAY()-N282&gt;15,"已超15天未留存","待留存"),IF(O282-N282&lt;=15,"及时","超期")))</f>
        <v/>
      </c>
      <c r="Q282" s="43"/>
    </row>
    <row r="283" customFormat="false" ht="21.75" hidden="false" customHeight="true" outlineLevel="0" collapsed="false">
      <c r="A283" s="49"/>
      <c r="B283" s="48"/>
      <c r="C283" s="43"/>
      <c r="D283" s="44"/>
      <c r="E283" s="44"/>
      <c r="F283" s="36" t="str">
        <f aca="false">IF(OR(D283="",E283=""),"",IF(IFERROR(INDEX(①出口报关!$I$4:$I$303,MATCH(E283,①出口报关!$A$4:$A$303,0)),"")=D283,"一致","SKU与报关单不符"))</f>
        <v/>
      </c>
      <c r="G283" s="45"/>
      <c r="H283" s="45"/>
      <c r="I283" s="31" t="str">
        <f aca="false">IF(AND(G283="",H283=""),"",N(G283)-N(H283))</f>
        <v/>
      </c>
      <c r="J283" s="46"/>
      <c r="K283" s="46"/>
      <c r="L283" s="34" t="str">
        <f aca="false">IF(AND(J283="",K283=""),"",N(J283)-N(K283))</f>
        <v/>
      </c>
      <c r="M283" s="35" t="str">
        <f aca="false">IF(B283="","",IF(COUNTIFS(③回款收汇!$A$4:$A$203,B283,③回款收汇!$R$4:$R$203,"&gt;0")&gt;0,"已收汇","待收汇"))</f>
        <v/>
      </c>
      <c r="N283" s="41"/>
      <c r="O283" s="41"/>
      <c r="P283" s="35" t="str">
        <f aca="true">IF(N283="","",IF(O283="",IF(TODAY()-N283&gt;15,"已超15天未留存","待留存"),IF(O283-N283&lt;=15,"及时","超期")))</f>
        <v/>
      </c>
      <c r="Q283" s="43"/>
    </row>
    <row r="284" customFormat="false" ht="21.75" hidden="false" customHeight="true" outlineLevel="0" collapsed="false">
      <c r="A284" s="49"/>
      <c r="B284" s="48"/>
      <c r="C284" s="43"/>
      <c r="D284" s="44"/>
      <c r="E284" s="44"/>
      <c r="F284" s="36" t="str">
        <f aca="false">IF(OR(D284="",E284=""),"",IF(IFERROR(INDEX(①出口报关!$I$4:$I$303,MATCH(E284,①出口报关!$A$4:$A$303,0)),"")=D284,"一致","SKU与报关单不符"))</f>
        <v/>
      </c>
      <c r="G284" s="45"/>
      <c r="H284" s="45"/>
      <c r="I284" s="31" t="str">
        <f aca="false">IF(AND(G284="",H284=""),"",N(G284)-N(H284))</f>
        <v/>
      </c>
      <c r="J284" s="46"/>
      <c r="K284" s="46"/>
      <c r="L284" s="34" t="str">
        <f aca="false">IF(AND(J284="",K284=""),"",N(J284)-N(K284))</f>
        <v/>
      </c>
      <c r="M284" s="35" t="str">
        <f aca="false">IF(B284="","",IF(COUNTIFS(③回款收汇!$A$4:$A$203,B284,③回款收汇!$R$4:$R$203,"&gt;0")&gt;0,"已收汇","待收汇"))</f>
        <v/>
      </c>
      <c r="N284" s="41"/>
      <c r="O284" s="41"/>
      <c r="P284" s="35" t="str">
        <f aca="true">IF(N284="","",IF(O284="",IF(TODAY()-N284&gt;15,"已超15天未留存","待留存"),IF(O284-N284&lt;=15,"及时","超期")))</f>
        <v/>
      </c>
      <c r="Q284" s="43"/>
    </row>
    <row r="285" customFormat="false" ht="21.75" hidden="false" customHeight="true" outlineLevel="0" collapsed="false">
      <c r="A285" s="49"/>
      <c r="B285" s="48"/>
      <c r="C285" s="43"/>
      <c r="D285" s="44"/>
      <c r="E285" s="44"/>
      <c r="F285" s="36" t="str">
        <f aca="false">IF(OR(D285="",E285=""),"",IF(IFERROR(INDEX(①出口报关!$I$4:$I$303,MATCH(E285,①出口报关!$A$4:$A$303,0)),"")=D285,"一致","SKU与报关单不符"))</f>
        <v/>
      </c>
      <c r="G285" s="45"/>
      <c r="H285" s="45"/>
      <c r="I285" s="31" t="str">
        <f aca="false">IF(AND(G285="",H285=""),"",N(G285)-N(H285))</f>
        <v/>
      </c>
      <c r="J285" s="46"/>
      <c r="K285" s="46"/>
      <c r="L285" s="34" t="str">
        <f aca="false">IF(AND(J285="",K285=""),"",N(J285)-N(K285))</f>
        <v/>
      </c>
      <c r="M285" s="35" t="str">
        <f aca="false">IF(B285="","",IF(COUNTIFS(③回款收汇!$A$4:$A$203,B285,③回款收汇!$R$4:$R$203,"&gt;0")&gt;0,"已收汇","待收汇"))</f>
        <v/>
      </c>
      <c r="N285" s="41"/>
      <c r="O285" s="41"/>
      <c r="P285" s="35" t="str">
        <f aca="true">IF(N285="","",IF(O285="",IF(TODAY()-N285&gt;15,"已超15天未留存","待留存"),IF(O285-N285&lt;=15,"及时","超期")))</f>
        <v/>
      </c>
      <c r="Q285" s="43"/>
    </row>
    <row r="286" customFormat="false" ht="21.75" hidden="false" customHeight="true" outlineLevel="0" collapsed="false">
      <c r="A286" s="49"/>
      <c r="B286" s="48"/>
      <c r="C286" s="43"/>
      <c r="D286" s="44"/>
      <c r="E286" s="44"/>
      <c r="F286" s="36" t="str">
        <f aca="false">IF(OR(D286="",E286=""),"",IF(IFERROR(INDEX(①出口报关!$I$4:$I$303,MATCH(E286,①出口报关!$A$4:$A$303,0)),"")=D286,"一致","SKU与报关单不符"))</f>
        <v/>
      </c>
      <c r="G286" s="45"/>
      <c r="H286" s="45"/>
      <c r="I286" s="31" t="str">
        <f aca="false">IF(AND(G286="",H286=""),"",N(G286)-N(H286))</f>
        <v/>
      </c>
      <c r="J286" s="46"/>
      <c r="K286" s="46"/>
      <c r="L286" s="34" t="str">
        <f aca="false">IF(AND(J286="",K286=""),"",N(J286)-N(K286))</f>
        <v/>
      </c>
      <c r="M286" s="35" t="str">
        <f aca="false">IF(B286="","",IF(COUNTIFS(③回款收汇!$A$4:$A$203,B286,③回款收汇!$R$4:$R$203,"&gt;0")&gt;0,"已收汇","待收汇"))</f>
        <v/>
      </c>
      <c r="N286" s="41"/>
      <c r="O286" s="41"/>
      <c r="P286" s="35" t="str">
        <f aca="true">IF(N286="","",IF(O286="",IF(TODAY()-N286&gt;15,"已超15天未留存","待留存"),IF(O286-N286&lt;=15,"及时","超期")))</f>
        <v/>
      </c>
      <c r="Q286" s="43"/>
    </row>
    <row r="287" customFormat="false" ht="21.75" hidden="false" customHeight="true" outlineLevel="0" collapsed="false">
      <c r="A287" s="49"/>
      <c r="B287" s="48"/>
      <c r="C287" s="43"/>
      <c r="D287" s="44"/>
      <c r="E287" s="44"/>
      <c r="F287" s="36" t="str">
        <f aca="false">IF(OR(D287="",E287=""),"",IF(IFERROR(INDEX(①出口报关!$I$4:$I$303,MATCH(E287,①出口报关!$A$4:$A$303,0)),"")=D287,"一致","SKU与报关单不符"))</f>
        <v/>
      </c>
      <c r="G287" s="45"/>
      <c r="H287" s="45"/>
      <c r="I287" s="31" t="str">
        <f aca="false">IF(AND(G287="",H287=""),"",N(G287)-N(H287))</f>
        <v/>
      </c>
      <c r="J287" s="46"/>
      <c r="K287" s="46"/>
      <c r="L287" s="34" t="str">
        <f aca="false">IF(AND(J287="",K287=""),"",N(J287)-N(K287))</f>
        <v/>
      </c>
      <c r="M287" s="35" t="str">
        <f aca="false">IF(B287="","",IF(COUNTIFS(③回款收汇!$A$4:$A$203,B287,③回款收汇!$R$4:$R$203,"&gt;0")&gt;0,"已收汇","待收汇"))</f>
        <v/>
      </c>
      <c r="N287" s="41"/>
      <c r="O287" s="41"/>
      <c r="P287" s="35" t="str">
        <f aca="true">IF(N287="","",IF(O287="",IF(TODAY()-N287&gt;15,"已超15天未留存","待留存"),IF(O287-N287&lt;=15,"及时","超期")))</f>
        <v/>
      </c>
      <c r="Q287" s="43"/>
    </row>
    <row r="288" customFormat="false" ht="21.75" hidden="false" customHeight="true" outlineLevel="0" collapsed="false">
      <c r="A288" s="49"/>
      <c r="B288" s="48"/>
      <c r="C288" s="43"/>
      <c r="D288" s="44"/>
      <c r="E288" s="44"/>
      <c r="F288" s="36" t="str">
        <f aca="false">IF(OR(D288="",E288=""),"",IF(IFERROR(INDEX(①出口报关!$I$4:$I$303,MATCH(E288,①出口报关!$A$4:$A$303,0)),"")=D288,"一致","SKU与报关单不符"))</f>
        <v/>
      </c>
      <c r="G288" s="45"/>
      <c r="H288" s="45"/>
      <c r="I288" s="31" t="str">
        <f aca="false">IF(AND(G288="",H288=""),"",N(G288)-N(H288))</f>
        <v/>
      </c>
      <c r="J288" s="46"/>
      <c r="K288" s="46"/>
      <c r="L288" s="34" t="str">
        <f aca="false">IF(AND(J288="",K288=""),"",N(J288)-N(K288))</f>
        <v/>
      </c>
      <c r="M288" s="35" t="str">
        <f aca="false">IF(B288="","",IF(COUNTIFS(③回款收汇!$A$4:$A$203,B288,③回款收汇!$R$4:$R$203,"&gt;0")&gt;0,"已收汇","待收汇"))</f>
        <v/>
      </c>
      <c r="N288" s="41"/>
      <c r="O288" s="41"/>
      <c r="P288" s="35" t="str">
        <f aca="true">IF(N288="","",IF(O288="",IF(TODAY()-N288&gt;15,"已超15天未留存","待留存"),IF(O288-N288&lt;=15,"及时","超期")))</f>
        <v/>
      </c>
      <c r="Q288" s="43"/>
    </row>
    <row r="289" customFormat="false" ht="21.75" hidden="false" customHeight="true" outlineLevel="0" collapsed="false">
      <c r="A289" s="49"/>
      <c r="B289" s="48"/>
      <c r="C289" s="43"/>
      <c r="D289" s="44"/>
      <c r="E289" s="44"/>
      <c r="F289" s="36" t="str">
        <f aca="false">IF(OR(D289="",E289=""),"",IF(IFERROR(INDEX(①出口报关!$I$4:$I$303,MATCH(E289,①出口报关!$A$4:$A$303,0)),"")=D289,"一致","SKU与报关单不符"))</f>
        <v/>
      </c>
      <c r="G289" s="45"/>
      <c r="H289" s="45"/>
      <c r="I289" s="31" t="str">
        <f aca="false">IF(AND(G289="",H289=""),"",N(G289)-N(H289))</f>
        <v/>
      </c>
      <c r="J289" s="46"/>
      <c r="K289" s="46"/>
      <c r="L289" s="34" t="str">
        <f aca="false">IF(AND(J289="",K289=""),"",N(J289)-N(K289))</f>
        <v/>
      </c>
      <c r="M289" s="35" t="str">
        <f aca="false">IF(B289="","",IF(COUNTIFS(③回款收汇!$A$4:$A$203,B289,③回款收汇!$R$4:$R$203,"&gt;0")&gt;0,"已收汇","待收汇"))</f>
        <v/>
      </c>
      <c r="N289" s="41"/>
      <c r="O289" s="41"/>
      <c r="P289" s="35" t="str">
        <f aca="true">IF(N289="","",IF(O289="",IF(TODAY()-N289&gt;15,"已超15天未留存","待留存"),IF(O289-N289&lt;=15,"及时","超期")))</f>
        <v/>
      </c>
      <c r="Q289" s="43"/>
    </row>
    <row r="290" customFormat="false" ht="21.75" hidden="false" customHeight="true" outlineLevel="0" collapsed="false">
      <c r="A290" s="49"/>
      <c r="B290" s="48"/>
      <c r="C290" s="43"/>
      <c r="D290" s="44"/>
      <c r="E290" s="44"/>
      <c r="F290" s="36" t="str">
        <f aca="false">IF(OR(D290="",E290=""),"",IF(IFERROR(INDEX(①出口报关!$I$4:$I$303,MATCH(E290,①出口报关!$A$4:$A$303,0)),"")=D290,"一致","SKU与报关单不符"))</f>
        <v/>
      </c>
      <c r="G290" s="45"/>
      <c r="H290" s="45"/>
      <c r="I290" s="31" t="str">
        <f aca="false">IF(AND(G290="",H290=""),"",N(G290)-N(H290))</f>
        <v/>
      </c>
      <c r="J290" s="46"/>
      <c r="K290" s="46"/>
      <c r="L290" s="34" t="str">
        <f aca="false">IF(AND(J290="",K290=""),"",N(J290)-N(K290))</f>
        <v/>
      </c>
      <c r="M290" s="35" t="str">
        <f aca="false">IF(B290="","",IF(COUNTIFS(③回款收汇!$A$4:$A$203,B290,③回款收汇!$R$4:$R$203,"&gt;0")&gt;0,"已收汇","待收汇"))</f>
        <v/>
      </c>
      <c r="N290" s="41"/>
      <c r="O290" s="41"/>
      <c r="P290" s="35" t="str">
        <f aca="true">IF(N290="","",IF(O290="",IF(TODAY()-N290&gt;15,"已超15天未留存","待留存"),IF(O290-N290&lt;=15,"及时","超期")))</f>
        <v/>
      </c>
      <c r="Q290" s="43"/>
    </row>
    <row r="291" customFormat="false" ht="21.75" hidden="false" customHeight="true" outlineLevel="0" collapsed="false">
      <c r="A291" s="49"/>
      <c r="B291" s="48"/>
      <c r="C291" s="43"/>
      <c r="D291" s="44"/>
      <c r="E291" s="44"/>
      <c r="F291" s="36" t="str">
        <f aca="false">IF(OR(D291="",E291=""),"",IF(IFERROR(INDEX(①出口报关!$I$4:$I$303,MATCH(E291,①出口报关!$A$4:$A$303,0)),"")=D291,"一致","SKU与报关单不符"))</f>
        <v/>
      </c>
      <c r="G291" s="45"/>
      <c r="H291" s="45"/>
      <c r="I291" s="31" t="str">
        <f aca="false">IF(AND(G291="",H291=""),"",N(G291)-N(H291))</f>
        <v/>
      </c>
      <c r="J291" s="46"/>
      <c r="K291" s="46"/>
      <c r="L291" s="34" t="str">
        <f aca="false">IF(AND(J291="",K291=""),"",N(J291)-N(K291))</f>
        <v/>
      </c>
      <c r="M291" s="35" t="str">
        <f aca="false">IF(B291="","",IF(COUNTIFS(③回款收汇!$A$4:$A$203,B291,③回款收汇!$R$4:$R$203,"&gt;0")&gt;0,"已收汇","待收汇"))</f>
        <v/>
      </c>
      <c r="N291" s="41"/>
      <c r="O291" s="41"/>
      <c r="P291" s="35" t="str">
        <f aca="true">IF(N291="","",IF(O291="",IF(TODAY()-N291&gt;15,"已超15天未留存","待留存"),IF(O291-N291&lt;=15,"及时","超期")))</f>
        <v/>
      </c>
      <c r="Q291" s="43"/>
    </row>
    <row r="292" customFormat="false" ht="21.75" hidden="false" customHeight="true" outlineLevel="0" collapsed="false">
      <c r="A292" s="49"/>
      <c r="B292" s="48"/>
      <c r="C292" s="43"/>
      <c r="D292" s="44"/>
      <c r="E292" s="44"/>
      <c r="F292" s="36" t="str">
        <f aca="false">IF(OR(D292="",E292=""),"",IF(IFERROR(INDEX(①出口报关!$I$4:$I$303,MATCH(E292,①出口报关!$A$4:$A$303,0)),"")=D292,"一致","SKU与报关单不符"))</f>
        <v/>
      </c>
      <c r="G292" s="45"/>
      <c r="H292" s="45"/>
      <c r="I292" s="31" t="str">
        <f aca="false">IF(AND(G292="",H292=""),"",N(G292)-N(H292))</f>
        <v/>
      </c>
      <c r="J292" s="46"/>
      <c r="K292" s="46"/>
      <c r="L292" s="34" t="str">
        <f aca="false">IF(AND(J292="",K292=""),"",N(J292)-N(K292))</f>
        <v/>
      </c>
      <c r="M292" s="35" t="str">
        <f aca="false">IF(B292="","",IF(COUNTIFS(③回款收汇!$A$4:$A$203,B292,③回款收汇!$R$4:$R$203,"&gt;0")&gt;0,"已收汇","待收汇"))</f>
        <v/>
      </c>
      <c r="N292" s="41"/>
      <c r="O292" s="41"/>
      <c r="P292" s="35" t="str">
        <f aca="true">IF(N292="","",IF(O292="",IF(TODAY()-N292&gt;15,"已超15天未留存","待留存"),IF(O292-N292&lt;=15,"及时","超期")))</f>
        <v/>
      </c>
      <c r="Q292" s="43"/>
    </row>
    <row r="293" customFormat="false" ht="21.75" hidden="false" customHeight="true" outlineLevel="0" collapsed="false">
      <c r="A293" s="49"/>
      <c r="B293" s="48"/>
      <c r="C293" s="43"/>
      <c r="D293" s="44"/>
      <c r="E293" s="44"/>
      <c r="F293" s="36" t="str">
        <f aca="false">IF(OR(D293="",E293=""),"",IF(IFERROR(INDEX(①出口报关!$I$4:$I$303,MATCH(E293,①出口报关!$A$4:$A$303,0)),"")=D293,"一致","SKU与报关单不符"))</f>
        <v/>
      </c>
      <c r="G293" s="45"/>
      <c r="H293" s="45"/>
      <c r="I293" s="31" t="str">
        <f aca="false">IF(AND(G293="",H293=""),"",N(G293)-N(H293))</f>
        <v/>
      </c>
      <c r="J293" s="46"/>
      <c r="K293" s="46"/>
      <c r="L293" s="34" t="str">
        <f aca="false">IF(AND(J293="",K293=""),"",N(J293)-N(K293))</f>
        <v/>
      </c>
      <c r="M293" s="35" t="str">
        <f aca="false">IF(B293="","",IF(COUNTIFS(③回款收汇!$A$4:$A$203,B293,③回款收汇!$R$4:$R$203,"&gt;0")&gt;0,"已收汇","待收汇"))</f>
        <v/>
      </c>
      <c r="N293" s="41"/>
      <c r="O293" s="41"/>
      <c r="P293" s="35" t="str">
        <f aca="true">IF(N293="","",IF(O293="",IF(TODAY()-N293&gt;15,"已超15天未留存","待留存"),IF(O293-N293&lt;=15,"及时","超期")))</f>
        <v/>
      </c>
      <c r="Q293" s="43"/>
    </row>
    <row r="294" customFormat="false" ht="21.75" hidden="false" customHeight="true" outlineLevel="0" collapsed="false">
      <c r="A294" s="49"/>
      <c r="B294" s="48"/>
      <c r="C294" s="43"/>
      <c r="D294" s="44"/>
      <c r="E294" s="44"/>
      <c r="F294" s="36" t="str">
        <f aca="false">IF(OR(D294="",E294=""),"",IF(IFERROR(INDEX(①出口报关!$I$4:$I$303,MATCH(E294,①出口报关!$A$4:$A$303,0)),"")=D294,"一致","SKU与报关单不符"))</f>
        <v/>
      </c>
      <c r="G294" s="45"/>
      <c r="H294" s="45"/>
      <c r="I294" s="31" t="str">
        <f aca="false">IF(AND(G294="",H294=""),"",N(G294)-N(H294))</f>
        <v/>
      </c>
      <c r="J294" s="46"/>
      <c r="K294" s="46"/>
      <c r="L294" s="34" t="str">
        <f aca="false">IF(AND(J294="",K294=""),"",N(J294)-N(K294))</f>
        <v/>
      </c>
      <c r="M294" s="35" t="str">
        <f aca="false">IF(B294="","",IF(COUNTIFS(③回款收汇!$A$4:$A$203,B294,③回款收汇!$R$4:$R$203,"&gt;0")&gt;0,"已收汇","待收汇"))</f>
        <v/>
      </c>
      <c r="N294" s="41"/>
      <c r="O294" s="41"/>
      <c r="P294" s="35" t="str">
        <f aca="true">IF(N294="","",IF(O294="",IF(TODAY()-N294&gt;15,"已超15天未留存","待留存"),IF(O294-N294&lt;=15,"及时","超期")))</f>
        <v/>
      </c>
      <c r="Q294" s="43"/>
    </row>
    <row r="295" customFormat="false" ht="21.75" hidden="false" customHeight="true" outlineLevel="0" collapsed="false">
      <c r="A295" s="49"/>
      <c r="B295" s="48"/>
      <c r="C295" s="43"/>
      <c r="D295" s="44"/>
      <c r="E295" s="44"/>
      <c r="F295" s="36" t="str">
        <f aca="false">IF(OR(D295="",E295=""),"",IF(IFERROR(INDEX(①出口报关!$I$4:$I$303,MATCH(E295,①出口报关!$A$4:$A$303,0)),"")=D295,"一致","SKU与报关单不符"))</f>
        <v/>
      </c>
      <c r="G295" s="45"/>
      <c r="H295" s="45"/>
      <c r="I295" s="31" t="str">
        <f aca="false">IF(AND(G295="",H295=""),"",N(G295)-N(H295))</f>
        <v/>
      </c>
      <c r="J295" s="46"/>
      <c r="K295" s="46"/>
      <c r="L295" s="34" t="str">
        <f aca="false">IF(AND(J295="",K295=""),"",N(J295)-N(K295))</f>
        <v/>
      </c>
      <c r="M295" s="35" t="str">
        <f aca="false">IF(B295="","",IF(COUNTIFS(③回款收汇!$A$4:$A$203,B295,③回款收汇!$R$4:$R$203,"&gt;0")&gt;0,"已收汇","待收汇"))</f>
        <v/>
      </c>
      <c r="N295" s="41"/>
      <c r="O295" s="41"/>
      <c r="P295" s="35" t="str">
        <f aca="true">IF(N295="","",IF(O295="",IF(TODAY()-N295&gt;15,"已超15天未留存","待留存"),IF(O295-N295&lt;=15,"及时","超期")))</f>
        <v/>
      </c>
      <c r="Q295" s="43"/>
    </row>
    <row r="296" customFormat="false" ht="21.75" hidden="false" customHeight="true" outlineLevel="0" collapsed="false">
      <c r="A296" s="49"/>
      <c r="B296" s="48"/>
      <c r="C296" s="43"/>
      <c r="D296" s="44"/>
      <c r="E296" s="44"/>
      <c r="F296" s="36" t="str">
        <f aca="false">IF(OR(D296="",E296=""),"",IF(IFERROR(INDEX(①出口报关!$I$4:$I$303,MATCH(E296,①出口报关!$A$4:$A$303,0)),"")=D296,"一致","SKU与报关单不符"))</f>
        <v/>
      </c>
      <c r="G296" s="45"/>
      <c r="H296" s="45"/>
      <c r="I296" s="31" t="str">
        <f aca="false">IF(AND(G296="",H296=""),"",N(G296)-N(H296))</f>
        <v/>
      </c>
      <c r="J296" s="46"/>
      <c r="K296" s="46"/>
      <c r="L296" s="34" t="str">
        <f aca="false">IF(AND(J296="",K296=""),"",N(J296)-N(K296))</f>
        <v/>
      </c>
      <c r="M296" s="35" t="str">
        <f aca="false">IF(B296="","",IF(COUNTIFS(③回款收汇!$A$4:$A$203,B296,③回款收汇!$R$4:$R$203,"&gt;0")&gt;0,"已收汇","待收汇"))</f>
        <v/>
      </c>
      <c r="N296" s="41"/>
      <c r="O296" s="41"/>
      <c r="P296" s="35" t="str">
        <f aca="true">IF(N296="","",IF(O296="",IF(TODAY()-N296&gt;15,"已超15天未留存","待留存"),IF(O296-N296&lt;=15,"及时","超期")))</f>
        <v/>
      </c>
      <c r="Q296" s="43"/>
    </row>
    <row r="297" customFormat="false" ht="21.75" hidden="false" customHeight="true" outlineLevel="0" collapsed="false">
      <c r="A297" s="49"/>
      <c r="B297" s="48"/>
      <c r="C297" s="43"/>
      <c r="D297" s="44"/>
      <c r="E297" s="44"/>
      <c r="F297" s="36" t="str">
        <f aca="false">IF(OR(D297="",E297=""),"",IF(IFERROR(INDEX(①出口报关!$I$4:$I$303,MATCH(E297,①出口报关!$A$4:$A$303,0)),"")=D297,"一致","SKU与报关单不符"))</f>
        <v/>
      </c>
      <c r="G297" s="45"/>
      <c r="H297" s="45"/>
      <c r="I297" s="31" t="str">
        <f aca="false">IF(AND(G297="",H297=""),"",N(G297)-N(H297))</f>
        <v/>
      </c>
      <c r="J297" s="46"/>
      <c r="K297" s="46"/>
      <c r="L297" s="34" t="str">
        <f aca="false">IF(AND(J297="",K297=""),"",N(J297)-N(K297))</f>
        <v/>
      </c>
      <c r="M297" s="35" t="str">
        <f aca="false">IF(B297="","",IF(COUNTIFS(③回款收汇!$A$4:$A$203,B297,③回款收汇!$R$4:$R$203,"&gt;0")&gt;0,"已收汇","待收汇"))</f>
        <v/>
      </c>
      <c r="N297" s="41"/>
      <c r="O297" s="41"/>
      <c r="P297" s="35" t="str">
        <f aca="true">IF(N297="","",IF(O297="",IF(TODAY()-N297&gt;15,"已超15天未留存","待留存"),IF(O297-N297&lt;=15,"及时","超期")))</f>
        <v/>
      </c>
      <c r="Q297" s="43"/>
    </row>
    <row r="298" customFormat="false" ht="21.75" hidden="false" customHeight="true" outlineLevel="0" collapsed="false">
      <c r="A298" s="49"/>
      <c r="B298" s="48"/>
      <c r="C298" s="43"/>
      <c r="D298" s="44"/>
      <c r="E298" s="44"/>
      <c r="F298" s="36" t="str">
        <f aca="false">IF(OR(D298="",E298=""),"",IF(IFERROR(INDEX(①出口报关!$I$4:$I$303,MATCH(E298,①出口报关!$A$4:$A$303,0)),"")=D298,"一致","SKU与报关单不符"))</f>
        <v/>
      </c>
      <c r="G298" s="45"/>
      <c r="H298" s="45"/>
      <c r="I298" s="31" t="str">
        <f aca="false">IF(AND(G298="",H298=""),"",N(G298)-N(H298))</f>
        <v/>
      </c>
      <c r="J298" s="46"/>
      <c r="K298" s="46"/>
      <c r="L298" s="34" t="str">
        <f aca="false">IF(AND(J298="",K298=""),"",N(J298)-N(K298))</f>
        <v/>
      </c>
      <c r="M298" s="35" t="str">
        <f aca="false">IF(B298="","",IF(COUNTIFS(③回款收汇!$A$4:$A$203,B298,③回款收汇!$R$4:$R$203,"&gt;0")&gt;0,"已收汇","待收汇"))</f>
        <v/>
      </c>
      <c r="N298" s="41"/>
      <c r="O298" s="41"/>
      <c r="P298" s="35" t="str">
        <f aca="true">IF(N298="","",IF(O298="",IF(TODAY()-N298&gt;15,"已超15天未留存","待留存"),IF(O298-N298&lt;=15,"及时","超期")))</f>
        <v/>
      </c>
      <c r="Q298" s="43"/>
    </row>
    <row r="299" customFormat="false" ht="21.75" hidden="false" customHeight="true" outlineLevel="0" collapsed="false">
      <c r="A299" s="49"/>
      <c r="B299" s="48"/>
      <c r="C299" s="43"/>
      <c r="D299" s="44"/>
      <c r="E299" s="44"/>
      <c r="F299" s="36" t="str">
        <f aca="false">IF(OR(D299="",E299=""),"",IF(IFERROR(INDEX(①出口报关!$I$4:$I$303,MATCH(E299,①出口报关!$A$4:$A$303,0)),"")=D299,"一致","SKU与报关单不符"))</f>
        <v/>
      </c>
      <c r="G299" s="45"/>
      <c r="H299" s="45"/>
      <c r="I299" s="31" t="str">
        <f aca="false">IF(AND(G299="",H299=""),"",N(G299)-N(H299))</f>
        <v/>
      </c>
      <c r="J299" s="46"/>
      <c r="K299" s="46"/>
      <c r="L299" s="34" t="str">
        <f aca="false">IF(AND(J299="",K299=""),"",N(J299)-N(K299))</f>
        <v/>
      </c>
      <c r="M299" s="35" t="str">
        <f aca="false">IF(B299="","",IF(COUNTIFS(③回款收汇!$A$4:$A$203,B299,③回款收汇!$R$4:$R$203,"&gt;0")&gt;0,"已收汇","待收汇"))</f>
        <v/>
      </c>
      <c r="N299" s="41"/>
      <c r="O299" s="41"/>
      <c r="P299" s="35" t="str">
        <f aca="true">IF(N299="","",IF(O299="",IF(TODAY()-N299&gt;15,"已超15天未留存","待留存"),IF(O299-N299&lt;=15,"及时","超期")))</f>
        <v/>
      </c>
      <c r="Q299" s="43"/>
    </row>
    <row r="300" customFormat="false" ht="21.75" hidden="false" customHeight="true" outlineLevel="0" collapsed="false">
      <c r="A300" s="49"/>
      <c r="B300" s="48"/>
      <c r="C300" s="43"/>
      <c r="D300" s="44"/>
      <c r="E300" s="44"/>
      <c r="F300" s="36" t="str">
        <f aca="false">IF(OR(D300="",E300=""),"",IF(IFERROR(INDEX(①出口报关!$I$4:$I$303,MATCH(E300,①出口报关!$A$4:$A$303,0)),"")=D300,"一致","SKU与报关单不符"))</f>
        <v/>
      </c>
      <c r="G300" s="45"/>
      <c r="H300" s="45"/>
      <c r="I300" s="31" t="str">
        <f aca="false">IF(AND(G300="",H300=""),"",N(G300)-N(H300))</f>
        <v/>
      </c>
      <c r="J300" s="46"/>
      <c r="K300" s="46"/>
      <c r="L300" s="34" t="str">
        <f aca="false">IF(AND(J300="",K300=""),"",N(J300)-N(K300))</f>
        <v/>
      </c>
      <c r="M300" s="35" t="str">
        <f aca="false">IF(B300="","",IF(COUNTIFS(③回款收汇!$A$4:$A$203,B300,③回款收汇!$R$4:$R$203,"&gt;0")&gt;0,"已收汇","待收汇"))</f>
        <v/>
      </c>
      <c r="N300" s="41"/>
      <c r="O300" s="41"/>
      <c r="P300" s="35" t="str">
        <f aca="true">IF(N300="","",IF(O300="",IF(TODAY()-N300&gt;15,"已超15天未留存","待留存"),IF(O300-N300&lt;=15,"及时","超期")))</f>
        <v/>
      </c>
      <c r="Q300" s="43"/>
    </row>
    <row r="301" customFormat="false" ht="21.75" hidden="false" customHeight="true" outlineLevel="0" collapsed="false">
      <c r="A301" s="49"/>
      <c r="B301" s="48"/>
      <c r="C301" s="43"/>
      <c r="D301" s="44"/>
      <c r="E301" s="44"/>
      <c r="F301" s="36" t="str">
        <f aca="false">IF(OR(D301="",E301=""),"",IF(IFERROR(INDEX(①出口报关!$I$4:$I$303,MATCH(E301,①出口报关!$A$4:$A$303,0)),"")=D301,"一致","SKU与报关单不符"))</f>
        <v/>
      </c>
      <c r="G301" s="45"/>
      <c r="H301" s="45"/>
      <c r="I301" s="31" t="str">
        <f aca="false">IF(AND(G301="",H301=""),"",N(G301)-N(H301))</f>
        <v/>
      </c>
      <c r="J301" s="46"/>
      <c r="K301" s="46"/>
      <c r="L301" s="34" t="str">
        <f aca="false">IF(AND(J301="",K301=""),"",N(J301)-N(K301))</f>
        <v/>
      </c>
      <c r="M301" s="35" t="str">
        <f aca="false">IF(B301="","",IF(COUNTIFS(③回款收汇!$A$4:$A$203,B301,③回款收汇!$R$4:$R$203,"&gt;0")&gt;0,"已收汇","待收汇"))</f>
        <v/>
      </c>
      <c r="N301" s="41"/>
      <c r="O301" s="41"/>
      <c r="P301" s="35" t="str">
        <f aca="true">IF(N301="","",IF(O301="",IF(TODAY()-N301&gt;15,"已超15天未留存","待留存"),IF(O301-N301&lt;=15,"及时","超期")))</f>
        <v/>
      </c>
      <c r="Q301" s="43"/>
    </row>
    <row r="302" customFormat="false" ht="21.75" hidden="false" customHeight="true" outlineLevel="0" collapsed="false">
      <c r="A302" s="49"/>
      <c r="B302" s="48"/>
      <c r="C302" s="43"/>
      <c r="D302" s="44"/>
      <c r="E302" s="44"/>
      <c r="F302" s="36" t="str">
        <f aca="false">IF(OR(D302="",E302=""),"",IF(IFERROR(INDEX(①出口报关!$I$4:$I$303,MATCH(E302,①出口报关!$A$4:$A$303,0)),"")=D302,"一致","SKU与报关单不符"))</f>
        <v/>
      </c>
      <c r="G302" s="45"/>
      <c r="H302" s="45"/>
      <c r="I302" s="31" t="str">
        <f aca="false">IF(AND(G302="",H302=""),"",N(G302)-N(H302))</f>
        <v/>
      </c>
      <c r="J302" s="46"/>
      <c r="K302" s="46"/>
      <c r="L302" s="34" t="str">
        <f aca="false">IF(AND(J302="",K302=""),"",N(J302)-N(K302))</f>
        <v/>
      </c>
      <c r="M302" s="35" t="str">
        <f aca="false">IF(B302="","",IF(COUNTIFS(③回款收汇!$A$4:$A$203,B302,③回款收汇!$R$4:$R$203,"&gt;0")&gt;0,"已收汇","待收汇"))</f>
        <v/>
      </c>
      <c r="N302" s="41"/>
      <c r="O302" s="41"/>
      <c r="P302" s="35" t="str">
        <f aca="true">IF(N302="","",IF(O302="",IF(TODAY()-N302&gt;15,"已超15天未留存","待留存"),IF(O302-N302&lt;=15,"及时","超期")))</f>
        <v/>
      </c>
      <c r="Q302" s="43"/>
    </row>
    <row r="303" customFormat="false" ht="21.75" hidden="false" customHeight="true" outlineLevel="0" collapsed="false">
      <c r="A303" s="49"/>
      <c r="B303" s="48"/>
      <c r="C303" s="43"/>
      <c r="D303" s="44"/>
      <c r="E303" s="44"/>
      <c r="F303" s="36" t="str">
        <f aca="false">IF(OR(D303="",E303=""),"",IF(IFERROR(INDEX(①出口报关!$I$4:$I$303,MATCH(E303,①出口报关!$A$4:$A$303,0)),"")=D303,"一致","SKU与报关单不符"))</f>
        <v/>
      </c>
      <c r="G303" s="45"/>
      <c r="H303" s="45"/>
      <c r="I303" s="31" t="str">
        <f aca="false">IF(AND(G303="",H303=""),"",N(G303)-N(H303))</f>
        <v/>
      </c>
      <c r="J303" s="46"/>
      <c r="K303" s="46"/>
      <c r="L303" s="34" t="str">
        <f aca="false">IF(AND(J303="",K303=""),"",N(J303)-N(K303))</f>
        <v/>
      </c>
      <c r="M303" s="35" t="str">
        <f aca="false">IF(B303="","",IF(COUNTIFS(③回款收汇!$A$4:$A$203,B303,③回款收汇!$R$4:$R$203,"&gt;0")&gt;0,"已收汇","待收汇"))</f>
        <v/>
      </c>
      <c r="N303" s="41"/>
      <c r="O303" s="41"/>
      <c r="P303" s="35" t="str">
        <f aca="true">IF(N303="","",IF(O303="",IF(TODAY()-N303&gt;15,"已超15天未留存","待留存"),IF(O303-N303&lt;=15,"及时","超期")))</f>
        <v/>
      </c>
      <c r="Q303" s="43"/>
    </row>
    <row r="304" customFormat="false" ht="21.75" hidden="false" customHeight="true" outlineLevel="0" collapsed="false">
      <c r="A304" s="49"/>
      <c r="B304" s="48"/>
      <c r="C304" s="43"/>
      <c r="D304" s="44"/>
      <c r="E304" s="44"/>
      <c r="F304" s="36" t="str">
        <f aca="false">IF(OR(D304="",E304=""),"",IF(IFERROR(INDEX(①出口报关!$I$4:$I$303,MATCH(E304,①出口报关!$A$4:$A$303,0)),"")=D304,"一致","SKU与报关单不符"))</f>
        <v/>
      </c>
      <c r="G304" s="45"/>
      <c r="H304" s="45"/>
      <c r="I304" s="31" t="str">
        <f aca="false">IF(AND(G304="",H304=""),"",N(G304)-N(H304))</f>
        <v/>
      </c>
      <c r="J304" s="46"/>
      <c r="K304" s="46"/>
      <c r="L304" s="34" t="str">
        <f aca="false">IF(AND(J304="",K304=""),"",N(J304)-N(K304))</f>
        <v/>
      </c>
      <c r="M304" s="35" t="str">
        <f aca="false">IF(B304="","",IF(COUNTIFS(③回款收汇!$A$4:$A$203,B304,③回款收汇!$R$4:$R$203,"&gt;0")&gt;0,"已收汇","待收汇"))</f>
        <v/>
      </c>
      <c r="N304" s="41"/>
      <c r="O304" s="41"/>
      <c r="P304" s="35" t="str">
        <f aca="true">IF(N304="","",IF(O304="",IF(TODAY()-N304&gt;15,"已超15天未留存","待留存"),IF(O304-N304&lt;=15,"及时","超期")))</f>
        <v/>
      </c>
      <c r="Q304" s="43"/>
    </row>
    <row r="305" customFormat="false" ht="21.75" hidden="false" customHeight="true" outlineLevel="0" collapsed="false">
      <c r="A305" s="49"/>
      <c r="B305" s="48"/>
      <c r="C305" s="43"/>
      <c r="D305" s="44"/>
      <c r="E305" s="44"/>
      <c r="F305" s="36" t="str">
        <f aca="false">IF(OR(D305="",E305=""),"",IF(IFERROR(INDEX(①出口报关!$I$4:$I$303,MATCH(E305,①出口报关!$A$4:$A$303,0)),"")=D305,"一致","SKU与报关单不符"))</f>
        <v/>
      </c>
      <c r="G305" s="45"/>
      <c r="H305" s="45"/>
      <c r="I305" s="31" t="str">
        <f aca="false">IF(AND(G305="",H305=""),"",N(G305)-N(H305))</f>
        <v/>
      </c>
      <c r="J305" s="46"/>
      <c r="K305" s="46"/>
      <c r="L305" s="34" t="str">
        <f aca="false">IF(AND(J305="",K305=""),"",N(J305)-N(K305))</f>
        <v/>
      </c>
      <c r="M305" s="35" t="str">
        <f aca="false">IF(B305="","",IF(COUNTIFS(③回款收汇!$A$4:$A$203,B305,③回款收汇!$R$4:$R$203,"&gt;0")&gt;0,"已收汇","待收汇"))</f>
        <v/>
      </c>
      <c r="N305" s="41"/>
      <c r="O305" s="41"/>
      <c r="P305" s="35" t="str">
        <f aca="true">IF(N305="","",IF(O305="",IF(TODAY()-N305&gt;15,"已超15天未留存","待留存"),IF(O305-N305&lt;=15,"及时","超期")))</f>
        <v/>
      </c>
      <c r="Q305" s="43"/>
    </row>
    <row r="306" customFormat="false" ht="21.75" hidden="false" customHeight="true" outlineLevel="0" collapsed="false">
      <c r="A306" s="49"/>
      <c r="B306" s="48"/>
      <c r="C306" s="43"/>
      <c r="D306" s="44"/>
      <c r="E306" s="44"/>
      <c r="F306" s="36" t="str">
        <f aca="false">IF(OR(D306="",E306=""),"",IF(IFERROR(INDEX(①出口报关!$I$4:$I$303,MATCH(E306,①出口报关!$A$4:$A$303,0)),"")=D306,"一致","SKU与报关单不符"))</f>
        <v/>
      </c>
      <c r="G306" s="45"/>
      <c r="H306" s="45"/>
      <c r="I306" s="31" t="str">
        <f aca="false">IF(AND(G306="",H306=""),"",N(G306)-N(H306))</f>
        <v/>
      </c>
      <c r="J306" s="46"/>
      <c r="K306" s="46"/>
      <c r="L306" s="34" t="str">
        <f aca="false">IF(AND(J306="",K306=""),"",N(J306)-N(K306))</f>
        <v/>
      </c>
      <c r="M306" s="35" t="str">
        <f aca="false">IF(B306="","",IF(COUNTIFS(③回款收汇!$A$4:$A$203,B306,③回款收汇!$R$4:$R$203,"&gt;0")&gt;0,"已收汇","待收汇"))</f>
        <v/>
      </c>
      <c r="N306" s="41"/>
      <c r="O306" s="41"/>
      <c r="P306" s="35" t="str">
        <f aca="true">IF(N306="","",IF(O306="",IF(TODAY()-N306&gt;15,"已超15天未留存","待留存"),IF(O306-N306&lt;=15,"及时","超期")))</f>
        <v/>
      </c>
      <c r="Q306" s="43"/>
    </row>
    <row r="307" customFormat="false" ht="21.75" hidden="false" customHeight="true" outlineLevel="0" collapsed="false">
      <c r="A307" s="49"/>
      <c r="B307" s="48"/>
      <c r="C307" s="43"/>
      <c r="D307" s="44"/>
      <c r="E307" s="44"/>
      <c r="F307" s="36" t="str">
        <f aca="false">IF(OR(D307="",E307=""),"",IF(IFERROR(INDEX(①出口报关!$I$4:$I$303,MATCH(E307,①出口报关!$A$4:$A$303,0)),"")=D307,"一致","SKU与报关单不符"))</f>
        <v/>
      </c>
      <c r="G307" s="45"/>
      <c r="H307" s="45"/>
      <c r="I307" s="31" t="str">
        <f aca="false">IF(AND(G307="",H307=""),"",N(G307)-N(H307))</f>
        <v/>
      </c>
      <c r="J307" s="46"/>
      <c r="K307" s="46"/>
      <c r="L307" s="34" t="str">
        <f aca="false">IF(AND(J307="",K307=""),"",N(J307)-N(K307))</f>
        <v/>
      </c>
      <c r="M307" s="35" t="str">
        <f aca="false">IF(B307="","",IF(COUNTIFS(③回款收汇!$A$4:$A$203,B307,③回款收汇!$R$4:$R$203,"&gt;0")&gt;0,"已收汇","待收汇"))</f>
        <v/>
      </c>
      <c r="N307" s="41"/>
      <c r="O307" s="41"/>
      <c r="P307" s="35" t="str">
        <f aca="true">IF(N307="","",IF(O307="",IF(TODAY()-N307&gt;15,"已超15天未留存","待留存"),IF(O307-N307&lt;=15,"及时","超期")))</f>
        <v/>
      </c>
      <c r="Q307" s="43"/>
    </row>
    <row r="308" customFormat="false" ht="21.75" hidden="false" customHeight="true" outlineLevel="0" collapsed="false">
      <c r="A308" s="49"/>
      <c r="B308" s="48"/>
      <c r="C308" s="43"/>
      <c r="D308" s="44"/>
      <c r="E308" s="44"/>
      <c r="F308" s="36" t="str">
        <f aca="false">IF(OR(D308="",E308=""),"",IF(IFERROR(INDEX(①出口报关!$I$4:$I$303,MATCH(E308,①出口报关!$A$4:$A$303,0)),"")=D308,"一致","SKU与报关单不符"))</f>
        <v/>
      </c>
      <c r="G308" s="45"/>
      <c r="H308" s="45"/>
      <c r="I308" s="31" t="str">
        <f aca="false">IF(AND(G308="",H308=""),"",N(G308)-N(H308))</f>
        <v/>
      </c>
      <c r="J308" s="46"/>
      <c r="K308" s="46"/>
      <c r="L308" s="34" t="str">
        <f aca="false">IF(AND(J308="",K308=""),"",N(J308)-N(K308))</f>
        <v/>
      </c>
      <c r="M308" s="35" t="str">
        <f aca="false">IF(B308="","",IF(COUNTIFS(③回款收汇!$A$4:$A$203,B308,③回款收汇!$R$4:$R$203,"&gt;0")&gt;0,"已收汇","待收汇"))</f>
        <v/>
      </c>
      <c r="N308" s="41"/>
      <c r="O308" s="41"/>
      <c r="P308" s="35" t="str">
        <f aca="true">IF(N308="","",IF(O308="",IF(TODAY()-N308&gt;15,"已超15天未留存","待留存"),IF(O308-N308&lt;=15,"及时","超期")))</f>
        <v/>
      </c>
      <c r="Q308" s="43"/>
    </row>
    <row r="309" customFormat="false" ht="21.75" hidden="false" customHeight="true" outlineLevel="0" collapsed="false">
      <c r="A309" s="49"/>
      <c r="B309" s="48"/>
      <c r="C309" s="43"/>
      <c r="D309" s="44"/>
      <c r="E309" s="44"/>
      <c r="F309" s="36" t="str">
        <f aca="false">IF(OR(D309="",E309=""),"",IF(IFERROR(INDEX(①出口报关!$I$4:$I$303,MATCH(E309,①出口报关!$A$4:$A$303,0)),"")=D309,"一致","SKU与报关单不符"))</f>
        <v/>
      </c>
      <c r="G309" s="45"/>
      <c r="H309" s="45"/>
      <c r="I309" s="31" t="str">
        <f aca="false">IF(AND(G309="",H309=""),"",N(G309)-N(H309))</f>
        <v/>
      </c>
      <c r="J309" s="46"/>
      <c r="K309" s="46"/>
      <c r="L309" s="34" t="str">
        <f aca="false">IF(AND(J309="",K309=""),"",N(J309)-N(K309))</f>
        <v/>
      </c>
      <c r="M309" s="35" t="str">
        <f aca="false">IF(B309="","",IF(COUNTIFS(③回款收汇!$A$4:$A$203,B309,③回款收汇!$R$4:$R$203,"&gt;0")&gt;0,"已收汇","待收汇"))</f>
        <v/>
      </c>
      <c r="N309" s="41"/>
      <c r="O309" s="41"/>
      <c r="P309" s="35" t="str">
        <f aca="true">IF(N309="","",IF(O309="",IF(TODAY()-N309&gt;15,"已超15天未留存","待留存"),IF(O309-N309&lt;=15,"及时","超期")))</f>
        <v/>
      </c>
      <c r="Q309" s="43"/>
    </row>
    <row r="310" customFormat="false" ht="21.75" hidden="false" customHeight="true" outlineLevel="0" collapsed="false">
      <c r="A310" s="49"/>
      <c r="B310" s="48"/>
      <c r="C310" s="43"/>
      <c r="D310" s="44"/>
      <c r="E310" s="44"/>
      <c r="F310" s="36" t="str">
        <f aca="false">IF(OR(D310="",E310=""),"",IF(IFERROR(INDEX(①出口报关!$I$4:$I$303,MATCH(E310,①出口报关!$A$4:$A$303,0)),"")=D310,"一致","SKU与报关单不符"))</f>
        <v/>
      </c>
      <c r="G310" s="45"/>
      <c r="H310" s="45"/>
      <c r="I310" s="31" t="str">
        <f aca="false">IF(AND(G310="",H310=""),"",N(G310)-N(H310))</f>
        <v/>
      </c>
      <c r="J310" s="46"/>
      <c r="K310" s="46"/>
      <c r="L310" s="34" t="str">
        <f aca="false">IF(AND(J310="",K310=""),"",N(J310)-N(K310))</f>
        <v/>
      </c>
      <c r="M310" s="35" t="str">
        <f aca="false">IF(B310="","",IF(COUNTIFS(③回款收汇!$A$4:$A$203,B310,③回款收汇!$R$4:$R$203,"&gt;0")&gt;0,"已收汇","待收汇"))</f>
        <v/>
      </c>
      <c r="N310" s="41"/>
      <c r="O310" s="41"/>
      <c r="P310" s="35" t="str">
        <f aca="true">IF(N310="","",IF(O310="",IF(TODAY()-N310&gt;15,"已超15天未留存","待留存"),IF(O310-N310&lt;=15,"及时","超期")))</f>
        <v/>
      </c>
      <c r="Q310" s="43"/>
    </row>
    <row r="311" customFormat="false" ht="21.75" hidden="false" customHeight="true" outlineLevel="0" collapsed="false">
      <c r="A311" s="49"/>
      <c r="B311" s="48"/>
      <c r="C311" s="43"/>
      <c r="D311" s="44"/>
      <c r="E311" s="44"/>
      <c r="F311" s="36" t="str">
        <f aca="false">IF(OR(D311="",E311=""),"",IF(IFERROR(INDEX(①出口报关!$I$4:$I$303,MATCH(E311,①出口报关!$A$4:$A$303,0)),"")=D311,"一致","SKU与报关单不符"))</f>
        <v/>
      </c>
      <c r="G311" s="45"/>
      <c r="H311" s="45"/>
      <c r="I311" s="31" t="str">
        <f aca="false">IF(AND(G311="",H311=""),"",N(G311)-N(H311))</f>
        <v/>
      </c>
      <c r="J311" s="46"/>
      <c r="K311" s="46"/>
      <c r="L311" s="34" t="str">
        <f aca="false">IF(AND(J311="",K311=""),"",N(J311)-N(K311))</f>
        <v/>
      </c>
      <c r="M311" s="35" t="str">
        <f aca="false">IF(B311="","",IF(COUNTIFS(③回款收汇!$A$4:$A$203,B311,③回款收汇!$R$4:$R$203,"&gt;0")&gt;0,"已收汇","待收汇"))</f>
        <v/>
      </c>
      <c r="N311" s="41"/>
      <c r="O311" s="41"/>
      <c r="P311" s="35" t="str">
        <f aca="true">IF(N311="","",IF(O311="",IF(TODAY()-N311&gt;15,"已超15天未留存","待留存"),IF(O311-N311&lt;=15,"及时","超期")))</f>
        <v/>
      </c>
      <c r="Q311" s="43"/>
    </row>
    <row r="312" customFormat="false" ht="21.75" hidden="false" customHeight="true" outlineLevel="0" collapsed="false">
      <c r="A312" s="49"/>
      <c r="B312" s="48"/>
      <c r="C312" s="43"/>
      <c r="D312" s="44"/>
      <c r="E312" s="44"/>
      <c r="F312" s="36" t="str">
        <f aca="false">IF(OR(D312="",E312=""),"",IF(IFERROR(INDEX(①出口报关!$I$4:$I$303,MATCH(E312,①出口报关!$A$4:$A$303,0)),"")=D312,"一致","SKU与报关单不符"))</f>
        <v/>
      </c>
      <c r="G312" s="45"/>
      <c r="H312" s="45"/>
      <c r="I312" s="31" t="str">
        <f aca="false">IF(AND(G312="",H312=""),"",N(G312)-N(H312))</f>
        <v/>
      </c>
      <c r="J312" s="46"/>
      <c r="K312" s="46"/>
      <c r="L312" s="34" t="str">
        <f aca="false">IF(AND(J312="",K312=""),"",N(J312)-N(K312))</f>
        <v/>
      </c>
      <c r="M312" s="35" t="str">
        <f aca="false">IF(B312="","",IF(COUNTIFS(③回款收汇!$A$4:$A$203,B312,③回款收汇!$R$4:$R$203,"&gt;0")&gt;0,"已收汇","待收汇"))</f>
        <v/>
      </c>
      <c r="N312" s="41"/>
      <c r="O312" s="41"/>
      <c r="P312" s="35" t="str">
        <f aca="true">IF(N312="","",IF(O312="",IF(TODAY()-N312&gt;15,"已超15天未留存","待留存"),IF(O312-N312&lt;=15,"及时","超期")))</f>
        <v/>
      </c>
      <c r="Q312" s="43"/>
    </row>
    <row r="313" customFormat="false" ht="21.75" hidden="false" customHeight="true" outlineLevel="0" collapsed="false">
      <c r="A313" s="49"/>
      <c r="B313" s="48"/>
      <c r="C313" s="43"/>
      <c r="D313" s="44"/>
      <c r="E313" s="44"/>
      <c r="F313" s="36" t="str">
        <f aca="false">IF(OR(D313="",E313=""),"",IF(IFERROR(INDEX(①出口报关!$I$4:$I$303,MATCH(E313,①出口报关!$A$4:$A$303,0)),"")=D313,"一致","SKU与报关单不符"))</f>
        <v/>
      </c>
      <c r="G313" s="45"/>
      <c r="H313" s="45"/>
      <c r="I313" s="31" t="str">
        <f aca="false">IF(AND(G313="",H313=""),"",N(G313)-N(H313))</f>
        <v/>
      </c>
      <c r="J313" s="46"/>
      <c r="K313" s="46"/>
      <c r="L313" s="34" t="str">
        <f aca="false">IF(AND(J313="",K313=""),"",N(J313)-N(K313))</f>
        <v/>
      </c>
      <c r="M313" s="35" t="str">
        <f aca="false">IF(B313="","",IF(COUNTIFS(③回款收汇!$A$4:$A$203,B313,③回款收汇!$R$4:$R$203,"&gt;0")&gt;0,"已收汇","待收汇"))</f>
        <v/>
      </c>
      <c r="N313" s="41"/>
      <c r="O313" s="41"/>
      <c r="P313" s="35" t="str">
        <f aca="true">IF(N313="","",IF(O313="",IF(TODAY()-N313&gt;15,"已超15天未留存","待留存"),IF(O313-N313&lt;=15,"及时","超期")))</f>
        <v/>
      </c>
      <c r="Q313" s="43"/>
    </row>
    <row r="314" customFormat="false" ht="21.75" hidden="false" customHeight="true" outlineLevel="0" collapsed="false">
      <c r="A314" s="49"/>
      <c r="B314" s="48"/>
      <c r="C314" s="43"/>
      <c r="D314" s="44"/>
      <c r="E314" s="44"/>
      <c r="F314" s="36" t="str">
        <f aca="false">IF(OR(D314="",E314=""),"",IF(IFERROR(INDEX(①出口报关!$I$4:$I$303,MATCH(E314,①出口报关!$A$4:$A$303,0)),"")=D314,"一致","SKU与报关单不符"))</f>
        <v/>
      </c>
      <c r="G314" s="45"/>
      <c r="H314" s="45"/>
      <c r="I314" s="31" t="str">
        <f aca="false">IF(AND(G314="",H314=""),"",N(G314)-N(H314))</f>
        <v/>
      </c>
      <c r="J314" s="46"/>
      <c r="K314" s="46"/>
      <c r="L314" s="34" t="str">
        <f aca="false">IF(AND(J314="",K314=""),"",N(J314)-N(K314))</f>
        <v/>
      </c>
      <c r="M314" s="35" t="str">
        <f aca="false">IF(B314="","",IF(COUNTIFS(③回款收汇!$A$4:$A$203,B314,③回款收汇!$R$4:$R$203,"&gt;0")&gt;0,"已收汇","待收汇"))</f>
        <v/>
      </c>
      <c r="N314" s="41"/>
      <c r="O314" s="41"/>
      <c r="P314" s="35" t="str">
        <f aca="true">IF(N314="","",IF(O314="",IF(TODAY()-N314&gt;15,"已超15天未留存","待留存"),IF(O314-N314&lt;=15,"及时","超期")))</f>
        <v/>
      </c>
      <c r="Q314" s="43"/>
    </row>
    <row r="315" customFormat="false" ht="21.75" hidden="false" customHeight="true" outlineLevel="0" collapsed="false">
      <c r="A315" s="49"/>
      <c r="B315" s="48"/>
      <c r="C315" s="43"/>
      <c r="D315" s="44"/>
      <c r="E315" s="44"/>
      <c r="F315" s="36" t="str">
        <f aca="false">IF(OR(D315="",E315=""),"",IF(IFERROR(INDEX(①出口报关!$I$4:$I$303,MATCH(E315,①出口报关!$A$4:$A$303,0)),"")=D315,"一致","SKU与报关单不符"))</f>
        <v/>
      </c>
      <c r="G315" s="45"/>
      <c r="H315" s="45"/>
      <c r="I315" s="31" t="str">
        <f aca="false">IF(AND(G315="",H315=""),"",N(G315)-N(H315))</f>
        <v/>
      </c>
      <c r="J315" s="46"/>
      <c r="K315" s="46"/>
      <c r="L315" s="34" t="str">
        <f aca="false">IF(AND(J315="",K315=""),"",N(J315)-N(K315))</f>
        <v/>
      </c>
      <c r="M315" s="35" t="str">
        <f aca="false">IF(B315="","",IF(COUNTIFS(③回款收汇!$A$4:$A$203,B315,③回款收汇!$R$4:$R$203,"&gt;0")&gt;0,"已收汇","待收汇"))</f>
        <v/>
      </c>
      <c r="N315" s="41"/>
      <c r="O315" s="41"/>
      <c r="P315" s="35" t="str">
        <f aca="true">IF(N315="","",IF(O315="",IF(TODAY()-N315&gt;15,"已超15天未留存","待留存"),IF(O315-N315&lt;=15,"及时","超期")))</f>
        <v/>
      </c>
      <c r="Q315" s="43"/>
    </row>
    <row r="316" customFormat="false" ht="21.75" hidden="false" customHeight="true" outlineLevel="0" collapsed="false">
      <c r="A316" s="49"/>
      <c r="B316" s="48"/>
      <c r="C316" s="43"/>
      <c r="D316" s="44"/>
      <c r="E316" s="44"/>
      <c r="F316" s="36" t="str">
        <f aca="false">IF(OR(D316="",E316=""),"",IF(IFERROR(INDEX(①出口报关!$I$4:$I$303,MATCH(E316,①出口报关!$A$4:$A$303,0)),"")=D316,"一致","SKU与报关单不符"))</f>
        <v/>
      </c>
      <c r="G316" s="45"/>
      <c r="H316" s="45"/>
      <c r="I316" s="31" t="str">
        <f aca="false">IF(AND(G316="",H316=""),"",N(G316)-N(H316))</f>
        <v/>
      </c>
      <c r="J316" s="46"/>
      <c r="K316" s="46"/>
      <c r="L316" s="34" t="str">
        <f aca="false">IF(AND(J316="",K316=""),"",N(J316)-N(K316))</f>
        <v/>
      </c>
      <c r="M316" s="35" t="str">
        <f aca="false">IF(B316="","",IF(COUNTIFS(③回款收汇!$A$4:$A$203,B316,③回款收汇!$R$4:$R$203,"&gt;0")&gt;0,"已收汇","待收汇"))</f>
        <v/>
      </c>
      <c r="N316" s="41"/>
      <c r="O316" s="41"/>
      <c r="P316" s="35" t="str">
        <f aca="true">IF(N316="","",IF(O316="",IF(TODAY()-N316&gt;15,"已超15天未留存","待留存"),IF(O316-N316&lt;=15,"及时","超期")))</f>
        <v/>
      </c>
      <c r="Q316" s="43"/>
    </row>
    <row r="317" customFormat="false" ht="21.75" hidden="false" customHeight="true" outlineLevel="0" collapsed="false">
      <c r="A317" s="49"/>
      <c r="B317" s="48"/>
      <c r="C317" s="43"/>
      <c r="D317" s="44"/>
      <c r="E317" s="44"/>
      <c r="F317" s="36" t="str">
        <f aca="false">IF(OR(D317="",E317=""),"",IF(IFERROR(INDEX(①出口报关!$I$4:$I$303,MATCH(E317,①出口报关!$A$4:$A$303,0)),"")=D317,"一致","SKU与报关单不符"))</f>
        <v/>
      </c>
      <c r="G317" s="45"/>
      <c r="H317" s="45"/>
      <c r="I317" s="31" t="str">
        <f aca="false">IF(AND(G317="",H317=""),"",N(G317)-N(H317))</f>
        <v/>
      </c>
      <c r="J317" s="46"/>
      <c r="K317" s="46"/>
      <c r="L317" s="34" t="str">
        <f aca="false">IF(AND(J317="",K317=""),"",N(J317)-N(K317))</f>
        <v/>
      </c>
      <c r="M317" s="35" t="str">
        <f aca="false">IF(B317="","",IF(COUNTIFS(③回款收汇!$A$4:$A$203,B317,③回款收汇!$R$4:$R$203,"&gt;0")&gt;0,"已收汇","待收汇"))</f>
        <v/>
      </c>
      <c r="N317" s="41"/>
      <c r="O317" s="41"/>
      <c r="P317" s="35" t="str">
        <f aca="true">IF(N317="","",IF(O317="",IF(TODAY()-N317&gt;15,"已超15天未留存","待留存"),IF(O317-N317&lt;=15,"及时","超期")))</f>
        <v/>
      </c>
      <c r="Q317" s="43"/>
    </row>
    <row r="318" customFormat="false" ht="21.75" hidden="false" customHeight="true" outlineLevel="0" collapsed="false">
      <c r="A318" s="49"/>
      <c r="B318" s="48"/>
      <c r="C318" s="43"/>
      <c r="D318" s="44"/>
      <c r="E318" s="44"/>
      <c r="F318" s="36" t="str">
        <f aca="false">IF(OR(D318="",E318=""),"",IF(IFERROR(INDEX(①出口报关!$I$4:$I$303,MATCH(E318,①出口报关!$A$4:$A$303,0)),"")=D318,"一致","SKU与报关单不符"))</f>
        <v/>
      </c>
      <c r="G318" s="45"/>
      <c r="H318" s="45"/>
      <c r="I318" s="31" t="str">
        <f aca="false">IF(AND(G318="",H318=""),"",N(G318)-N(H318))</f>
        <v/>
      </c>
      <c r="J318" s="46"/>
      <c r="K318" s="46"/>
      <c r="L318" s="34" t="str">
        <f aca="false">IF(AND(J318="",K318=""),"",N(J318)-N(K318))</f>
        <v/>
      </c>
      <c r="M318" s="35" t="str">
        <f aca="false">IF(B318="","",IF(COUNTIFS(③回款收汇!$A$4:$A$203,B318,③回款收汇!$R$4:$R$203,"&gt;0")&gt;0,"已收汇","待收汇"))</f>
        <v/>
      </c>
      <c r="N318" s="41"/>
      <c r="O318" s="41"/>
      <c r="P318" s="35" t="str">
        <f aca="true">IF(N318="","",IF(O318="",IF(TODAY()-N318&gt;15,"已超15天未留存","待留存"),IF(O318-N318&lt;=15,"及时","超期")))</f>
        <v/>
      </c>
      <c r="Q318" s="43"/>
    </row>
    <row r="319" customFormat="false" ht="21.75" hidden="false" customHeight="true" outlineLevel="0" collapsed="false">
      <c r="A319" s="49"/>
      <c r="B319" s="48"/>
      <c r="C319" s="43"/>
      <c r="D319" s="44"/>
      <c r="E319" s="44"/>
      <c r="F319" s="36" t="str">
        <f aca="false">IF(OR(D319="",E319=""),"",IF(IFERROR(INDEX(①出口报关!$I$4:$I$303,MATCH(E319,①出口报关!$A$4:$A$303,0)),"")=D319,"一致","SKU与报关单不符"))</f>
        <v/>
      </c>
      <c r="G319" s="45"/>
      <c r="H319" s="45"/>
      <c r="I319" s="31" t="str">
        <f aca="false">IF(AND(G319="",H319=""),"",N(G319)-N(H319))</f>
        <v/>
      </c>
      <c r="J319" s="46"/>
      <c r="K319" s="46"/>
      <c r="L319" s="34" t="str">
        <f aca="false">IF(AND(J319="",K319=""),"",N(J319)-N(K319))</f>
        <v/>
      </c>
      <c r="M319" s="35" t="str">
        <f aca="false">IF(B319="","",IF(COUNTIFS(③回款收汇!$A$4:$A$203,B319,③回款收汇!$R$4:$R$203,"&gt;0")&gt;0,"已收汇","待收汇"))</f>
        <v/>
      </c>
      <c r="N319" s="41"/>
      <c r="O319" s="41"/>
      <c r="P319" s="35" t="str">
        <f aca="true">IF(N319="","",IF(O319="",IF(TODAY()-N319&gt;15,"已超15天未留存","待留存"),IF(O319-N319&lt;=15,"及时","超期")))</f>
        <v/>
      </c>
      <c r="Q319" s="43"/>
    </row>
    <row r="320" customFormat="false" ht="21.75" hidden="false" customHeight="true" outlineLevel="0" collapsed="false">
      <c r="A320" s="49"/>
      <c r="B320" s="48"/>
      <c r="C320" s="43"/>
      <c r="D320" s="44"/>
      <c r="E320" s="44"/>
      <c r="F320" s="36" t="str">
        <f aca="false">IF(OR(D320="",E320=""),"",IF(IFERROR(INDEX(①出口报关!$I$4:$I$303,MATCH(E320,①出口报关!$A$4:$A$303,0)),"")=D320,"一致","SKU与报关单不符"))</f>
        <v/>
      </c>
      <c r="G320" s="45"/>
      <c r="H320" s="45"/>
      <c r="I320" s="31" t="str">
        <f aca="false">IF(AND(G320="",H320=""),"",N(G320)-N(H320))</f>
        <v/>
      </c>
      <c r="J320" s="46"/>
      <c r="K320" s="46"/>
      <c r="L320" s="34" t="str">
        <f aca="false">IF(AND(J320="",K320=""),"",N(J320)-N(K320))</f>
        <v/>
      </c>
      <c r="M320" s="35" t="str">
        <f aca="false">IF(B320="","",IF(COUNTIFS(③回款收汇!$A$4:$A$203,B320,③回款收汇!$R$4:$R$203,"&gt;0")&gt;0,"已收汇","待收汇"))</f>
        <v/>
      </c>
      <c r="N320" s="41"/>
      <c r="O320" s="41"/>
      <c r="P320" s="35" t="str">
        <f aca="true">IF(N320="","",IF(O320="",IF(TODAY()-N320&gt;15,"已超15天未留存","待留存"),IF(O320-N320&lt;=15,"及时","超期")))</f>
        <v/>
      </c>
      <c r="Q320" s="43"/>
    </row>
    <row r="321" customFormat="false" ht="21.75" hidden="false" customHeight="true" outlineLevel="0" collapsed="false">
      <c r="A321" s="49"/>
      <c r="B321" s="48"/>
      <c r="C321" s="43"/>
      <c r="D321" s="44"/>
      <c r="E321" s="44"/>
      <c r="F321" s="36" t="str">
        <f aca="false">IF(OR(D321="",E321=""),"",IF(IFERROR(INDEX(①出口报关!$I$4:$I$303,MATCH(E321,①出口报关!$A$4:$A$303,0)),"")=D321,"一致","SKU与报关单不符"))</f>
        <v/>
      </c>
      <c r="G321" s="45"/>
      <c r="H321" s="45"/>
      <c r="I321" s="31" t="str">
        <f aca="false">IF(AND(G321="",H321=""),"",N(G321)-N(H321))</f>
        <v/>
      </c>
      <c r="J321" s="46"/>
      <c r="K321" s="46"/>
      <c r="L321" s="34" t="str">
        <f aca="false">IF(AND(J321="",K321=""),"",N(J321)-N(K321))</f>
        <v/>
      </c>
      <c r="M321" s="35" t="str">
        <f aca="false">IF(B321="","",IF(COUNTIFS(③回款收汇!$A$4:$A$203,B321,③回款收汇!$R$4:$R$203,"&gt;0")&gt;0,"已收汇","待收汇"))</f>
        <v/>
      </c>
      <c r="N321" s="41"/>
      <c r="O321" s="41"/>
      <c r="P321" s="35" t="str">
        <f aca="true">IF(N321="","",IF(O321="",IF(TODAY()-N321&gt;15,"已超15天未留存","待留存"),IF(O321-N321&lt;=15,"及时","超期")))</f>
        <v/>
      </c>
      <c r="Q321" s="43"/>
    </row>
    <row r="322" customFormat="false" ht="21.75" hidden="false" customHeight="true" outlineLevel="0" collapsed="false">
      <c r="A322" s="49"/>
      <c r="B322" s="48"/>
      <c r="C322" s="43"/>
      <c r="D322" s="44"/>
      <c r="E322" s="44"/>
      <c r="F322" s="36" t="str">
        <f aca="false">IF(OR(D322="",E322=""),"",IF(IFERROR(INDEX(①出口报关!$I$4:$I$303,MATCH(E322,①出口报关!$A$4:$A$303,0)),"")=D322,"一致","SKU与报关单不符"))</f>
        <v/>
      </c>
      <c r="G322" s="45"/>
      <c r="H322" s="45"/>
      <c r="I322" s="31" t="str">
        <f aca="false">IF(AND(G322="",H322=""),"",N(G322)-N(H322))</f>
        <v/>
      </c>
      <c r="J322" s="46"/>
      <c r="K322" s="46"/>
      <c r="L322" s="34" t="str">
        <f aca="false">IF(AND(J322="",K322=""),"",N(J322)-N(K322))</f>
        <v/>
      </c>
      <c r="M322" s="35" t="str">
        <f aca="false">IF(B322="","",IF(COUNTIFS(③回款收汇!$A$4:$A$203,B322,③回款收汇!$R$4:$R$203,"&gt;0")&gt;0,"已收汇","待收汇"))</f>
        <v/>
      </c>
      <c r="N322" s="41"/>
      <c r="O322" s="41"/>
      <c r="P322" s="35" t="str">
        <f aca="true">IF(N322="","",IF(O322="",IF(TODAY()-N322&gt;15,"已超15天未留存","待留存"),IF(O322-N322&lt;=15,"及时","超期")))</f>
        <v/>
      </c>
      <c r="Q322" s="43"/>
    </row>
    <row r="323" customFormat="false" ht="21.75" hidden="false" customHeight="true" outlineLevel="0" collapsed="false">
      <c r="A323" s="49"/>
      <c r="B323" s="48"/>
      <c r="C323" s="43"/>
      <c r="D323" s="44"/>
      <c r="E323" s="44"/>
      <c r="F323" s="36" t="str">
        <f aca="false">IF(OR(D323="",E323=""),"",IF(IFERROR(INDEX(①出口报关!$I$4:$I$303,MATCH(E323,①出口报关!$A$4:$A$303,0)),"")=D323,"一致","SKU与报关单不符"))</f>
        <v/>
      </c>
      <c r="G323" s="45"/>
      <c r="H323" s="45"/>
      <c r="I323" s="31" t="str">
        <f aca="false">IF(AND(G323="",H323=""),"",N(G323)-N(H323))</f>
        <v/>
      </c>
      <c r="J323" s="46"/>
      <c r="K323" s="46"/>
      <c r="L323" s="34" t="str">
        <f aca="false">IF(AND(J323="",K323=""),"",N(J323)-N(K323))</f>
        <v/>
      </c>
      <c r="M323" s="35" t="str">
        <f aca="false">IF(B323="","",IF(COUNTIFS(③回款收汇!$A$4:$A$203,B323,③回款收汇!$R$4:$R$203,"&gt;0")&gt;0,"已收汇","待收汇"))</f>
        <v/>
      </c>
      <c r="N323" s="41"/>
      <c r="O323" s="41"/>
      <c r="P323" s="35" t="str">
        <f aca="true">IF(N323="","",IF(O323="",IF(TODAY()-N323&gt;15,"已超15天未留存","待留存"),IF(O323-N323&lt;=15,"及时","超期")))</f>
        <v/>
      </c>
      <c r="Q323" s="43"/>
    </row>
    <row r="324" customFormat="false" ht="21.75" hidden="false" customHeight="true" outlineLevel="0" collapsed="false">
      <c r="A324" s="49"/>
      <c r="B324" s="48"/>
      <c r="C324" s="43"/>
      <c r="D324" s="44"/>
      <c r="E324" s="44"/>
      <c r="F324" s="36" t="str">
        <f aca="false">IF(OR(D324="",E324=""),"",IF(IFERROR(INDEX(①出口报关!$I$4:$I$303,MATCH(E324,①出口报关!$A$4:$A$303,0)),"")=D324,"一致","SKU与报关单不符"))</f>
        <v/>
      </c>
      <c r="G324" s="45"/>
      <c r="H324" s="45"/>
      <c r="I324" s="31" t="str">
        <f aca="false">IF(AND(G324="",H324=""),"",N(G324)-N(H324))</f>
        <v/>
      </c>
      <c r="J324" s="46"/>
      <c r="K324" s="46"/>
      <c r="L324" s="34" t="str">
        <f aca="false">IF(AND(J324="",K324=""),"",N(J324)-N(K324))</f>
        <v/>
      </c>
      <c r="M324" s="35" t="str">
        <f aca="false">IF(B324="","",IF(COUNTIFS(③回款收汇!$A$4:$A$203,B324,③回款收汇!$R$4:$R$203,"&gt;0")&gt;0,"已收汇","待收汇"))</f>
        <v/>
      </c>
      <c r="N324" s="41"/>
      <c r="O324" s="41"/>
      <c r="P324" s="35" t="str">
        <f aca="true">IF(N324="","",IF(O324="",IF(TODAY()-N324&gt;15,"已超15天未留存","待留存"),IF(O324-N324&lt;=15,"及时","超期")))</f>
        <v/>
      </c>
      <c r="Q324" s="43"/>
    </row>
    <row r="325" customFormat="false" ht="21.75" hidden="false" customHeight="true" outlineLevel="0" collapsed="false">
      <c r="A325" s="49"/>
      <c r="B325" s="48"/>
      <c r="C325" s="43"/>
      <c r="D325" s="44"/>
      <c r="E325" s="44"/>
      <c r="F325" s="36" t="str">
        <f aca="false">IF(OR(D325="",E325=""),"",IF(IFERROR(INDEX(①出口报关!$I$4:$I$303,MATCH(E325,①出口报关!$A$4:$A$303,0)),"")=D325,"一致","SKU与报关单不符"))</f>
        <v/>
      </c>
      <c r="G325" s="45"/>
      <c r="H325" s="45"/>
      <c r="I325" s="31" t="str">
        <f aca="false">IF(AND(G325="",H325=""),"",N(G325)-N(H325))</f>
        <v/>
      </c>
      <c r="J325" s="46"/>
      <c r="K325" s="46"/>
      <c r="L325" s="34" t="str">
        <f aca="false">IF(AND(J325="",K325=""),"",N(J325)-N(K325))</f>
        <v/>
      </c>
      <c r="M325" s="35" t="str">
        <f aca="false">IF(B325="","",IF(COUNTIFS(③回款收汇!$A$4:$A$203,B325,③回款收汇!$R$4:$R$203,"&gt;0")&gt;0,"已收汇","待收汇"))</f>
        <v/>
      </c>
      <c r="N325" s="41"/>
      <c r="O325" s="41"/>
      <c r="P325" s="35" t="str">
        <f aca="true">IF(N325="","",IF(O325="",IF(TODAY()-N325&gt;15,"已超15天未留存","待留存"),IF(O325-N325&lt;=15,"及时","超期")))</f>
        <v/>
      </c>
      <c r="Q325" s="43"/>
    </row>
    <row r="326" customFormat="false" ht="21.75" hidden="false" customHeight="true" outlineLevel="0" collapsed="false">
      <c r="A326" s="49"/>
      <c r="B326" s="48"/>
      <c r="C326" s="43"/>
      <c r="D326" s="44"/>
      <c r="E326" s="44"/>
      <c r="F326" s="36" t="str">
        <f aca="false">IF(OR(D326="",E326=""),"",IF(IFERROR(INDEX(①出口报关!$I$4:$I$303,MATCH(E326,①出口报关!$A$4:$A$303,0)),"")=D326,"一致","SKU与报关单不符"))</f>
        <v/>
      </c>
      <c r="G326" s="45"/>
      <c r="H326" s="45"/>
      <c r="I326" s="31" t="str">
        <f aca="false">IF(AND(G326="",H326=""),"",N(G326)-N(H326))</f>
        <v/>
      </c>
      <c r="J326" s="46"/>
      <c r="K326" s="46"/>
      <c r="L326" s="34" t="str">
        <f aca="false">IF(AND(J326="",K326=""),"",N(J326)-N(K326))</f>
        <v/>
      </c>
      <c r="M326" s="35" t="str">
        <f aca="false">IF(B326="","",IF(COUNTIFS(③回款收汇!$A$4:$A$203,B326,③回款收汇!$R$4:$R$203,"&gt;0")&gt;0,"已收汇","待收汇"))</f>
        <v/>
      </c>
      <c r="N326" s="41"/>
      <c r="O326" s="41"/>
      <c r="P326" s="35" t="str">
        <f aca="true">IF(N326="","",IF(O326="",IF(TODAY()-N326&gt;15,"已超15天未留存","待留存"),IF(O326-N326&lt;=15,"及时","超期")))</f>
        <v/>
      </c>
      <c r="Q326" s="43"/>
    </row>
    <row r="327" customFormat="false" ht="21.75" hidden="false" customHeight="true" outlineLevel="0" collapsed="false">
      <c r="A327" s="49"/>
      <c r="B327" s="48"/>
      <c r="C327" s="43"/>
      <c r="D327" s="44"/>
      <c r="E327" s="44"/>
      <c r="F327" s="36" t="str">
        <f aca="false">IF(OR(D327="",E327=""),"",IF(IFERROR(INDEX(①出口报关!$I$4:$I$303,MATCH(E327,①出口报关!$A$4:$A$303,0)),"")=D327,"一致","SKU与报关单不符"))</f>
        <v/>
      </c>
      <c r="G327" s="45"/>
      <c r="H327" s="45"/>
      <c r="I327" s="31" t="str">
        <f aca="false">IF(AND(G327="",H327=""),"",N(G327)-N(H327))</f>
        <v/>
      </c>
      <c r="J327" s="46"/>
      <c r="K327" s="46"/>
      <c r="L327" s="34" t="str">
        <f aca="false">IF(AND(J327="",K327=""),"",N(J327)-N(K327))</f>
        <v/>
      </c>
      <c r="M327" s="35" t="str">
        <f aca="false">IF(B327="","",IF(COUNTIFS(③回款收汇!$A$4:$A$203,B327,③回款收汇!$R$4:$R$203,"&gt;0")&gt;0,"已收汇","待收汇"))</f>
        <v/>
      </c>
      <c r="N327" s="41"/>
      <c r="O327" s="41"/>
      <c r="P327" s="35" t="str">
        <f aca="true">IF(N327="","",IF(O327="",IF(TODAY()-N327&gt;15,"已超15天未留存","待留存"),IF(O327-N327&lt;=15,"及时","超期")))</f>
        <v/>
      </c>
      <c r="Q327" s="43"/>
    </row>
    <row r="328" customFormat="false" ht="21.75" hidden="false" customHeight="true" outlineLevel="0" collapsed="false">
      <c r="A328" s="49"/>
      <c r="B328" s="48"/>
      <c r="C328" s="43"/>
      <c r="D328" s="44"/>
      <c r="E328" s="44"/>
      <c r="F328" s="36" t="str">
        <f aca="false">IF(OR(D328="",E328=""),"",IF(IFERROR(INDEX(①出口报关!$I$4:$I$303,MATCH(E328,①出口报关!$A$4:$A$303,0)),"")=D328,"一致","SKU与报关单不符"))</f>
        <v/>
      </c>
      <c r="G328" s="45"/>
      <c r="H328" s="45"/>
      <c r="I328" s="31" t="str">
        <f aca="false">IF(AND(G328="",H328=""),"",N(G328)-N(H328))</f>
        <v/>
      </c>
      <c r="J328" s="46"/>
      <c r="K328" s="46"/>
      <c r="L328" s="34" t="str">
        <f aca="false">IF(AND(J328="",K328=""),"",N(J328)-N(K328))</f>
        <v/>
      </c>
      <c r="M328" s="35" t="str">
        <f aca="false">IF(B328="","",IF(COUNTIFS(③回款收汇!$A$4:$A$203,B328,③回款收汇!$R$4:$R$203,"&gt;0")&gt;0,"已收汇","待收汇"))</f>
        <v/>
      </c>
      <c r="N328" s="41"/>
      <c r="O328" s="41"/>
      <c r="P328" s="35" t="str">
        <f aca="true">IF(N328="","",IF(O328="",IF(TODAY()-N328&gt;15,"已超15天未留存","待留存"),IF(O328-N328&lt;=15,"及时","超期")))</f>
        <v/>
      </c>
      <c r="Q328" s="43"/>
    </row>
    <row r="329" customFormat="false" ht="21.75" hidden="false" customHeight="true" outlineLevel="0" collapsed="false">
      <c r="A329" s="49"/>
      <c r="B329" s="48"/>
      <c r="C329" s="43"/>
      <c r="D329" s="44"/>
      <c r="E329" s="44"/>
      <c r="F329" s="36" t="str">
        <f aca="false">IF(OR(D329="",E329=""),"",IF(IFERROR(INDEX(①出口报关!$I$4:$I$303,MATCH(E329,①出口报关!$A$4:$A$303,0)),"")=D329,"一致","SKU与报关单不符"))</f>
        <v/>
      </c>
      <c r="G329" s="45"/>
      <c r="H329" s="45"/>
      <c r="I329" s="31" t="str">
        <f aca="false">IF(AND(G329="",H329=""),"",N(G329)-N(H329))</f>
        <v/>
      </c>
      <c r="J329" s="46"/>
      <c r="K329" s="46"/>
      <c r="L329" s="34" t="str">
        <f aca="false">IF(AND(J329="",K329=""),"",N(J329)-N(K329))</f>
        <v/>
      </c>
      <c r="M329" s="35" t="str">
        <f aca="false">IF(B329="","",IF(COUNTIFS(③回款收汇!$A$4:$A$203,B329,③回款收汇!$R$4:$R$203,"&gt;0")&gt;0,"已收汇","待收汇"))</f>
        <v/>
      </c>
      <c r="N329" s="41"/>
      <c r="O329" s="41"/>
      <c r="P329" s="35" t="str">
        <f aca="true">IF(N329="","",IF(O329="",IF(TODAY()-N329&gt;15,"已超15天未留存","待留存"),IF(O329-N329&lt;=15,"及时","超期")))</f>
        <v/>
      </c>
      <c r="Q329" s="43"/>
    </row>
    <row r="330" customFormat="false" ht="21.75" hidden="false" customHeight="true" outlineLevel="0" collapsed="false">
      <c r="A330" s="49"/>
      <c r="B330" s="48"/>
      <c r="C330" s="43"/>
      <c r="D330" s="44"/>
      <c r="E330" s="44"/>
      <c r="F330" s="36" t="str">
        <f aca="false">IF(OR(D330="",E330=""),"",IF(IFERROR(INDEX(①出口报关!$I$4:$I$303,MATCH(E330,①出口报关!$A$4:$A$303,0)),"")=D330,"一致","SKU与报关单不符"))</f>
        <v/>
      </c>
      <c r="G330" s="45"/>
      <c r="H330" s="45"/>
      <c r="I330" s="31" t="str">
        <f aca="false">IF(AND(G330="",H330=""),"",N(G330)-N(H330))</f>
        <v/>
      </c>
      <c r="J330" s="46"/>
      <c r="K330" s="46"/>
      <c r="L330" s="34" t="str">
        <f aca="false">IF(AND(J330="",K330=""),"",N(J330)-N(K330))</f>
        <v/>
      </c>
      <c r="M330" s="35" t="str">
        <f aca="false">IF(B330="","",IF(COUNTIFS(③回款收汇!$A$4:$A$203,B330,③回款收汇!$R$4:$R$203,"&gt;0")&gt;0,"已收汇","待收汇"))</f>
        <v/>
      </c>
      <c r="N330" s="41"/>
      <c r="O330" s="41"/>
      <c r="P330" s="35" t="str">
        <f aca="true">IF(N330="","",IF(O330="",IF(TODAY()-N330&gt;15,"已超15天未留存","待留存"),IF(O330-N330&lt;=15,"及时","超期")))</f>
        <v/>
      </c>
      <c r="Q330" s="43"/>
    </row>
    <row r="331" customFormat="false" ht="21.75" hidden="false" customHeight="true" outlineLevel="0" collapsed="false">
      <c r="A331" s="49"/>
      <c r="B331" s="48"/>
      <c r="C331" s="43"/>
      <c r="D331" s="44"/>
      <c r="E331" s="44"/>
      <c r="F331" s="36" t="str">
        <f aca="false">IF(OR(D331="",E331=""),"",IF(IFERROR(INDEX(①出口报关!$I$4:$I$303,MATCH(E331,①出口报关!$A$4:$A$303,0)),"")=D331,"一致","SKU与报关单不符"))</f>
        <v/>
      </c>
      <c r="G331" s="45"/>
      <c r="H331" s="45"/>
      <c r="I331" s="31" t="str">
        <f aca="false">IF(AND(G331="",H331=""),"",N(G331)-N(H331))</f>
        <v/>
      </c>
      <c r="J331" s="46"/>
      <c r="K331" s="46"/>
      <c r="L331" s="34" t="str">
        <f aca="false">IF(AND(J331="",K331=""),"",N(J331)-N(K331))</f>
        <v/>
      </c>
      <c r="M331" s="35" t="str">
        <f aca="false">IF(B331="","",IF(COUNTIFS(③回款收汇!$A$4:$A$203,B331,③回款收汇!$R$4:$R$203,"&gt;0")&gt;0,"已收汇","待收汇"))</f>
        <v/>
      </c>
      <c r="N331" s="41"/>
      <c r="O331" s="41"/>
      <c r="P331" s="35" t="str">
        <f aca="true">IF(N331="","",IF(O331="",IF(TODAY()-N331&gt;15,"已超15天未留存","待留存"),IF(O331-N331&lt;=15,"及时","超期")))</f>
        <v/>
      </c>
      <c r="Q331" s="43"/>
    </row>
    <row r="332" customFormat="false" ht="21.75" hidden="false" customHeight="true" outlineLevel="0" collapsed="false">
      <c r="A332" s="49"/>
      <c r="B332" s="48"/>
      <c r="C332" s="43"/>
      <c r="D332" s="44"/>
      <c r="E332" s="44"/>
      <c r="F332" s="36" t="str">
        <f aca="false">IF(OR(D332="",E332=""),"",IF(IFERROR(INDEX(①出口报关!$I$4:$I$303,MATCH(E332,①出口报关!$A$4:$A$303,0)),"")=D332,"一致","SKU与报关单不符"))</f>
        <v/>
      </c>
      <c r="G332" s="45"/>
      <c r="H332" s="45"/>
      <c r="I332" s="31" t="str">
        <f aca="false">IF(AND(G332="",H332=""),"",N(G332)-N(H332))</f>
        <v/>
      </c>
      <c r="J332" s="46"/>
      <c r="K332" s="46"/>
      <c r="L332" s="34" t="str">
        <f aca="false">IF(AND(J332="",K332=""),"",N(J332)-N(K332))</f>
        <v/>
      </c>
      <c r="M332" s="35" t="str">
        <f aca="false">IF(B332="","",IF(COUNTIFS(③回款收汇!$A$4:$A$203,B332,③回款收汇!$R$4:$R$203,"&gt;0")&gt;0,"已收汇","待收汇"))</f>
        <v/>
      </c>
      <c r="N332" s="41"/>
      <c r="O332" s="41"/>
      <c r="P332" s="35" t="str">
        <f aca="true">IF(N332="","",IF(O332="",IF(TODAY()-N332&gt;15,"已超15天未留存","待留存"),IF(O332-N332&lt;=15,"及时","超期")))</f>
        <v/>
      </c>
      <c r="Q332" s="43"/>
    </row>
    <row r="333" customFormat="false" ht="21.75" hidden="false" customHeight="true" outlineLevel="0" collapsed="false">
      <c r="A333" s="49"/>
      <c r="B333" s="48"/>
      <c r="C333" s="43"/>
      <c r="D333" s="44"/>
      <c r="E333" s="44"/>
      <c r="F333" s="36" t="str">
        <f aca="false">IF(OR(D333="",E333=""),"",IF(IFERROR(INDEX(①出口报关!$I$4:$I$303,MATCH(E333,①出口报关!$A$4:$A$303,0)),"")=D333,"一致","SKU与报关单不符"))</f>
        <v/>
      </c>
      <c r="G333" s="45"/>
      <c r="H333" s="45"/>
      <c r="I333" s="31" t="str">
        <f aca="false">IF(AND(G333="",H333=""),"",N(G333)-N(H333))</f>
        <v/>
      </c>
      <c r="J333" s="46"/>
      <c r="K333" s="46"/>
      <c r="L333" s="34" t="str">
        <f aca="false">IF(AND(J333="",K333=""),"",N(J333)-N(K333))</f>
        <v/>
      </c>
      <c r="M333" s="35" t="str">
        <f aca="false">IF(B333="","",IF(COUNTIFS(③回款收汇!$A$4:$A$203,B333,③回款收汇!$R$4:$R$203,"&gt;0")&gt;0,"已收汇","待收汇"))</f>
        <v/>
      </c>
      <c r="N333" s="41"/>
      <c r="O333" s="41"/>
      <c r="P333" s="35" t="str">
        <f aca="true">IF(N333="","",IF(O333="",IF(TODAY()-N333&gt;15,"已超15天未留存","待留存"),IF(O333-N333&lt;=15,"及时","超期")))</f>
        <v/>
      </c>
      <c r="Q333" s="43"/>
    </row>
    <row r="334" customFormat="false" ht="21.75" hidden="false" customHeight="true" outlineLevel="0" collapsed="false">
      <c r="A334" s="49"/>
      <c r="B334" s="48"/>
      <c r="C334" s="43"/>
      <c r="D334" s="44"/>
      <c r="E334" s="44"/>
      <c r="F334" s="36" t="str">
        <f aca="false">IF(OR(D334="",E334=""),"",IF(IFERROR(INDEX(①出口报关!$I$4:$I$303,MATCH(E334,①出口报关!$A$4:$A$303,0)),"")=D334,"一致","SKU与报关单不符"))</f>
        <v/>
      </c>
      <c r="G334" s="45"/>
      <c r="H334" s="45"/>
      <c r="I334" s="31" t="str">
        <f aca="false">IF(AND(G334="",H334=""),"",N(G334)-N(H334))</f>
        <v/>
      </c>
      <c r="J334" s="46"/>
      <c r="K334" s="46"/>
      <c r="L334" s="34" t="str">
        <f aca="false">IF(AND(J334="",K334=""),"",N(J334)-N(K334))</f>
        <v/>
      </c>
      <c r="M334" s="35" t="str">
        <f aca="false">IF(B334="","",IF(COUNTIFS(③回款收汇!$A$4:$A$203,B334,③回款收汇!$R$4:$R$203,"&gt;0")&gt;0,"已收汇","待收汇"))</f>
        <v/>
      </c>
      <c r="N334" s="41"/>
      <c r="O334" s="41"/>
      <c r="P334" s="35" t="str">
        <f aca="true">IF(N334="","",IF(O334="",IF(TODAY()-N334&gt;15,"已超15天未留存","待留存"),IF(O334-N334&lt;=15,"及时","超期")))</f>
        <v/>
      </c>
      <c r="Q334" s="43"/>
    </row>
    <row r="335" customFormat="false" ht="21.75" hidden="false" customHeight="true" outlineLevel="0" collapsed="false">
      <c r="A335" s="49"/>
      <c r="B335" s="48"/>
      <c r="C335" s="43"/>
      <c r="D335" s="44"/>
      <c r="E335" s="44"/>
      <c r="F335" s="36" t="str">
        <f aca="false">IF(OR(D335="",E335=""),"",IF(IFERROR(INDEX(①出口报关!$I$4:$I$303,MATCH(E335,①出口报关!$A$4:$A$303,0)),"")=D335,"一致","SKU与报关单不符"))</f>
        <v/>
      </c>
      <c r="G335" s="45"/>
      <c r="H335" s="45"/>
      <c r="I335" s="31" t="str">
        <f aca="false">IF(AND(G335="",H335=""),"",N(G335)-N(H335))</f>
        <v/>
      </c>
      <c r="J335" s="46"/>
      <c r="K335" s="46"/>
      <c r="L335" s="34" t="str">
        <f aca="false">IF(AND(J335="",K335=""),"",N(J335)-N(K335))</f>
        <v/>
      </c>
      <c r="M335" s="35" t="str">
        <f aca="false">IF(B335="","",IF(COUNTIFS(③回款收汇!$A$4:$A$203,B335,③回款收汇!$R$4:$R$203,"&gt;0")&gt;0,"已收汇","待收汇"))</f>
        <v/>
      </c>
      <c r="N335" s="41"/>
      <c r="O335" s="41"/>
      <c r="P335" s="35" t="str">
        <f aca="true">IF(N335="","",IF(O335="",IF(TODAY()-N335&gt;15,"已超15天未留存","待留存"),IF(O335-N335&lt;=15,"及时","超期")))</f>
        <v/>
      </c>
      <c r="Q335" s="43"/>
    </row>
    <row r="336" customFormat="false" ht="21.75" hidden="false" customHeight="true" outlineLevel="0" collapsed="false">
      <c r="A336" s="49"/>
      <c r="B336" s="48"/>
      <c r="C336" s="43"/>
      <c r="D336" s="44"/>
      <c r="E336" s="44"/>
      <c r="F336" s="36" t="str">
        <f aca="false">IF(OR(D336="",E336=""),"",IF(IFERROR(INDEX(①出口报关!$I$4:$I$303,MATCH(E336,①出口报关!$A$4:$A$303,0)),"")=D336,"一致","SKU与报关单不符"))</f>
        <v/>
      </c>
      <c r="G336" s="45"/>
      <c r="H336" s="45"/>
      <c r="I336" s="31" t="str">
        <f aca="false">IF(AND(G336="",H336=""),"",N(G336)-N(H336))</f>
        <v/>
      </c>
      <c r="J336" s="46"/>
      <c r="K336" s="46"/>
      <c r="L336" s="34" t="str">
        <f aca="false">IF(AND(J336="",K336=""),"",N(J336)-N(K336))</f>
        <v/>
      </c>
      <c r="M336" s="35" t="str">
        <f aca="false">IF(B336="","",IF(COUNTIFS(③回款收汇!$A$4:$A$203,B336,③回款收汇!$R$4:$R$203,"&gt;0")&gt;0,"已收汇","待收汇"))</f>
        <v/>
      </c>
      <c r="N336" s="41"/>
      <c r="O336" s="41"/>
      <c r="P336" s="35" t="str">
        <f aca="true">IF(N336="","",IF(O336="",IF(TODAY()-N336&gt;15,"已超15天未留存","待留存"),IF(O336-N336&lt;=15,"及时","超期")))</f>
        <v/>
      </c>
      <c r="Q336" s="43"/>
    </row>
    <row r="337" customFormat="false" ht="21.75" hidden="false" customHeight="true" outlineLevel="0" collapsed="false">
      <c r="A337" s="49"/>
      <c r="B337" s="48"/>
      <c r="C337" s="43"/>
      <c r="D337" s="44"/>
      <c r="E337" s="44"/>
      <c r="F337" s="36" t="str">
        <f aca="false">IF(OR(D337="",E337=""),"",IF(IFERROR(INDEX(①出口报关!$I$4:$I$303,MATCH(E337,①出口报关!$A$4:$A$303,0)),"")=D337,"一致","SKU与报关单不符"))</f>
        <v/>
      </c>
      <c r="G337" s="45"/>
      <c r="H337" s="45"/>
      <c r="I337" s="31" t="str">
        <f aca="false">IF(AND(G337="",H337=""),"",N(G337)-N(H337))</f>
        <v/>
      </c>
      <c r="J337" s="46"/>
      <c r="K337" s="46"/>
      <c r="L337" s="34" t="str">
        <f aca="false">IF(AND(J337="",K337=""),"",N(J337)-N(K337))</f>
        <v/>
      </c>
      <c r="M337" s="35" t="str">
        <f aca="false">IF(B337="","",IF(COUNTIFS(③回款收汇!$A$4:$A$203,B337,③回款收汇!$R$4:$R$203,"&gt;0")&gt;0,"已收汇","待收汇"))</f>
        <v/>
      </c>
      <c r="N337" s="41"/>
      <c r="O337" s="41"/>
      <c r="P337" s="35" t="str">
        <f aca="true">IF(N337="","",IF(O337="",IF(TODAY()-N337&gt;15,"已超15天未留存","待留存"),IF(O337-N337&lt;=15,"及时","超期")))</f>
        <v/>
      </c>
      <c r="Q337" s="43"/>
    </row>
    <row r="338" customFormat="false" ht="21.75" hidden="false" customHeight="true" outlineLevel="0" collapsed="false">
      <c r="A338" s="49"/>
      <c r="B338" s="48"/>
      <c r="C338" s="43"/>
      <c r="D338" s="44"/>
      <c r="E338" s="44"/>
      <c r="F338" s="36" t="str">
        <f aca="false">IF(OR(D338="",E338=""),"",IF(IFERROR(INDEX(①出口报关!$I$4:$I$303,MATCH(E338,①出口报关!$A$4:$A$303,0)),"")=D338,"一致","SKU与报关单不符"))</f>
        <v/>
      </c>
      <c r="G338" s="45"/>
      <c r="H338" s="45"/>
      <c r="I338" s="31" t="str">
        <f aca="false">IF(AND(G338="",H338=""),"",N(G338)-N(H338))</f>
        <v/>
      </c>
      <c r="J338" s="46"/>
      <c r="K338" s="46"/>
      <c r="L338" s="34" t="str">
        <f aca="false">IF(AND(J338="",K338=""),"",N(J338)-N(K338))</f>
        <v/>
      </c>
      <c r="M338" s="35" t="str">
        <f aca="false">IF(B338="","",IF(COUNTIFS(③回款收汇!$A$4:$A$203,B338,③回款收汇!$R$4:$R$203,"&gt;0")&gt;0,"已收汇","待收汇"))</f>
        <v/>
      </c>
      <c r="N338" s="41"/>
      <c r="O338" s="41"/>
      <c r="P338" s="35" t="str">
        <f aca="true">IF(N338="","",IF(O338="",IF(TODAY()-N338&gt;15,"已超15天未留存","待留存"),IF(O338-N338&lt;=15,"及时","超期")))</f>
        <v/>
      </c>
      <c r="Q338" s="43"/>
    </row>
    <row r="339" customFormat="false" ht="21.75" hidden="false" customHeight="true" outlineLevel="0" collapsed="false">
      <c r="A339" s="49"/>
      <c r="B339" s="48"/>
      <c r="C339" s="43"/>
      <c r="D339" s="44"/>
      <c r="E339" s="44"/>
      <c r="F339" s="36" t="str">
        <f aca="false">IF(OR(D339="",E339=""),"",IF(IFERROR(INDEX(①出口报关!$I$4:$I$303,MATCH(E339,①出口报关!$A$4:$A$303,0)),"")=D339,"一致","SKU与报关单不符"))</f>
        <v/>
      </c>
      <c r="G339" s="45"/>
      <c r="H339" s="45"/>
      <c r="I339" s="31" t="str">
        <f aca="false">IF(AND(G339="",H339=""),"",N(G339)-N(H339))</f>
        <v/>
      </c>
      <c r="J339" s="46"/>
      <c r="K339" s="46"/>
      <c r="L339" s="34" t="str">
        <f aca="false">IF(AND(J339="",K339=""),"",N(J339)-N(K339))</f>
        <v/>
      </c>
      <c r="M339" s="35" t="str">
        <f aca="false">IF(B339="","",IF(COUNTIFS(③回款收汇!$A$4:$A$203,B339,③回款收汇!$R$4:$R$203,"&gt;0")&gt;0,"已收汇","待收汇"))</f>
        <v/>
      </c>
      <c r="N339" s="41"/>
      <c r="O339" s="41"/>
      <c r="P339" s="35" t="str">
        <f aca="true">IF(N339="","",IF(O339="",IF(TODAY()-N339&gt;15,"已超15天未留存","待留存"),IF(O339-N339&lt;=15,"及时","超期")))</f>
        <v/>
      </c>
      <c r="Q339" s="43"/>
    </row>
    <row r="340" customFormat="false" ht="21.75" hidden="false" customHeight="true" outlineLevel="0" collapsed="false">
      <c r="A340" s="49"/>
      <c r="B340" s="48"/>
      <c r="C340" s="43"/>
      <c r="D340" s="44"/>
      <c r="E340" s="44"/>
      <c r="F340" s="36" t="str">
        <f aca="false">IF(OR(D340="",E340=""),"",IF(IFERROR(INDEX(①出口报关!$I$4:$I$303,MATCH(E340,①出口报关!$A$4:$A$303,0)),"")=D340,"一致","SKU与报关单不符"))</f>
        <v/>
      </c>
      <c r="G340" s="45"/>
      <c r="H340" s="45"/>
      <c r="I340" s="31" t="str">
        <f aca="false">IF(AND(G340="",H340=""),"",N(G340)-N(H340))</f>
        <v/>
      </c>
      <c r="J340" s="46"/>
      <c r="K340" s="46"/>
      <c r="L340" s="34" t="str">
        <f aca="false">IF(AND(J340="",K340=""),"",N(J340)-N(K340))</f>
        <v/>
      </c>
      <c r="M340" s="35" t="str">
        <f aca="false">IF(B340="","",IF(COUNTIFS(③回款收汇!$A$4:$A$203,B340,③回款收汇!$R$4:$R$203,"&gt;0")&gt;0,"已收汇","待收汇"))</f>
        <v/>
      </c>
      <c r="N340" s="41"/>
      <c r="O340" s="41"/>
      <c r="P340" s="35" t="str">
        <f aca="true">IF(N340="","",IF(O340="",IF(TODAY()-N340&gt;15,"已超15天未留存","待留存"),IF(O340-N340&lt;=15,"及时","超期")))</f>
        <v/>
      </c>
      <c r="Q340" s="43"/>
    </row>
    <row r="341" customFormat="false" ht="21.75" hidden="false" customHeight="true" outlineLevel="0" collapsed="false">
      <c r="A341" s="49"/>
      <c r="B341" s="48"/>
      <c r="C341" s="43"/>
      <c r="D341" s="44"/>
      <c r="E341" s="44"/>
      <c r="F341" s="36" t="str">
        <f aca="false">IF(OR(D341="",E341=""),"",IF(IFERROR(INDEX(①出口报关!$I$4:$I$303,MATCH(E341,①出口报关!$A$4:$A$303,0)),"")=D341,"一致","SKU与报关单不符"))</f>
        <v/>
      </c>
      <c r="G341" s="45"/>
      <c r="H341" s="45"/>
      <c r="I341" s="31" t="str">
        <f aca="false">IF(AND(G341="",H341=""),"",N(G341)-N(H341))</f>
        <v/>
      </c>
      <c r="J341" s="46"/>
      <c r="K341" s="46"/>
      <c r="L341" s="34" t="str">
        <f aca="false">IF(AND(J341="",K341=""),"",N(J341)-N(K341))</f>
        <v/>
      </c>
      <c r="M341" s="35" t="str">
        <f aca="false">IF(B341="","",IF(COUNTIFS(③回款收汇!$A$4:$A$203,B341,③回款收汇!$R$4:$R$203,"&gt;0")&gt;0,"已收汇","待收汇"))</f>
        <v/>
      </c>
      <c r="N341" s="41"/>
      <c r="O341" s="41"/>
      <c r="P341" s="35" t="str">
        <f aca="true">IF(N341="","",IF(O341="",IF(TODAY()-N341&gt;15,"已超15天未留存","待留存"),IF(O341-N341&lt;=15,"及时","超期")))</f>
        <v/>
      </c>
      <c r="Q341" s="43"/>
    </row>
    <row r="342" customFormat="false" ht="21.75" hidden="false" customHeight="true" outlineLevel="0" collapsed="false">
      <c r="A342" s="49"/>
      <c r="B342" s="48"/>
      <c r="C342" s="43"/>
      <c r="D342" s="44"/>
      <c r="E342" s="44"/>
      <c r="F342" s="36" t="str">
        <f aca="false">IF(OR(D342="",E342=""),"",IF(IFERROR(INDEX(①出口报关!$I$4:$I$303,MATCH(E342,①出口报关!$A$4:$A$303,0)),"")=D342,"一致","SKU与报关单不符"))</f>
        <v/>
      </c>
      <c r="G342" s="45"/>
      <c r="H342" s="45"/>
      <c r="I342" s="31" t="str">
        <f aca="false">IF(AND(G342="",H342=""),"",N(G342)-N(H342))</f>
        <v/>
      </c>
      <c r="J342" s="46"/>
      <c r="K342" s="46"/>
      <c r="L342" s="34" t="str">
        <f aca="false">IF(AND(J342="",K342=""),"",N(J342)-N(K342))</f>
        <v/>
      </c>
      <c r="M342" s="35" t="str">
        <f aca="false">IF(B342="","",IF(COUNTIFS(③回款收汇!$A$4:$A$203,B342,③回款收汇!$R$4:$R$203,"&gt;0")&gt;0,"已收汇","待收汇"))</f>
        <v/>
      </c>
      <c r="N342" s="41"/>
      <c r="O342" s="41"/>
      <c r="P342" s="35" t="str">
        <f aca="true">IF(N342="","",IF(O342="",IF(TODAY()-N342&gt;15,"已超15天未留存","待留存"),IF(O342-N342&lt;=15,"及时","超期")))</f>
        <v/>
      </c>
      <c r="Q342" s="43"/>
    </row>
    <row r="343" customFormat="false" ht="21.75" hidden="false" customHeight="true" outlineLevel="0" collapsed="false">
      <c r="A343" s="49"/>
      <c r="B343" s="48"/>
      <c r="C343" s="43"/>
      <c r="D343" s="44"/>
      <c r="E343" s="44"/>
      <c r="F343" s="36" t="str">
        <f aca="false">IF(OR(D343="",E343=""),"",IF(IFERROR(INDEX(①出口报关!$I$4:$I$303,MATCH(E343,①出口报关!$A$4:$A$303,0)),"")=D343,"一致","SKU与报关单不符"))</f>
        <v/>
      </c>
      <c r="G343" s="45"/>
      <c r="H343" s="45"/>
      <c r="I343" s="31" t="str">
        <f aca="false">IF(AND(G343="",H343=""),"",N(G343)-N(H343))</f>
        <v/>
      </c>
      <c r="J343" s="46"/>
      <c r="K343" s="46"/>
      <c r="L343" s="34" t="str">
        <f aca="false">IF(AND(J343="",K343=""),"",N(J343)-N(K343))</f>
        <v/>
      </c>
      <c r="M343" s="35" t="str">
        <f aca="false">IF(B343="","",IF(COUNTIFS(③回款收汇!$A$4:$A$203,B343,③回款收汇!$R$4:$R$203,"&gt;0")&gt;0,"已收汇","待收汇"))</f>
        <v/>
      </c>
      <c r="N343" s="41"/>
      <c r="O343" s="41"/>
      <c r="P343" s="35" t="str">
        <f aca="true">IF(N343="","",IF(O343="",IF(TODAY()-N343&gt;15,"已超15天未留存","待留存"),IF(O343-N343&lt;=15,"及时","超期")))</f>
        <v/>
      </c>
      <c r="Q343" s="43"/>
    </row>
    <row r="344" customFormat="false" ht="21.75" hidden="false" customHeight="true" outlineLevel="0" collapsed="false">
      <c r="A344" s="49"/>
      <c r="B344" s="48"/>
      <c r="C344" s="43"/>
      <c r="D344" s="44"/>
      <c r="E344" s="44"/>
      <c r="F344" s="36" t="str">
        <f aca="false">IF(OR(D344="",E344=""),"",IF(IFERROR(INDEX(①出口报关!$I$4:$I$303,MATCH(E344,①出口报关!$A$4:$A$303,0)),"")=D344,"一致","SKU与报关单不符"))</f>
        <v/>
      </c>
      <c r="G344" s="45"/>
      <c r="H344" s="45"/>
      <c r="I344" s="31" t="str">
        <f aca="false">IF(AND(G344="",H344=""),"",N(G344)-N(H344))</f>
        <v/>
      </c>
      <c r="J344" s="46"/>
      <c r="K344" s="46"/>
      <c r="L344" s="34" t="str">
        <f aca="false">IF(AND(J344="",K344=""),"",N(J344)-N(K344))</f>
        <v/>
      </c>
      <c r="M344" s="35" t="str">
        <f aca="false">IF(B344="","",IF(COUNTIFS(③回款收汇!$A$4:$A$203,B344,③回款收汇!$R$4:$R$203,"&gt;0")&gt;0,"已收汇","待收汇"))</f>
        <v/>
      </c>
      <c r="N344" s="41"/>
      <c r="O344" s="41"/>
      <c r="P344" s="35" t="str">
        <f aca="true">IF(N344="","",IF(O344="",IF(TODAY()-N344&gt;15,"已超15天未留存","待留存"),IF(O344-N344&lt;=15,"及时","超期")))</f>
        <v/>
      </c>
      <c r="Q344" s="43"/>
    </row>
    <row r="345" customFormat="false" ht="21.75" hidden="false" customHeight="true" outlineLevel="0" collapsed="false">
      <c r="A345" s="49"/>
      <c r="B345" s="48"/>
      <c r="C345" s="43"/>
      <c r="D345" s="44"/>
      <c r="E345" s="44"/>
      <c r="F345" s="36" t="str">
        <f aca="false">IF(OR(D345="",E345=""),"",IF(IFERROR(INDEX(①出口报关!$I$4:$I$303,MATCH(E345,①出口报关!$A$4:$A$303,0)),"")=D345,"一致","SKU与报关单不符"))</f>
        <v/>
      </c>
      <c r="G345" s="45"/>
      <c r="H345" s="45"/>
      <c r="I345" s="31" t="str">
        <f aca="false">IF(AND(G345="",H345=""),"",N(G345)-N(H345))</f>
        <v/>
      </c>
      <c r="J345" s="46"/>
      <c r="K345" s="46"/>
      <c r="L345" s="34" t="str">
        <f aca="false">IF(AND(J345="",K345=""),"",N(J345)-N(K345))</f>
        <v/>
      </c>
      <c r="M345" s="35" t="str">
        <f aca="false">IF(B345="","",IF(COUNTIFS(③回款收汇!$A$4:$A$203,B345,③回款收汇!$R$4:$R$203,"&gt;0")&gt;0,"已收汇","待收汇"))</f>
        <v/>
      </c>
      <c r="N345" s="41"/>
      <c r="O345" s="41"/>
      <c r="P345" s="35" t="str">
        <f aca="true">IF(N345="","",IF(O345="",IF(TODAY()-N345&gt;15,"已超15天未留存","待留存"),IF(O345-N345&lt;=15,"及时","超期")))</f>
        <v/>
      </c>
      <c r="Q345" s="43"/>
    </row>
    <row r="346" customFormat="false" ht="21.75" hidden="false" customHeight="true" outlineLevel="0" collapsed="false">
      <c r="A346" s="49"/>
      <c r="B346" s="48"/>
      <c r="C346" s="43"/>
      <c r="D346" s="44"/>
      <c r="E346" s="44"/>
      <c r="F346" s="36" t="str">
        <f aca="false">IF(OR(D346="",E346=""),"",IF(IFERROR(INDEX(①出口报关!$I$4:$I$303,MATCH(E346,①出口报关!$A$4:$A$303,0)),"")=D346,"一致","SKU与报关单不符"))</f>
        <v/>
      </c>
      <c r="G346" s="45"/>
      <c r="H346" s="45"/>
      <c r="I346" s="31" t="str">
        <f aca="false">IF(AND(G346="",H346=""),"",N(G346)-N(H346))</f>
        <v/>
      </c>
      <c r="J346" s="46"/>
      <c r="K346" s="46"/>
      <c r="L346" s="34" t="str">
        <f aca="false">IF(AND(J346="",K346=""),"",N(J346)-N(K346))</f>
        <v/>
      </c>
      <c r="M346" s="35" t="str">
        <f aca="false">IF(B346="","",IF(COUNTIFS(③回款收汇!$A$4:$A$203,B346,③回款收汇!$R$4:$R$203,"&gt;0")&gt;0,"已收汇","待收汇"))</f>
        <v/>
      </c>
      <c r="N346" s="41"/>
      <c r="O346" s="41"/>
      <c r="P346" s="35" t="str">
        <f aca="true">IF(N346="","",IF(O346="",IF(TODAY()-N346&gt;15,"已超15天未留存","待留存"),IF(O346-N346&lt;=15,"及时","超期")))</f>
        <v/>
      </c>
      <c r="Q346" s="43"/>
    </row>
    <row r="347" customFormat="false" ht="21.75" hidden="false" customHeight="true" outlineLevel="0" collapsed="false">
      <c r="A347" s="49"/>
      <c r="B347" s="48"/>
      <c r="C347" s="43"/>
      <c r="D347" s="44"/>
      <c r="E347" s="44"/>
      <c r="F347" s="36" t="str">
        <f aca="false">IF(OR(D347="",E347=""),"",IF(IFERROR(INDEX(①出口报关!$I$4:$I$303,MATCH(E347,①出口报关!$A$4:$A$303,0)),"")=D347,"一致","SKU与报关单不符"))</f>
        <v/>
      </c>
      <c r="G347" s="45"/>
      <c r="H347" s="45"/>
      <c r="I347" s="31" t="str">
        <f aca="false">IF(AND(G347="",H347=""),"",N(G347)-N(H347))</f>
        <v/>
      </c>
      <c r="J347" s="46"/>
      <c r="K347" s="46"/>
      <c r="L347" s="34" t="str">
        <f aca="false">IF(AND(J347="",K347=""),"",N(J347)-N(K347))</f>
        <v/>
      </c>
      <c r="M347" s="35" t="str">
        <f aca="false">IF(B347="","",IF(COUNTIFS(③回款收汇!$A$4:$A$203,B347,③回款收汇!$R$4:$R$203,"&gt;0")&gt;0,"已收汇","待收汇"))</f>
        <v/>
      </c>
      <c r="N347" s="41"/>
      <c r="O347" s="41"/>
      <c r="P347" s="35" t="str">
        <f aca="true">IF(N347="","",IF(O347="",IF(TODAY()-N347&gt;15,"已超15天未留存","待留存"),IF(O347-N347&lt;=15,"及时","超期")))</f>
        <v/>
      </c>
      <c r="Q347" s="43"/>
    </row>
    <row r="348" customFormat="false" ht="21.75" hidden="false" customHeight="true" outlineLevel="0" collapsed="false">
      <c r="A348" s="49"/>
      <c r="B348" s="48"/>
      <c r="C348" s="43"/>
      <c r="D348" s="44"/>
      <c r="E348" s="44"/>
      <c r="F348" s="36" t="str">
        <f aca="false">IF(OR(D348="",E348=""),"",IF(IFERROR(INDEX(①出口报关!$I$4:$I$303,MATCH(E348,①出口报关!$A$4:$A$303,0)),"")=D348,"一致","SKU与报关单不符"))</f>
        <v/>
      </c>
      <c r="G348" s="45"/>
      <c r="H348" s="45"/>
      <c r="I348" s="31" t="str">
        <f aca="false">IF(AND(G348="",H348=""),"",N(G348)-N(H348))</f>
        <v/>
      </c>
      <c r="J348" s="46"/>
      <c r="K348" s="46"/>
      <c r="L348" s="34" t="str">
        <f aca="false">IF(AND(J348="",K348=""),"",N(J348)-N(K348))</f>
        <v/>
      </c>
      <c r="M348" s="35" t="str">
        <f aca="false">IF(B348="","",IF(COUNTIFS(③回款收汇!$A$4:$A$203,B348,③回款收汇!$R$4:$R$203,"&gt;0")&gt;0,"已收汇","待收汇"))</f>
        <v/>
      </c>
      <c r="N348" s="41"/>
      <c r="O348" s="41"/>
      <c r="P348" s="35" t="str">
        <f aca="true">IF(N348="","",IF(O348="",IF(TODAY()-N348&gt;15,"已超15天未留存","待留存"),IF(O348-N348&lt;=15,"及时","超期")))</f>
        <v/>
      </c>
      <c r="Q348" s="43"/>
    </row>
    <row r="349" customFormat="false" ht="21.75" hidden="false" customHeight="true" outlineLevel="0" collapsed="false">
      <c r="A349" s="49"/>
      <c r="B349" s="48"/>
      <c r="C349" s="43"/>
      <c r="D349" s="44"/>
      <c r="E349" s="44"/>
      <c r="F349" s="36" t="str">
        <f aca="false">IF(OR(D349="",E349=""),"",IF(IFERROR(INDEX(①出口报关!$I$4:$I$303,MATCH(E349,①出口报关!$A$4:$A$303,0)),"")=D349,"一致","SKU与报关单不符"))</f>
        <v/>
      </c>
      <c r="G349" s="45"/>
      <c r="H349" s="45"/>
      <c r="I349" s="31" t="str">
        <f aca="false">IF(AND(G349="",H349=""),"",N(G349)-N(H349))</f>
        <v/>
      </c>
      <c r="J349" s="46"/>
      <c r="K349" s="46"/>
      <c r="L349" s="34" t="str">
        <f aca="false">IF(AND(J349="",K349=""),"",N(J349)-N(K349))</f>
        <v/>
      </c>
      <c r="M349" s="35" t="str">
        <f aca="false">IF(B349="","",IF(COUNTIFS(③回款收汇!$A$4:$A$203,B349,③回款收汇!$R$4:$R$203,"&gt;0")&gt;0,"已收汇","待收汇"))</f>
        <v/>
      </c>
      <c r="N349" s="41"/>
      <c r="O349" s="41"/>
      <c r="P349" s="35" t="str">
        <f aca="true">IF(N349="","",IF(O349="",IF(TODAY()-N349&gt;15,"已超15天未留存","待留存"),IF(O349-N349&lt;=15,"及时","超期")))</f>
        <v/>
      </c>
      <c r="Q349" s="43"/>
    </row>
    <row r="350" customFormat="false" ht="21.75" hidden="false" customHeight="true" outlineLevel="0" collapsed="false">
      <c r="A350" s="49"/>
      <c r="B350" s="48"/>
      <c r="C350" s="43"/>
      <c r="D350" s="44"/>
      <c r="E350" s="44"/>
      <c r="F350" s="36" t="str">
        <f aca="false">IF(OR(D350="",E350=""),"",IF(IFERROR(INDEX(①出口报关!$I$4:$I$303,MATCH(E350,①出口报关!$A$4:$A$303,0)),"")=D350,"一致","SKU与报关单不符"))</f>
        <v/>
      </c>
      <c r="G350" s="45"/>
      <c r="H350" s="45"/>
      <c r="I350" s="31" t="str">
        <f aca="false">IF(AND(G350="",H350=""),"",N(G350)-N(H350))</f>
        <v/>
      </c>
      <c r="J350" s="46"/>
      <c r="K350" s="46"/>
      <c r="L350" s="34" t="str">
        <f aca="false">IF(AND(J350="",K350=""),"",N(J350)-N(K350))</f>
        <v/>
      </c>
      <c r="M350" s="35" t="str">
        <f aca="false">IF(B350="","",IF(COUNTIFS(③回款收汇!$A$4:$A$203,B350,③回款收汇!$R$4:$R$203,"&gt;0")&gt;0,"已收汇","待收汇"))</f>
        <v/>
      </c>
      <c r="N350" s="41"/>
      <c r="O350" s="41"/>
      <c r="P350" s="35" t="str">
        <f aca="true">IF(N350="","",IF(O350="",IF(TODAY()-N350&gt;15,"已超15天未留存","待留存"),IF(O350-N350&lt;=15,"及时","超期")))</f>
        <v/>
      </c>
      <c r="Q350" s="43"/>
    </row>
    <row r="351" customFormat="false" ht="21.75" hidden="false" customHeight="true" outlineLevel="0" collapsed="false">
      <c r="A351" s="49"/>
      <c r="B351" s="48"/>
      <c r="C351" s="43"/>
      <c r="D351" s="44"/>
      <c r="E351" s="44"/>
      <c r="F351" s="36" t="str">
        <f aca="false">IF(OR(D351="",E351=""),"",IF(IFERROR(INDEX(①出口报关!$I$4:$I$303,MATCH(E351,①出口报关!$A$4:$A$303,0)),"")=D351,"一致","SKU与报关单不符"))</f>
        <v/>
      </c>
      <c r="G351" s="45"/>
      <c r="H351" s="45"/>
      <c r="I351" s="31" t="str">
        <f aca="false">IF(AND(G351="",H351=""),"",N(G351)-N(H351))</f>
        <v/>
      </c>
      <c r="J351" s="46"/>
      <c r="K351" s="46"/>
      <c r="L351" s="34" t="str">
        <f aca="false">IF(AND(J351="",K351=""),"",N(J351)-N(K351))</f>
        <v/>
      </c>
      <c r="M351" s="35" t="str">
        <f aca="false">IF(B351="","",IF(COUNTIFS(③回款收汇!$A$4:$A$203,B351,③回款收汇!$R$4:$R$203,"&gt;0")&gt;0,"已收汇","待收汇"))</f>
        <v/>
      </c>
      <c r="N351" s="41"/>
      <c r="O351" s="41"/>
      <c r="P351" s="35" t="str">
        <f aca="true">IF(N351="","",IF(O351="",IF(TODAY()-N351&gt;15,"已超15天未留存","待留存"),IF(O351-N351&lt;=15,"及时","超期")))</f>
        <v/>
      </c>
      <c r="Q351" s="43"/>
    </row>
    <row r="352" customFormat="false" ht="21.75" hidden="false" customHeight="true" outlineLevel="0" collapsed="false">
      <c r="A352" s="49"/>
      <c r="B352" s="48"/>
      <c r="C352" s="43"/>
      <c r="D352" s="44"/>
      <c r="E352" s="44"/>
      <c r="F352" s="36" t="str">
        <f aca="false">IF(OR(D352="",E352=""),"",IF(IFERROR(INDEX(①出口报关!$I$4:$I$303,MATCH(E352,①出口报关!$A$4:$A$303,0)),"")=D352,"一致","SKU与报关单不符"))</f>
        <v/>
      </c>
      <c r="G352" s="45"/>
      <c r="H352" s="45"/>
      <c r="I352" s="31" t="str">
        <f aca="false">IF(AND(G352="",H352=""),"",N(G352)-N(H352))</f>
        <v/>
      </c>
      <c r="J352" s="46"/>
      <c r="K352" s="46"/>
      <c r="L352" s="34" t="str">
        <f aca="false">IF(AND(J352="",K352=""),"",N(J352)-N(K352))</f>
        <v/>
      </c>
      <c r="M352" s="35" t="str">
        <f aca="false">IF(B352="","",IF(COUNTIFS(③回款收汇!$A$4:$A$203,B352,③回款收汇!$R$4:$R$203,"&gt;0")&gt;0,"已收汇","待收汇"))</f>
        <v/>
      </c>
      <c r="N352" s="41"/>
      <c r="O352" s="41"/>
      <c r="P352" s="35" t="str">
        <f aca="true">IF(N352="","",IF(O352="",IF(TODAY()-N352&gt;15,"已超15天未留存","待留存"),IF(O352-N352&lt;=15,"及时","超期")))</f>
        <v/>
      </c>
      <c r="Q352" s="43"/>
    </row>
    <row r="353" customFormat="false" ht="21.75" hidden="false" customHeight="true" outlineLevel="0" collapsed="false">
      <c r="A353" s="49"/>
      <c r="B353" s="48"/>
      <c r="C353" s="43"/>
      <c r="D353" s="44"/>
      <c r="E353" s="44"/>
      <c r="F353" s="36" t="str">
        <f aca="false">IF(OR(D353="",E353=""),"",IF(IFERROR(INDEX(①出口报关!$I$4:$I$303,MATCH(E353,①出口报关!$A$4:$A$303,0)),"")=D353,"一致","SKU与报关单不符"))</f>
        <v/>
      </c>
      <c r="G353" s="45"/>
      <c r="H353" s="45"/>
      <c r="I353" s="31" t="str">
        <f aca="false">IF(AND(G353="",H353=""),"",N(G353)-N(H353))</f>
        <v/>
      </c>
      <c r="J353" s="46"/>
      <c r="K353" s="46"/>
      <c r="L353" s="34" t="str">
        <f aca="false">IF(AND(J353="",K353=""),"",N(J353)-N(K353))</f>
        <v/>
      </c>
      <c r="M353" s="35" t="str">
        <f aca="false">IF(B353="","",IF(COUNTIFS(③回款收汇!$A$4:$A$203,B353,③回款收汇!$R$4:$R$203,"&gt;0")&gt;0,"已收汇","待收汇"))</f>
        <v/>
      </c>
      <c r="N353" s="41"/>
      <c r="O353" s="41"/>
      <c r="P353" s="35" t="str">
        <f aca="true">IF(N353="","",IF(O353="",IF(TODAY()-N353&gt;15,"已超15天未留存","待留存"),IF(O353-N353&lt;=15,"及时","超期")))</f>
        <v/>
      </c>
      <c r="Q353" s="43"/>
    </row>
    <row r="354" customFormat="false" ht="21.75" hidden="false" customHeight="true" outlineLevel="0" collapsed="false">
      <c r="A354" s="49"/>
      <c r="B354" s="48"/>
      <c r="C354" s="43"/>
      <c r="D354" s="44"/>
      <c r="E354" s="44"/>
      <c r="F354" s="36" t="str">
        <f aca="false">IF(OR(D354="",E354=""),"",IF(IFERROR(INDEX(①出口报关!$I$4:$I$303,MATCH(E354,①出口报关!$A$4:$A$303,0)),"")=D354,"一致","SKU与报关单不符"))</f>
        <v/>
      </c>
      <c r="G354" s="45"/>
      <c r="H354" s="45"/>
      <c r="I354" s="31" t="str">
        <f aca="false">IF(AND(G354="",H354=""),"",N(G354)-N(H354))</f>
        <v/>
      </c>
      <c r="J354" s="46"/>
      <c r="K354" s="46"/>
      <c r="L354" s="34" t="str">
        <f aca="false">IF(AND(J354="",K354=""),"",N(J354)-N(K354))</f>
        <v/>
      </c>
      <c r="M354" s="35" t="str">
        <f aca="false">IF(B354="","",IF(COUNTIFS(③回款收汇!$A$4:$A$203,B354,③回款收汇!$R$4:$R$203,"&gt;0")&gt;0,"已收汇","待收汇"))</f>
        <v/>
      </c>
      <c r="N354" s="41"/>
      <c r="O354" s="41"/>
      <c r="P354" s="35" t="str">
        <f aca="true">IF(N354="","",IF(O354="",IF(TODAY()-N354&gt;15,"已超15天未留存","待留存"),IF(O354-N354&lt;=15,"及时","超期")))</f>
        <v/>
      </c>
      <c r="Q354" s="43"/>
    </row>
    <row r="355" customFormat="false" ht="21.75" hidden="false" customHeight="true" outlineLevel="0" collapsed="false">
      <c r="A355" s="49"/>
      <c r="B355" s="48"/>
      <c r="C355" s="43"/>
      <c r="D355" s="44"/>
      <c r="E355" s="44"/>
      <c r="F355" s="36" t="str">
        <f aca="false">IF(OR(D355="",E355=""),"",IF(IFERROR(INDEX(①出口报关!$I$4:$I$303,MATCH(E355,①出口报关!$A$4:$A$303,0)),"")=D355,"一致","SKU与报关单不符"))</f>
        <v/>
      </c>
      <c r="G355" s="45"/>
      <c r="H355" s="45"/>
      <c r="I355" s="31" t="str">
        <f aca="false">IF(AND(G355="",H355=""),"",N(G355)-N(H355))</f>
        <v/>
      </c>
      <c r="J355" s="46"/>
      <c r="K355" s="46"/>
      <c r="L355" s="34" t="str">
        <f aca="false">IF(AND(J355="",K355=""),"",N(J355)-N(K355))</f>
        <v/>
      </c>
      <c r="M355" s="35" t="str">
        <f aca="false">IF(B355="","",IF(COUNTIFS(③回款收汇!$A$4:$A$203,B355,③回款收汇!$R$4:$R$203,"&gt;0")&gt;0,"已收汇","待收汇"))</f>
        <v/>
      </c>
      <c r="N355" s="41"/>
      <c r="O355" s="41"/>
      <c r="P355" s="35" t="str">
        <f aca="true">IF(N355="","",IF(O355="",IF(TODAY()-N355&gt;15,"已超15天未留存","待留存"),IF(O355-N355&lt;=15,"及时","超期")))</f>
        <v/>
      </c>
      <c r="Q355" s="43"/>
    </row>
    <row r="356" customFormat="false" ht="21.75" hidden="false" customHeight="true" outlineLevel="0" collapsed="false">
      <c r="A356" s="49"/>
      <c r="B356" s="48"/>
      <c r="C356" s="43"/>
      <c r="D356" s="44"/>
      <c r="E356" s="44"/>
      <c r="F356" s="36" t="str">
        <f aca="false">IF(OR(D356="",E356=""),"",IF(IFERROR(INDEX(①出口报关!$I$4:$I$303,MATCH(E356,①出口报关!$A$4:$A$303,0)),"")=D356,"一致","SKU与报关单不符"))</f>
        <v/>
      </c>
      <c r="G356" s="45"/>
      <c r="H356" s="45"/>
      <c r="I356" s="31" t="str">
        <f aca="false">IF(AND(G356="",H356=""),"",N(G356)-N(H356))</f>
        <v/>
      </c>
      <c r="J356" s="46"/>
      <c r="K356" s="46"/>
      <c r="L356" s="34" t="str">
        <f aca="false">IF(AND(J356="",K356=""),"",N(J356)-N(K356))</f>
        <v/>
      </c>
      <c r="M356" s="35" t="str">
        <f aca="false">IF(B356="","",IF(COUNTIFS(③回款收汇!$A$4:$A$203,B356,③回款收汇!$R$4:$R$203,"&gt;0")&gt;0,"已收汇","待收汇"))</f>
        <v/>
      </c>
      <c r="N356" s="41"/>
      <c r="O356" s="41"/>
      <c r="P356" s="35" t="str">
        <f aca="true">IF(N356="","",IF(O356="",IF(TODAY()-N356&gt;15,"已超15天未留存","待留存"),IF(O356-N356&lt;=15,"及时","超期")))</f>
        <v/>
      </c>
      <c r="Q356" s="43"/>
    </row>
    <row r="357" customFormat="false" ht="21.75" hidden="false" customHeight="true" outlineLevel="0" collapsed="false">
      <c r="A357" s="49"/>
      <c r="B357" s="48"/>
      <c r="C357" s="43"/>
      <c r="D357" s="44"/>
      <c r="E357" s="44"/>
      <c r="F357" s="36" t="str">
        <f aca="false">IF(OR(D357="",E357=""),"",IF(IFERROR(INDEX(①出口报关!$I$4:$I$303,MATCH(E357,①出口报关!$A$4:$A$303,0)),"")=D357,"一致","SKU与报关单不符"))</f>
        <v/>
      </c>
      <c r="G357" s="45"/>
      <c r="H357" s="45"/>
      <c r="I357" s="31" t="str">
        <f aca="false">IF(AND(G357="",H357=""),"",N(G357)-N(H357))</f>
        <v/>
      </c>
      <c r="J357" s="46"/>
      <c r="K357" s="46"/>
      <c r="L357" s="34" t="str">
        <f aca="false">IF(AND(J357="",K357=""),"",N(J357)-N(K357))</f>
        <v/>
      </c>
      <c r="M357" s="35" t="str">
        <f aca="false">IF(B357="","",IF(COUNTIFS(③回款收汇!$A$4:$A$203,B357,③回款收汇!$R$4:$R$203,"&gt;0")&gt;0,"已收汇","待收汇"))</f>
        <v/>
      </c>
      <c r="N357" s="41"/>
      <c r="O357" s="41"/>
      <c r="P357" s="35" t="str">
        <f aca="true">IF(N357="","",IF(O357="",IF(TODAY()-N357&gt;15,"已超15天未留存","待留存"),IF(O357-N357&lt;=15,"及时","超期")))</f>
        <v/>
      </c>
      <c r="Q357" s="43"/>
    </row>
    <row r="358" customFormat="false" ht="21.75" hidden="false" customHeight="true" outlineLevel="0" collapsed="false">
      <c r="A358" s="49"/>
      <c r="B358" s="48"/>
      <c r="C358" s="43"/>
      <c r="D358" s="44"/>
      <c r="E358" s="44"/>
      <c r="F358" s="36" t="str">
        <f aca="false">IF(OR(D358="",E358=""),"",IF(IFERROR(INDEX(①出口报关!$I$4:$I$303,MATCH(E358,①出口报关!$A$4:$A$303,0)),"")=D358,"一致","SKU与报关单不符"))</f>
        <v/>
      </c>
      <c r="G358" s="45"/>
      <c r="H358" s="45"/>
      <c r="I358" s="31" t="str">
        <f aca="false">IF(AND(G358="",H358=""),"",N(G358)-N(H358))</f>
        <v/>
      </c>
      <c r="J358" s="46"/>
      <c r="K358" s="46"/>
      <c r="L358" s="34" t="str">
        <f aca="false">IF(AND(J358="",K358=""),"",N(J358)-N(K358))</f>
        <v/>
      </c>
      <c r="M358" s="35" t="str">
        <f aca="false">IF(B358="","",IF(COUNTIFS(③回款收汇!$A$4:$A$203,B358,③回款收汇!$R$4:$R$203,"&gt;0")&gt;0,"已收汇","待收汇"))</f>
        <v/>
      </c>
      <c r="N358" s="41"/>
      <c r="O358" s="41"/>
      <c r="P358" s="35" t="str">
        <f aca="true">IF(N358="","",IF(O358="",IF(TODAY()-N358&gt;15,"已超15天未留存","待留存"),IF(O358-N358&lt;=15,"及时","超期")))</f>
        <v/>
      </c>
      <c r="Q358" s="43"/>
    </row>
    <row r="359" customFormat="false" ht="21.75" hidden="false" customHeight="true" outlineLevel="0" collapsed="false">
      <c r="A359" s="49"/>
      <c r="B359" s="48"/>
      <c r="C359" s="43"/>
      <c r="D359" s="44"/>
      <c r="E359" s="44"/>
      <c r="F359" s="36" t="str">
        <f aca="false">IF(OR(D359="",E359=""),"",IF(IFERROR(INDEX(①出口报关!$I$4:$I$303,MATCH(E359,①出口报关!$A$4:$A$303,0)),"")=D359,"一致","SKU与报关单不符"))</f>
        <v/>
      </c>
      <c r="G359" s="45"/>
      <c r="H359" s="45"/>
      <c r="I359" s="31" t="str">
        <f aca="false">IF(AND(G359="",H359=""),"",N(G359)-N(H359))</f>
        <v/>
      </c>
      <c r="J359" s="46"/>
      <c r="K359" s="46"/>
      <c r="L359" s="34" t="str">
        <f aca="false">IF(AND(J359="",K359=""),"",N(J359)-N(K359))</f>
        <v/>
      </c>
      <c r="M359" s="35" t="str">
        <f aca="false">IF(B359="","",IF(COUNTIFS(③回款收汇!$A$4:$A$203,B359,③回款收汇!$R$4:$R$203,"&gt;0")&gt;0,"已收汇","待收汇"))</f>
        <v/>
      </c>
      <c r="N359" s="41"/>
      <c r="O359" s="41"/>
      <c r="P359" s="35" t="str">
        <f aca="true">IF(N359="","",IF(O359="",IF(TODAY()-N359&gt;15,"已超15天未留存","待留存"),IF(O359-N359&lt;=15,"及时","超期")))</f>
        <v/>
      </c>
      <c r="Q359" s="43"/>
    </row>
    <row r="360" customFormat="false" ht="21.75" hidden="false" customHeight="true" outlineLevel="0" collapsed="false">
      <c r="A360" s="49"/>
      <c r="B360" s="48"/>
      <c r="C360" s="43"/>
      <c r="D360" s="44"/>
      <c r="E360" s="44"/>
      <c r="F360" s="36" t="str">
        <f aca="false">IF(OR(D360="",E360=""),"",IF(IFERROR(INDEX(①出口报关!$I$4:$I$303,MATCH(E360,①出口报关!$A$4:$A$303,0)),"")=D360,"一致","SKU与报关单不符"))</f>
        <v/>
      </c>
      <c r="G360" s="45"/>
      <c r="H360" s="45"/>
      <c r="I360" s="31" t="str">
        <f aca="false">IF(AND(G360="",H360=""),"",N(G360)-N(H360))</f>
        <v/>
      </c>
      <c r="J360" s="46"/>
      <c r="K360" s="46"/>
      <c r="L360" s="34" t="str">
        <f aca="false">IF(AND(J360="",K360=""),"",N(J360)-N(K360))</f>
        <v/>
      </c>
      <c r="M360" s="35" t="str">
        <f aca="false">IF(B360="","",IF(COUNTIFS(③回款收汇!$A$4:$A$203,B360,③回款收汇!$R$4:$R$203,"&gt;0")&gt;0,"已收汇","待收汇"))</f>
        <v/>
      </c>
      <c r="N360" s="41"/>
      <c r="O360" s="41"/>
      <c r="P360" s="35" t="str">
        <f aca="true">IF(N360="","",IF(O360="",IF(TODAY()-N360&gt;15,"已超15天未留存","待留存"),IF(O360-N360&lt;=15,"及时","超期")))</f>
        <v/>
      </c>
      <c r="Q360" s="43"/>
    </row>
    <row r="361" customFormat="false" ht="21.75" hidden="false" customHeight="true" outlineLevel="0" collapsed="false">
      <c r="A361" s="49"/>
      <c r="B361" s="48"/>
      <c r="C361" s="43"/>
      <c r="D361" s="44"/>
      <c r="E361" s="44"/>
      <c r="F361" s="36" t="str">
        <f aca="false">IF(OR(D361="",E361=""),"",IF(IFERROR(INDEX(①出口报关!$I$4:$I$303,MATCH(E361,①出口报关!$A$4:$A$303,0)),"")=D361,"一致","SKU与报关单不符"))</f>
        <v/>
      </c>
      <c r="G361" s="45"/>
      <c r="H361" s="45"/>
      <c r="I361" s="31" t="str">
        <f aca="false">IF(AND(G361="",H361=""),"",N(G361)-N(H361))</f>
        <v/>
      </c>
      <c r="J361" s="46"/>
      <c r="K361" s="46"/>
      <c r="L361" s="34" t="str">
        <f aca="false">IF(AND(J361="",K361=""),"",N(J361)-N(K361))</f>
        <v/>
      </c>
      <c r="M361" s="35" t="str">
        <f aca="false">IF(B361="","",IF(COUNTIFS(③回款收汇!$A$4:$A$203,B361,③回款收汇!$R$4:$R$203,"&gt;0")&gt;0,"已收汇","待收汇"))</f>
        <v/>
      </c>
      <c r="N361" s="41"/>
      <c r="O361" s="41"/>
      <c r="P361" s="35" t="str">
        <f aca="true">IF(N361="","",IF(O361="",IF(TODAY()-N361&gt;15,"已超15天未留存","待留存"),IF(O361-N361&lt;=15,"及时","超期")))</f>
        <v/>
      </c>
      <c r="Q361" s="43"/>
    </row>
    <row r="362" customFormat="false" ht="21.75" hidden="false" customHeight="true" outlineLevel="0" collapsed="false">
      <c r="A362" s="49"/>
      <c r="B362" s="48"/>
      <c r="C362" s="43"/>
      <c r="D362" s="44"/>
      <c r="E362" s="44"/>
      <c r="F362" s="36" t="str">
        <f aca="false">IF(OR(D362="",E362=""),"",IF(IFERROR(INDEX(①出口报关!$I$4:$I$303,MATCH(E362,①出口报关!$A$4:$A$303,0)),"")=D362,"一致","SKU与报关单不符"))</f>
        <v/>
      </c>
      <c r="G362" s="45"/>
      <c r="H362" s="45"/>
      <c r="I362" s="31" t="str">
        <f aca="false">IF(AND(G362="",H362=""),"",N(G362)-N(H362))</f>
        <v/>
      </c>
      <c r="J362" s="46"/>
      <c r="K362" s="46"/>
      <c r="L362" s="34" t="str">
        <f aca="false">IF(AND(J362="",K362=""),"",N(J362)-N(K362))</f>
        <v/>
      </c>
      <c r="M362" s="35" t="str">
        <f aca="false">IF(B362="","",IF(COUNTIFS(③回款收汇!$A$4:$A$203,B362,③回款收汇!$R$4:$R$203,"&gt;0")&gt;0,"已收汇","待收汇"))</f>
        <v/>
      </c>
      <c r="N362" s="41"/>
      <c r="O362" s="41"/>
      <c r="P362" s="35" t="str">
        <f aca="true">IF(N362="","",IF(O362="",IF(TODAY()-N362&gt;15,"已超15天未留存","待留存"),IF(O362-N362&lt;=15,"及时","超期")))</f>
        <v/>
      </c>
      <c r="Q362" s="43"/>
    </row>
    <row r="363" customFormat="false" ht="21.75" hidden="false" customHeight="true" outlineLevel="0" collapsed="false">
      <c r="A363" s="49"/>
      <c r="B363" s="48"/>
      <c r="C363" s="43"/>
      <c r="D363" s="44"/>
      <c r="E363" s="44"/>
      <c r="F363" s="36" t="str">
        <f aca="false">IF(OR(D363="",E363=""),"",IF(IFERROR(INDEX(①出口报关!$I$4:$I$303,MATCH(E363,①出口报关!$A$4:$A$303,0)),"")=D363,"一致","SKU与报关单不符"))</f>
        <v/>
      </c>
      <c r="G363" s="45"/>
      <c r="H363" s="45"/>
      <c r="I363" s="31" t="str">
        <f aca="false">IF(AND(G363="",H363=""),"",N(G363)-N(H363))</f>
        <v/>
      </c>
      <c r="J363" s="46"/>
      <c r="K363" s="46"/>
      <c r="L363" s="34" t="str">
        <f aca="false">IF(AND(J363="",K363=""),"",N(J363)-N(K363))</f>
        <v/>
      </c>
      <c r="M363" s="35" t="str">
        <f aca="false">IF(B363="","",IF(COUNTIFS(③回款收汇!$A$4:$A$203,B363,③回款收汇!$R$4:$R$203,"&gt;0")&gt;0,"已收汇","待收汇"))</f>
        <v/>
      </c>
      <c r="N363" s="41"/>
      <c r="O363" s="41"/>
      <c r="P363" s="35" t="str">
        <f aca="true">IF(N363="","",IF(O363="",IF(TODAY()-N363&gt;15,"已超15天未留存","待留存"),IF(O363-N363&lt;=15,"及时","超期")))</f>
        <v/>
      </c>
      <c r="Q363" s="43"/>
    </row>
    <row r="364" customFormat="false" ht="21.75" hidden="false" customHeight="true" outlineLevel="0" collapsed="false">
      <c r="A364" s="49"/>
      <c r="B364" s="48"/>
      <c r="C364" s="43"/>
      <c r="D364" s="44"/>
      <c r="E364" s="44"/>
      <c r="F364" s="36" t="str">
        <f aca="false">IF(OR(D364="",E364=""),"",IF(IFERROR(INDEX(①出口报关!$I$4:$I$303,MATCH(E364,①出口报关!$A$4:$A$303,0)),"")=D364,"一致","SKU与报关单不符"))</f>
        <v/>
      </c>
      <c r="G364" s="45"/>
      <c r="H364" s="45"/>
      <c r="I364" s="31" t="str">
        <f aca="false">IF(AND(G364="",H364=""),"",N(G364)-N(H364))</f>
        <v/>
      </c>
      <c r="J364" s="46"/>
      <c r="K364" s="46"/>
      <c r="L364" s="34" t="str">
        <f aca="false">IF(AND(J364="",K364=""),"",N(J364)-N(K364))</f>
        <v/>
      </c>
      <c r="M364" s="35" t="str">
        <f aca="false">IF(B364="","",IF(COUNTIFS(③回款收汇!$A$4:$A$203,B364,③回款收汇!$R$4:$R$203,"&gt;0")&gt;0,"已收汇","待收汇"))</f>
        <v/>
      </c>
      <c r="N364" s="41"/>
      <c r="O364" s="41"/>
      <c r="P364" s="35" t="str">
        <f aca="true">IF(N364="","",IF(O364="",IF(TODAY()-N364&gt;15,"已超15天未留存","待留存"),IF(O364-N364&lt;=15,"及时","超期")))</f>
        <v/>
      </c>
      <c r="Q364" s="43"/>
    </row>
    <row r="365" customFormat="false" ht="21.75" hidden="false" customHeight="true" outlineLevel="0" collapsed="false">
      <c r="A365" s="49"/>
      <c r="B365" s="48"/>
      <c r="C365" s="43"/>
      <c r="D365" s="44"/>
      <c r="E365" s="44"/>
      <c r="F365" s="36" t="str">
        <f aca="false">IF(OR(D365="",E365=""),"",IF(IFERROR(INDEX(①出口报关!$I$4:$I$303,MATCH(E365,①出口报关!$A$4:$A$303,0)),"")=D365,"一致","SKU与报关单不符"))</f>
        <v/>
      </c>
      <c r="G365" s="45"/>
      <c r="H365" s="45"/>
      <c r="I365" s="31" t="str">
        <f aca="false">IF(AND(G365="",H365=""),"",N(G365)-N(H365))</f>
        <v/>
      </c>
      <c r="J365" s="46"/>
      <c r="K365" s="46"/>
      <c r="L365" s="34" t="str">
        <f aca="false">IF(AND(J365="",K365=""),"",N(J365)-N(K365))</f>
        <v/>
      </c>
      <c r="M365" s="35" t="str">
        <f aca="false">IF(B365="","",IF(COUNTIFS(③回款收汇!$A$4:$A$203,B365,③回款收汇!$R$4:$R$203,"&gt;0")&gt;0,"已收汇","待收汇"))</f>
        <v/>
      </c>
      <c r="N365" s="41"/>
      <c r="O365" s="41"/>
      <c r="P365" s="35" t="str">
        <f aca="true">IF(N365="","",IF(O365="",IF(TODAY()-N365&gt;15,"已超15天未留存","待留存"),IF(O365-N365&lt;=15,"及时","超期")))</f>
        <v/>
      </c>
      <c r="Q365" s="43"/>
    </row>
    <row r="366" customFormat="false" ht="21.75" hidden="false" customHeight="true" outlineLevel="0" collapsed="false">
      <c r="A366" s="49"/>
      <c r="B366" s="48"/>
      <c r="C366" s="43"/>
      <c r="D366" s="44"/>
      <c r="E366" s="44"/>
      <c r="F366" s="36" t="str">
        <f aca="false">IF(OR(D366="",E366=""),"",IF(IFERROR(INDEX(①出口报关!$I$4:$I$303,MATCH(E366,①出口报关!$A$4:$A$303,0)),"")=D366,"一致","SKU与报关单不符"))</f>
        <v/>
      </c>
      <c r="G366" s="45"/>
      <c r="H366" s="45"/>
      <c r="I366" s="31" t="str">
        <f aca="false">IF(AND(G366="",H366=""),"",N(G366)-N(H366))</f>
        <v/>
      </c>
      <c r="J366" s="46"/>
      <c r="K366" s="46"/>
      <c r="L366" s="34" t="str">
        <f aca="false">IF(AND(J366="",K366=""),"",N(J366)-N(K366))</f>
        <v/>
      </c>
      <c r="M366" s="35" t="str">
        <f aca="false">IF(B366="","",IF(COUNTIFS(③回款收汇!$A$4:$A$203,B366,③回款收汇!$R$4:$R$203,"&gt;0")&gt;0,"已收汇","待收汇"))</f>
        <v/>
      </c>
      <c r="N366" s="41"/>
      <c r="O366" s="41"/>
      <c r="P366" s="35" t="str">
        <f aca="true">IF(N366="","",IF(O366="",IF(TODAY()-N366&gt;15,"已超15天未留存","待留存"),IF(O366-N366&lt;=15,"及时","超期")))</f>
        <v/>
      </c>
      <c r="Q366" s="43"/>
    </row>
    <row r="367" customFormat="false" ht="21.75" hidden="false" customHeight="true" outlineLevel="0" collapsed="false">
      <c r="A367" s="49"/>
      <c r="B367" s="48"/>
      <c r="C367" s="43"/>
      <c r="D367" s="44"/>
      <c r="E367" s="44"/>
      <c r="F367" s="36" t="str">
        <f aca="false">IF(OR(D367="",E367=""),"",IF(IFERROR(INDEX(①出口报关!$I$4:$I$303,MATCH(E367,①出口报关!$A$4:$A$303,0)),"")=D367,"一致","SKU与报关单不符"))</f>
        <v/>
      </c>
      <c r="G367" s="45"/>
      <c r="H367" s="45"/>
      <c r="I367" s="31" t="str">
        <f aca="false">IF(AND(G367="",H367=""),"",N(G367)-N(H367))</f>
        <v/>
      </c>
      <c r="J367" s="46"/>
      <c r="K367" s="46"/>
      <c r="L367" s="34" t="str">
        <f aca="false">IF(AND(J367="",K367=""),"",N(J367)-N(K367))</f>
        <v/>
      </c>
      <c r="M367" s="35" t="str">
        <f aca="false">IF(B367="","",IF(COUNTIFS(③回款收汇!$A$4:$A$203,B367,③回款收汇!$R$4:$R$203,"&gt;0")&gt;0,"已收汇","待收汇"))</f>
        <v/>
      </c>
      <c r="N367" s="41"/>
      <c r="O367" s="41"/>
      <c r="P367" s="35" t="str">
        <f aca="true">IF(N367="","",IF(O367="",IF(TODAY()-N367&gt;15,"已超15天未留存","待留存"),IF(O367-N367&lt;=15,"及时","超期")))</f>
        <v/>
      </c>
      <c r="Q367" s="43"/>
    </row>
    <row r="368" customFormat="false" ht="21.75" hidden="false" customHeight="true" outlineLevel="0" collapsed="false">
      <c r="A368" s="49"/>
      <c r="B368" s="48"/>
      <c r="C368" s="43"/>
      <c r="D368" s="44"/>
      <c r="E368" s="44"/>
      <c r="F368" s="36" t="str">
        <f aca="false">IF(OR(D368="",E368=""),"",IF(IFERROR(INDEX(①出口报关!$I$4:$I$303,MATCH(E368,①出口报关!$A$4:$A$303,0)),"")=D368,"一致","SKU与报关单不符"))</f>
        <v/>
      </c>
      <c r="G368" s="45"/>
      <c r="H368" s="45"/>
      <c r="I368" s="31" t="str">
        <f aca="false">IF(AND(G368="",H368=""),"",N(G368)-N(H368))</f>
        <v/>
      </c>
      <c r="J368" s="46"/>
      <c r="K368" s="46"/>
      <c r="L368" s="34" t="str">
        <f aca="false">IF(AND(J368="",K368=""),"",N(J368)-N(K368))</f>
        <v/>
      </c>
      <c r="M368" s="35" t="str">
        <f aca="false">IF(B368="","",IF(COUNTIFS(③回款收汇!$A$4:$A$203,B368,③回款收汇!$R$4:$R$203,"&gt;0")&gt;0,"已收汇","待收汇"))</f>
        <v/>
      </c>
      <c r="N368" s="41"/>
      <c r="O368" s="41"/>
      <c r="P368" s="35" t="str">
        <f aca="true">IF(N368="","",IF(O368="",IF(TODAY()-N368&gt;15,"已超15天未留存","待留存"),IF(O368-N368&lt;=15,"及时","超期")))</f>
        <v/>
      </c>
      <c r="Q368" s="43"/>
    </row>
    <row r="369" customFormat="false" ht="21.75" hidden="false" customHeight="true" outlineLevel="0" collapsed="false">
      <c r="A369" s="49"/>
      <c r="B369" s="48"/>
      <c r="C369" s="43"/>
      <c r="D369" s="44"/>
      <c r="E369" s="44"/>
      <c r="F369" s="36" t="str">
        <f aca="false">IF(OR(D369="",E369=""),"",IF(IFERROR(INDEX(①出口报关!$I$4:$I$303,MATCH(E369,①出口报关!$A$4:$A$303,0)),"")=D369,"一致","SKU与报关单不符"))</f>
        <v/>
      </c>
      <c r="G369" s="45"/>
      <c r="H369" s="45"/>
      <c r="I369" s="31" t="str">
        <f aca="false">IF(AND(G369="",H369=""),"",N(G369)-N(H369))</f>
        <v/>
      </c>
      <c r="J369" s="46"/>
      <c r="K369" s="46"/>
      <c r="L369" s="34" t="str">
        <f aca="false">IF(AND(J369="",K369=""),"",N(J369)-N(K369))</f>
        <v/>
      </c>
      <c r="M369" s="35" t="str">
        <f aca="false">IF(B369="","",IF(COUNTIFS(③回款收汇!$A$4:$A$203,B369,③回款收汇!$R$4:$R$203,"&gt;0")&gt;0,"已收汇","待收汇"))</f>
        <v/>
      </c>
      <c r="N369" s="41"/>
      <c r="O369" s="41"/>
      <c r="P369" s="35" t="str">
        <f aca="true">IF(N369="","",IF(O369="",IF(TODAY()-N369&gt;15,"已超15天未留存","待留存"),IF(O369-N369&lt;=15,"及时","超期")))</f>
        <v/>
      </c>
      <c r="Q369" s="43"/>
    </row>
    <row r="370" customFormat="false" ht="21.75" hidden="false" customHeight="true" outlineLevel="0" collapsed="false">
      <c r="A370" s="49"/>
      <c r="B370" s="48"/>
      <c r="C370" s="43"/>
      <c r="D370" s="44"/>
      <c r="E370" s="44"/>
      <c r="F370" s="36" t="str">
        <f aca="false">IF(OR(D370="",E370=""),"",IF(IFERROR(INDEX(①出口报关!$I$4:$I$303,MATCH(E370,①出口报关!$A$4:$A$303,0)),"")=D370,"一致","SKU与报关单不符"))</f>
        <v/>
      </c>
      <c r="G370" s="45"/>
      <c r="H370" s="45"/>
      <c r="I370" s="31" t="str">
        <f aca="false">IF(AND(G370="",H370=""),"",N(G370)-N(H370))</f>
        <v/>
      </c>
      <c r="J370" s="46"/>
      <c r="K370" s="46"/>
      <c r="L370" s="34" t="str">
        <f aca="false">IF(AND(J370="",K370=""),"",N(J370)-N(K370))</f>
        <v/>
      </c>
      <c r="M370" s="35" t="str">
        <f aca="false">IF(B370="","",IF(COUNTIFS(③回款收汇!$A$4:$A$203,B370,③回款收汇!$R$4:$R$203,"&gt;0")&gt;0,"已收汇","待收汇"))</f>
        <v/>
      </c>
      <c r="N370" s="41"/>
      <c r="O370" s="41"/>
      <c r="P370" s="35" t="str">
        <f aca="true">IF(N370="","",IF(O370="",IF(TODAY()-N370&gt;15,"已超15天未留存","待留存"),IF(O370-N370&lt;=15,"及时","超期")))</f>
        <v/>
      </c>
      <c r="Q370" s="43"/>
    </row>
    <row r="371" customFormat="false" ht="21.75" hidden="false" customHeight="true" outlineLevel="0" collapsed="false">
      <c r="A371" s="49"/>
      <c r="B371" s="48"/>
      <c r="C371" s="43"/>
      <c r="D371" s="44"/>
      <c r="E371" s="44"/>
      <c r="F371" s="36" t="str">
        <f aca="false">IF(OR(D371="",E371=""),"",IF(IFERROR(INDEX(①出口报关!$I$4:$I$303,MATCH(E371,①出口报关!$A$4:$A$303,0)),"")=D371,"一致","SKU与报关单不符"))</f>
        <v/>
      </c>
      <c r="G371" s="45"/>
      <c r="H371" s="45"/>
      <c r="I371" s="31" t="str">
        <f aca="false">IF(AND(G371="",H371=""),"",N(G371)-N(H371))</f>
        <v/>
      </c>
      <c r="J371" s="46"/>
      <c r="K371" s="46"/>
      <c r="L371" s="34" t="str">
        <f aca="false">IF(AND(J371="",K371=""),"",N(J371)-N(K371))</f>
        <v/>
      </c>
      <c r="M371" s="35" t="str">
        <f aca="false">IF(B371="","",IF(COUNTIFS(③回款收汇!$A$4:$A$203,B371,③回款收汇!$R$4:$R$203,"&gt;0")&gt;0,"已收汇","待收汇"))</f>
        <v/>
      </c>
      <c r="N371" s="41"/>
      <c r="O371" s="41"/>
      <c r="P371" s="35" t="str">
        <f aca="true">IF(N371="","",IF(O371="",IF(TODAY()-N371&gt;15,"已超15天未留存","待留存"),IF(O371-N371&lt;=15,"及时","超期")))</f>
        <v/>
      </c>
      <c r="Q371" s="43"/>
    </row>
    <row r="372" customFormat="false" ht="21.75" hidden="false" customHeight="true" outlineLevel="0" collapsed="false">
      <c r="A372" s="49"/>
      <c r="B372" s="48"/>
      <c r="C372" s="43"/>
      <c r="D372" s="44"/>
      <c r="E372" s="44"/>
      <c r="F372" s="36" t="str">
        <f aca="false">IF(OR(D372="",E372=""),"",IF(IFERROR(INDEX(①出口报关!$I$4:$I$303,MATCH(E372,①出口报关!$A$4:$A$303,0)),"")=D372,"一致","SKU与报关单不符"))</f>
        <v/>
      </c>
      <c r="G372" s="45"/>
      <c r="H372" s="45"/>
      <c r="I372" s="31" t="str">
        <f aca="false">IF(AND(G372="",H372=""),"",N(G372)-N(H372))</f>
        <v/>
      </c>
      <c r="J372" s="46"/>
      <c r="K372" s="46"/>
      <c r="L372" s="34" t="str">
        <f aca="false">IF(AND(J372="",K372=""),"",N(J372)-N(K372))</f>
        <v/>
      </c>
      <c r="M372" s="35" t="str">
        <f aca="false">IF(B372="","",IF(COUNTIFS(③回款收汇!$A$4:$A$203,B372,③回款收汇!$R$4:$R$203,"&gt;0")&gt;0,"已收汇","待收汇"))</f>
        <v/>
      </c>
      <c r="N372" s="41"/>
      <c r="O372" s="41"/>
      <c r="P372" s="35" t="str">
        <f aca="true">IF(N372="","",IF(O372="",IF(TODAY()-N372&gt;15,"已超15天未留存","待留存"),IF(O372-N372&lt;=15,"及时","超期")))</f>
        <v/>
      </c>
      <c r="Q372" s="43"/>
    </row>
    <row r="373" customFormat="false" ht="21.75" hidden="false" customHeight="true" outlineLevel="0" collapsed="false">
      <c r="A373" s="49"/>
      <c r="B373" s="48"/>
      <c r="C373" s="43"/>
      <c r="D373" s="44"/>
      <c r="E373" s="44"/>
      <c r="F373" s="36" t="str">
        <f aca="false">IF(OR(D373="",E373=""),"",IF(IFERROR(INDEX(①出口报关!$I$4:$I$303,MATCH(E373,①出口报关!$A$4:$A$303,0)),"")=D373,"一致","SKU与报关单不符"))</f>
        <v/>
      </c>
      <c r="G373" s="45"/>
      <c r="H373" s="45"/>
      <c r="I373" s="31" t="str">
        <f aca="false">IF(AND(G373="",H373=""),"",N(G373)-N(H373))</f>
        <v/>
      </c>
      <c r="J373" s="46"/>
      <c r="K373" s="46"/>
      <c r="L373" s="34" t="str">
        <f aca="false">IF(AND(J373="",K373=""),"",N(J373)-N(K373))</f>
        <v/>
      </c>
      <c r="M373" s="35" t="str">
        <f aca="false">IF(B373="","",IF(COUNTIFS(③回款收汇!$A$4:$A$203,B373,③回款收汇!$R$4:$R$203,"&gt;0")&gt;0,"已收汇","待收汇"))</f>
        <v/>
      </c>
      <c r="N373" s="41"/>
      <c r="O373" s="41"/>
      <c r="P373" s="35" t="str">
        <f aca="true">IF(N373="","",IF(O373="",IF(TODAY()-N373&gt;15,"已超15天未留存","待留存"),IF(O373-N373&lt;=15,"及时","超期")))</f>
        <v/>
      </c>
      <c r="Q373" s="43"/>
    </row>
    <row r="374" customFormat="false" ht="21.75" hidden="false" customHeight="true" outlineLevel="0" collapsed="false">
      <c r="A374" s="49"/>
      <c r="B374" s="48"/>
      <c r="C374" s="43"/>
      <c r="D374" s="44"/>
      <c r="E374" s="44"/>
      <c r="F374" s="36" t="str">
        <f aca="false">IF(OR(D374="",E374=""),"",IF(IFERROR(INDEX(①出口报关!$I$4:$I$303,MATCH(E374,①出口报关!$A$4:$A$303,0)),"")=D374,"一致","SKU与报关单不符"))</f>
        <v/>
      </c>
      <c r="G374" s="45"/>
      <c r="H374" s="45"/>
      <c r="I374" s="31" t="str">
        <f aca="false">IF(AND(G374="",H374=""),"",N(G374)-N(H374))</f>
        <v/>
      </c>
      <c r="J374" s="46"/>
      <c r="K374" s="46"/>
      <c r="L374" s="34" t="str">
        <f aca="false">IF(AND(J374="",K374=""),"",N(J374)-N(K374))</f>
        <v/>
      </c>
      <c r="M374" s="35" t="str">
        <f aca="false">IF(B374="","",IF(COUNTIFS(③回款收汇!$A$4:$A$203,B374,③回款收汇!$R$4:$R$203,"&gt;0")&gt;0,"已收汇","待收汇"))</f>
        <v/>
      </c>
      <c r="N374" s="41"/>
      <c r="O374" s="41"/>
      <c r="P374" s="35" t="str">
        <f aca="true">IF(N374="","",IF(O374="",IF(TODAY()-N374&gt;15,"已超15天未留存","待留存"),IF(O374-N374&lt;=15,"及时","超期")))</f>
        <v/>
      </c>
      <c r="Q374" s="43"/>
    </row>
    <row r="375" customFormat="false" ht="21.75" hidden="false" customHeight="true" outlineLevel="0" collapsed="false">
      <c r="A375" s="49"/>
      <c r="B375" s="48"/>
      <c r="C375" s="43"/>
      <c r="D375" s="44"/>
      <c r="E375" s="44"/>
      <c r="F375" s="36" t="str">
        <f aca="false">IF(OR(D375="",E375=""),"",IF(IFERROR(INDEX(①出口报关!$I$4:$I$303,MATCH(E375,①出口报关!$A$4:$A$303,0)),"")=D375,"一致","SKU与报关单不符"))</f>
        <v/>
      </c>
      <c r="G375" s="45"/>
      <c r="H375" s="45"/>
      <c r="I375" s="31" t="str">
        <f aca="false">IF(AND(G375="",H375=""),"",N(G375)-N(H375))</f>
        <v/>
      </c>
      <c r="J375" s="46"/>
      <c r="K375" s="46"/>
      <c r="L375" s="34" t="str">
        <f aca="false">IF(AND(J375="",K375=""),"",N(J375)-N(K375))</f>
        <v/>
      </c>
      <c r="M375" s="35" t="str">
        <f aca="false">IF(B375="","",IF(COUNTIFS(③回款收汇!$A$4:$A$203,B375,③回款收汇!$R$4:$R$203,"&gt;0")&gt;0,"已收汇","待收汇"))</f>
        <v/>
      </c>
      <c r="N375" s="41"/>
      <c r="O375" s="41"/>
      <c r="P375" s="35" t="str">
        <f aca="true">IF(N375="","",IF(O375="",IF(TODAY()-N375&gt;15,"已超15天未留存","待留存"),IF(O375-N375&lt;=15,"及时","超期")))</f>
        <v/>
      </c>
      <c r="Q375" s="43"/>
    </row>
    <row r="376" customFormat="false" ht="21.75" hidden="false" customHeight="true" outlineLevel="0" collapsed="false">
      <c r="A376" s="49"/>
      <c r="B376" s="48"/>
      <c r="C376" s="43"/>
      <c r="D376" s="44"/>
      <c r="E376" s="44"/>
      <c r="F376" s="36" t="str">
        <f aca="false">IF(OR(D376="",E376=""),"",IF(IFERROR(INDEX(①出口报关!$I$4:$I$303,MATCH(E376,①出口报关!$A$4:$A$303,0)),"")=D376,"一致","SKU与报关单不符"))</f>
        <v/>
      </c>
      <c r="G376" s="45"/>
      <c r="H376" s="45"/>
      <c r="I376" s="31" t="str">
        <f aca="false">IF(AND(G376="",H376=""),"",N(G376)-N(H376))</f>
        <v/>
      </c>
      <c r="J376" s="46"/>
      <c r="K376" s="46"/>
      <c r="L376" s="34" t="str">
        <f aca="false">IF(AND(J376="",K376=""),"",N(J376)-N(K376))</f>
        <v/>
      </c>
      <c r="M376" s="35" t="str">
        <f aca="false">IF(B376="","",IF(COUNTIFS(③回款收汇!$A$4:$A$203,B376,③回款收汇!$R$4:$R$203,"&gt;0")&gt;0,"已收汇","待收汇"))</f>
        <v/>
      </c>
      <c r="N376" s="41"/>
      <c r="O376" s="41"/>
      <c r="P376" s="35" t="str">
        <f aca="true">IF(N376="","",IF(O376="",IF(TODAY()-N376&gt;15,"已超15天未留存","待留存"),IF(O376-N376&lt;=15,"及时","超期")))</f>
        <v/>
      </c>
      <c r="Q376" s="43"/>
    </row>
    <row r="377" customFormat="false" ht="21.75" hidden="false" customHeight="true" outlineLevel="0" collapsed="false">
      <c r="A377" s="49"/>
      <c r="B377" s="48"/>
      <c r="C377" s="43"/>
      <c r="D377" s="44"/>
      <c r="E377" s="44"/>
      <c r="F377" s="36" t="str">
        <f aca="false">IF(OR(D377="",E377=""),"",IF(IFERROR(INDEX(①出口报关!$I$4:$I$303,MATCH(E377,①出口报关!$A$4:$A$303,0)),"")=D377,"一致","SKU与报关单不符"))</f>
        <v/>
      </c>
      <c r="G377" s="45"/>
      <c r="H377" s="45"/>
      <c r="I377" s="31" t="str">
        <f aca="false">IF(AND(G377="",H377=""),"",N(G377)-N(H377))</f>
        <v/>
      </c>
      <c r="J377" s="46"/>
      <c r="K377" s="46"/>
      <c r="L377" s="34" t="str">
        <f aca="false">IF(AND(J377="",K377=""),"",N(J377)-N(K377))</f>
        <v/>
      </c>
      <c r="M377" s="35" t="str">
        <f aca="false">IF(B377="","",IF(COUNTIFS(③回款收汇!$A$4:$A$203,B377,③回款收汇!$R$4:$R$203,"&gt;0")&gt;0,"已收汇","待收汇"))</f>
        <v/>
      </c>
      <c r="N377" s="41"/>
      <c r="O377" s="41"/>
      <c r="P377" s="35" t="str">
        <f aca="true">IF(N377="","",IF(O377="",IF(TODAY()-N377&gt;15,"已超15天未留存","待留存"),IF(O377-N377&lt;=15,"及时","超期")))</f>
        <v/>
      </c>
      <c r="Q377" s="43"/>
    </row>
    <row r="378" customFormat="false" ht="21.75" hidden="false" customHeight="true" outlineLevel="0" collapsed="false">
      <c r="A378" s="49"/>
      <c r="B378" s="48"/>
      <c r="C378" s="43"/>
      <c r="D378" s="44"/>
      <c r="E378" s="44"/>
      <c r="F378" s="36" t="str">
        <f aca="false">IF(OR(D378="",E378=""),"",IF(IFERROR(INDEX(①出口报关!$I$4:$I$303,MATCH(E378,①出口报关!$A$4:$A$303,0)),"")=D378,"一致","SKU与报关单不符"))</f>
        <v/>
      </c>
      <c r="G378" s="45"/>
      <c r="H378" s="45"/>
      <c r="I378" s="31" t="str">
        <f aca="false">IF(AND(G378="",H378=""),"",N(G378)-N(H378))</f>
        <v/>
      </c>
      <c r="J378" s="46"/>
      <c r="K378" s="46"/>
      <c r="L378" s="34" t="str">
        <f aca="false">IF(AND(J378="",K378=""),"",N(J378)-N(K378))</f>
        <v/>
      </c>
      <c r="M378" s="35" t="str">
        <f aca="false">IF(B378="","",IF(COUNTIFS(③回款收汇!$A$4:$A$203,B378,③回款收汇!$R$4:$R$203,"&gt;0")&gt;0,"已收汇","待收汇"))</f>
        <v/>
      </c>
      <c r="N378" s="41"/>
      <c r="O378" s="41"/>
      <c r="P378" s="35" t="str">
        <f aca="true">IF(N378="","",IF(O378="",IF(TODAY()-N378&gt;15,"已超15天未留存","待留存"),IF(O378-N378&lt;=15,"及时","超期")))</f>
        <v/>
      </c>
      <c r="Q378" s="43"/>
    </row>
    <row r="379" customFormat="false" ht="21.75" hidden="false" customHeight="true" outlineLevel="0" collapsed="false">
      <c r="A379" s="49"/>
      <c r="B379" s="48"/>
      <c r="C379" s="43"/>
      <c r="D379" s="44"/>
      <c r="E379" s="44"/>
      <c r="F379" s="36" t="str">
        <f aca="false">IF(OR(D379="",E379=""),"",IF(IFERROR(INDEX(①出口报关!$I$4:$I$303,MATCH(E379,①出口报关!$A$4:$A$303,0)),"")=D379,"一致","SKU与报关单不符"))</f>
        <v/>
      </c>
      <c r="G379" s="45"/>
      <c r="H379" s="45"/>
      <c r="I379" s="31" t="str">
        <f aca="false">IF(AND(G379="",H379=""),"",N(G379)-N(H379))</f>
        <v/>
      </c>
      <c r="J379" s="46"/>
      <c r="K379" s="46"/>
      <c r="L379" s="34" t="str">
        <f aca="false">IF(AND(J379="",K379=""),"",N(J379)-N(K379))</f>
        <v/>
      </c>
      <c r="M379" s="35" t="str">
        <f aca="false">IF(B379="","",IF(COUNTIFS(③回款收汇!$A$4:$A$203,B379,③回款收汇!$R$4:$R$203,"&gt;0")&gt;0,"已收汇","待收汇"))</f>
        <v/>
      </c>
      <c r="N379" s="41"/>
      <c r="O379" s="41"/>
      <c r="P379" s="35" t="str">
        <f aca="true">IF(N379="","",IF(O379="",IF(TODAY()-N379&gt;15,"已超15天未留存","待留存"),IF(O379-N379&lt;=15,"及时","超期")))</f>
        <v/>
      </c>
      <c r="Q379" s="43"/>
    </row>
    <row r="380" customFormat="false" ht="21.75" hidden="false" customHeight="true" outlineLevel="0" collapsed="false">
      <c r="A380" s="49"/>
      <c r="B380" s="48"/>
      <c r="C380" s="43"/>
      <c r="D380" s="44"/>
      <c r="E380" s="44"/>
      <c r="F380" s="36" t="str">
        <f aca="false">IF(OR(D380="",E380=""),"",IF(IFERROR(INDEX(①出口报关!$I$4:$I$303,MATCH(E380,①出口报关!$A$4:$A$303,0)),"")=D380,"一致","SKU与报关单不符"))</f>
        <v/>
      </c>
      <c r="G380" s="45"/>
      <c r="H380" s="45"/>
      <c r="I380" s="31" t="str">
        <f aca="false">IF(AND(G380="",H380=""),"",N(G380)-N(H380))</f>
        <v/>
      </c>
      <c r="J380" s="46"/>
      <c r="K380" s="46"/>
      <c r="L380" s="34" t="str">
        <f aca="false">IF(AND(J380="",K380=""),"",N(J380)-N(K380))</f>
        <v/>
      </c>
      <c r="M380" s="35" t="str">
        <f aca="false">IF(B380="","",IF(COUNTIFS(③回款收汇!$A$4:$A$203,B380,③回款收汇!$R$4:$R$203,"&gt;0")&gt;0,"已收汇","待收汇"))</f>
        <v/>
      </c>
      <c r="N380" s="41"/>
      <c r="O380" s="41"/>
      <c r="P380" s="35" t="str">
        <f aca="true">IF(N380="","",IF(O380="",IF(TODAY()-N380&gt;15,"已超15天未留存","待留存"),IF(O380-N380&lt;=15,"及时","超期")))</f>
        <v/>
      </c>
      <c r="Q380" s="43"/>
    </row>
    <row r="381" customFormat="false" ht="21.75" hidden="false" customHeight="true" outlineLevel="0" collapsed="false">
      <c r="A381" s="49"/>
      <c r="B381" s="48"/>
      <c r="C381" s="43"/>
      <c r="D381" s="44"/>
      <c r="E381" s="44"/>
      <c r="F381" s="36" t="str">
        <f aca="false">IF(OR(D381="",E381=""),"",IF(IFERROR(INDEX(①出口报关!$I$4:$I$303,MATCH(E381,①出口报关!$A$4:$A$303,0)),"")=D381,"一致","SKU与报关单不符"))</f>
        <v/>
      </c>
      <c r="G381" s="45"/>
      <c r="H381" s="45"/>
      <c r="I381" s="31" t="str">
        <f aca="false">IF(AND(G381="",H381=""),"",N(G381)-N(H381))</f>
        <v/>
      </c>
      <c r="J381" s="46"/>
      <c r="K381" s="46"/>
      <c r="L381" s="34" t="str">
        <f aca="false">IF(AND(J381="",K381=""),"",N(J381)-N(K381))</f>
        <v/>
      </c>
      <c r="M381" s="35" t="str">
        <f aca="false">IF(B381="","",IF(COUNTIFS(③回款收汇!$A$4:$A$203,B381,③回款收汇!$R$4:$R$203,"&gt;0")&gt;0,"已收汇","待收汇"))</f>
        <v/>
      </c>
      <c r="N381" s="41"/>
      <c r="O381" s="41"/>
      <c r="P381" s="35" t="str">
        <f aca="true">IF(N381="","",IF(O381="",IF(TODAY()-N381&gt;15,"已超15天未留存","待留存"),IF(O381-N381&lt;=15,"及时","超期")))</f>
        <v/>
      </c>
      <c r="Q381" s="43"/>
    </row>
    <row r="382" customFormat="false" ht="21.75" hidden="false" customHeight="true" outlineLevel="0" collapsed="false">
      <c r="A382" s="49"/>
      <c r="B382" s="48"/>
      <c r="C382" s="43"/>
      <c r="D382" s="44"/>
      <c r="E382" s="44"/>
      <c r="F382" s="36" t="str">
        <f aca="false">IF(OR(D382="",E382=""),"",IF(IFERROR(INDEX(①出口报关!$I$4:$I$303,MATCH(E382,①出口报关!$A$4:$A$303,0)),"")=D382,"一致","SKU与报关单不符"))</f>
        <v/>
      </c>
      <c r="G382" s="45"/>
      <c r="H382" s="45"/>
      <c r="I382" s="31" t="str">
        <f aca="false">IF(AND(G382="",H382=""),"",N(G382)-N(H382))</f>
        <v/>
      </c>
      <c r="J382" s="46"/>
      <c r="K382" s="46"/>
      <c r="L382" s="34" t="str">
        <f aca="false">IF(AND(J382="",K382=""),"",N(J382)-N(K382))</f>
        <v/>
      </c>
      <c r="M382" s="35" t="str">
        <f aca="false">IF(B382="","",IF(COUNTIFS(③回款收汇!$A$4:$A$203,B382,③回款收汇!$R$4:$R$203,"&gt;0")&gt;0,"已收汇","待收汇"))</f>
        <v/>
      </c>
      <c r="N382" s="41"/>
      <c r="O382" s="41"/>
      <c r="P382" s="35" t="str">
        <f aca="true">IF(N382="","",IF(O382="",IF(TODAY()-N382&gt;15,"已超15天未留存","待留存"),IF(O382-N382&lt;=15,"及时","超期")))</f>
        <v/>
      </c>
      <c r="Q382" s="43"/>
    </row>
    <row r="383" customFormat="false" ht="21.75" hidden="false" customHeight="true" outlineLevel="0" collapsed="false">
      <c r="A383" s="49"/>
      <c r="B383" s="48"/>
      <c r="C383" s="43"/>
      <c r="D383" s="44"/>
      <c r="E383" s="44"/>
      <c r="F383" s="36" t="str">
        <f aca="false">IF(OR(D383="",E383=""),"",IF(IFERROR(INDEX(①出口报关!$I$4:$I$303,MATCH(E383,①出口报关!$A$4:$A$303,0)),"")=D383,"一致","SKU与报关单不符"))</f>
        <v/>
      </c>
      <c r="G383" s="45"/>
      <c r="H383" s="45"/>
      <c r="I383" s="31" t="str">
        <f aca="false">IF(AND(G383="",H383=""),"",N(G383)-N(H383))</f>
        <v/>
      </c>
      <c r="J383" s="46"/>
      <c r="K383" s="46"/>
      <c r="L383" s="34" t="str">
        <f aca="false">IF(AND(J383="",K383=""),"",N(J383)-N(K383))</f>
        <v/>
      </c>
      <c r="M383" s="35" t="str">
        <f aca="false">IF(B383="","",IF(COUNTIFS(③回款收汇!$A$4:$A$203,B383,③回款收汇!$R$4:$R$203,"&gt;0")&gt;0,"已收汇","待收汇"))</f>
        <v/>
      </c>
      <c r="N383" s="41"/>
      <c r="O383" s="41"/>
      <c r="P383" s="35" t="str">
        <f aca="true">IF(N383="","",IF(O383="",IF(TODAY()-N383&gt;15,"已超15天未留存","待留存"),IF(O383-N383&lt;=15,"及时","超期")))</f>
        <v/>
      </c>
      <c r="Q383" s="43"/>
    </row>
    <row r="384" customFormat="false" ht="21.75" hidden="false" customHeight="true" outlineLevel="0" collapsed="false">
      <c r="A384" s="49"/>
      <c r="B384" s="48"/>
      <c r="C384" s="43"/>
      <c r="D384" s="44"/>
      <c r="E384" s="44"/>
      <c r="F384" s="36" t="str">
        <f aca="false">IF(OR(D384="",E384=""),"",IF(IFERROR(INDEX(①出口报关!$I$4:$I$303,MATCH(E384,①出口报关!$A$4:$A$303,0)),"")=D384,"一致","SKU与报关单不符"))</f>
        <v/>
      </c>
      <c r="G384" s="45"/>
      <c r="H384" s="45"/>
      <c r="I384" s="31" t="str">
        <f aca="false">IF(AND(G384="",H384=""),"",N(G384)-N(H384))</f>
        <v/>
      </c>
      <c r="J384" s="46"/>
      <c r="K384" s="46"/>
      <c r="L384" s="34" t="str">
        <f aca="false">IF(AND(J384="",K384=""),"",N(J384)-N(K384))</f>
        <v/>
      </c>
      <c r="M384" s="35" t="str">
        <f aca="false">IF(B384="","",IF(COUNTIFS(③回款收汇!$A$4:$A$203,B384,③回款收汇!$R$4:$R$203,"&gt;0")&gt;0,"已收汇","待收汇"))</f>
        <v/>
      </c>
      <c r="N384" s="41"/>
      <c r="O384" s="41"/>
      <c r="P384" s="35" t="str">
        <f aca="true">IF(N384="","",IF(O384="",IF(TODAY()-N384&gt;15,"已超15天未留存","待留存"),IF(O384-N384&lt;=15,"及时","超期")))</f>
        <v/>
      </c>
      <c r="Q384" s="43"/>
    </row>
    <row r="385" customFormat="false" ht="21.75" hidden="false" customHeight="true" outlineLevel="0" collapsed="false">
      <c r="A385" s="49"/>
      <c r="B385" s="48"/>
      <c r="C385" s="43"/>
      <c r="D385" s="44"/>
      <c r="E385" s="44"/>
      <c r="F385" s="36" t="str">
        <f aca="false">IF(OR(D385="",E385=""),"",IF(IFERROR(INDEX(①出口报关!$I$4:$I$303,MATCH(E385,①出口报关!$A$4:$A$303,0)),"")=D385,"一致","SKU与报关单不符"))</f>
        <v/>
      </c>
      <c r="G385" s="45"/>
      <c r="H385" s="45"/>
      <c r="I385" s="31" t="str">
        <f aca="false">IF(AND(G385="",H385=""),"",N(G385)-N(H385))</f>
        <v/>
      </c>
      <c r="J385" s="46"/>
      <c r="K385" s="46"/>
      <c r="L385" s="34" t="str">
        <f aca="false">IF(AND(J385="",K385=""),"",N(J385)-N(K385))</f>
        <v/>
      </c>
      <c r="M385" s="35" t="str">
        <f aca="false">IF(B385="","",IF(COUNTIFS(③回款收汇!$A$4:$A$203,B385,③回款收汇!$R$4:$R$203,"&gt;0")&gt;0,"已收汇","待收汇"))</f>
        <v/>
      </c>
      <c r="N385" s="41"/>
      <c r="O385" s="41"/>
      <c r="P385" s="35" t="str">
        <f aca="true">IF(N385="","",IF(O385="",IF(TODAY()-N385&gt;15,"已超15天未留存","待留存"),IF(O385-N385&lt;=15,"及时","超期")))</f>
        <v/>
      </c>
      <c r="Q385" s="43"/>
    </row>
    <row r="386" customFormat="false" ht="21.75" hidden="false" customHeight="true" outlineLevel="0" collapsed="false">
      <c r="A386" s="49"/>
      <c r="B386" s="48"/>
      <c r="C386" s="43"/>
      <c r="D386" s="44"/>
      <c r="E386" s="44"/>
      <c r="F386" s="36" t="str">
        <f aca="false">IF(OR(D386="",E386=""),"",IF(IFERROR(INDEX(①出口报关!$I$4:$I$303,MATCH(E386,①出口报关!$A$4:$A$303,0)),"")=D386,"一致","SKU与报关单不符"))</f>
        <v/>
      </c>
      <c r="G386" s="45"/>
      <c r="H386" s="45"/>
      <c r="I386" s="31" t="str">
        <f aca="false">IF(AND(G386="",H386=""),"",N(G386)-N(H386))</f>
        <v/>
      </c>
      <c r="J386" s="46"/>
      <c r="K386" s="46"/>
      <c r="L386" s="34" t="str">
        <f aca="false">IF(AND(J386="",K386=""),"",N(J386)-N(K386))</f>
        <v/>
      </c>
      <c r="M386" s="35" t="str">
        <f aca="false">IF(B386="","",IF(COUNTIFS(③回款收汇!$A$4:$A$203,B386,③回款收汇!$R$4:$R$203,"&gt;0")&gt;0,"已收汇","待收汇"))</f>
        <v/>
      </c>
      <c r="N386" s="41"/>
      <c r="O386" s="41"/>
      <c r="P386" s="35" t="str">
        <f aca="true">IF(N386="","",IF(O386="",IF(TODAY()-N386&gt;15,"已超15天未留存","待留存"),IF(O386-N386&lt;=15,"及时","超期")))</f>
        <v/>
      </c>
      <c r="Q386" s="43"/>
    </row>
    <row r="387" customFormat="false" ht="21.75" hidden="false" customHeight="true" outlineLevel="0" collapsed="false">
      <c r="A387" s="49"/>
      <c r="B387" s="48"/>
      <c r="C387" s="43"/>
      <c r="D387" s="44"/>
      <c r="E387" s="44"/>
      <c r="F387" s="36" t="str">
        <f aca="false">IF(OR(D387="",E387=""),"",IF(IFERROR(INDEX(①出口报关!$I$4:$I$303,MATCH(E387,①出口报关!$A$4:$A$303,0)),"")=D387,"一致","SKU与报关单不符"))</f>
        <v/>
      </c>
      <c r="G387" s="45"/>
      <c r="H387" s="45"/>
      <c r="I387" s="31" t="str">
        <f aca="false">IF(AND(G387="",H387=""),"",N(G387)-N(H387))</f>
        <v/>
      </c>
      <c r="J387" s="46"/>
      <c r="K387" s="46"/>
      <c r="L387" s="34" t="str">
        <f aca="false">IF(AND(J387="",K387=""),"",N(J387)-N(K387))</f>
        <v/>
      </c>
      <c r="M387" s="35" t="str">
        <f aca="false">IF(B387="","",IF(COUNTIFS(③回款收汇!$A$4:$A$203,B387,③回款收汇!$R$4:$R$203,"&gt;0")&gt;0,"已收汇","待收汇"))</f>
        <v/>
      </c>
      <c r="N387" s="41"/>
      <c r="O387" s="41"/>
      <c r="P387" s="35" t="str">
        <f aca="true">IF(N387="","",IF(O387="",IF(TODAY()-N387&gt;15,"已超15天未留存","待留存"),IF(O387-N387&lt;=15,"及时","超期")))</f>
        <v/>
      </c>
      <c r="Q387" s="43"/>
    </row>
    <row r="388" customFormat="false" ht="21.75" hidden="false" customHeight="true" outlineLevel="0" collapsed="false">
      <c r="A388" s="49"/>
      <c r="B388" s="48"/>
      <c r="C388" s="43"/>
      <c r="D388" s="44"/>
      <c r="E388" s="44"/>
      <c r="F388" s="36" t="str">
        <f aca="false">IF(OR(D388="",E388=""),"",IF(IFERROR(INDEX(①出口报关!$I$4:$I$303,MATCH(E388,①出口报关!$A$4:$A$303,0)),"")=D388,"一致","SKU与报关单不符"))</f>
        <v/>
      </c>
      <c r="G388" s="45"/>
      <c r="H388" s="45"/>
      <c r="I388" s="31" t="str">
        <f aca="false">IF(AND(G388="",H388=""),"",N(G388)-N(H388))</f>
        <v/>
      </c>
      <c r="J388" s="46"/>
      <c r="K388" s="46"/>
      <c r="L388" s="34" t="str">
        <f aca="false">IF(AND(J388="",K388=""),"",N(J388)-N(K388))</f>
        <v/>
      </c>
      <c r="M388" s="35" t="str">
        <f aca="false">IF(B388="","",IF(COUNTIFS(③回款收汇!$A$4:$A$203,B388,③回款收汇!$R$4:$R$203,"&gt;0")&gt;0,"已收汇","待收汇"))</f>
        <v/>
      </c>
      <c r="N388" s="41"/>
      <c r="O388" s="41"/>
      <c r="P388" s="35" t="str">
        <f aca="true">IF(N388="","",IF(O388="",IF(TODAY()-N388&gt;15,"已超15天未留存","待留存"),IF(O388-N388&lt;=15,"及时","超期")))</f>
        <v/>
      </c>
      <c r="Q388" s="43"/>
    </row>
    <row r="389" customFormat="false" ht="21.75" hidden="false" customHeight="true" outlineLevel="0" collapsed="false">
      <c r="A389" s="49"/>
      <c r="B389" s="48"/>
      <c r="C389" s="43"/>
      <c r="D389" s="44"/>
      <c r="E389" s="44"/>
      <c r="F389" s="36" t="str">
        <f aca="false">IF(OR(D389="",E389=""),"",IF(IFERROR(INDEX(①出口报关!$I$4:$I$303,MATCH(E389,①出口报关!$A$4:$A$303,0)),"")=D389,"一致","SKU与报关单不符"))</f>
        <v/>
      </c>
      <c r="G389" s="45"/>
      <c r="H389" s="45"/>
      <c r="I389" s="31" t="str">
        <f aca="false">IF(AND(G389="",H389=""),"",N(G389)-N(H389))</f>
        <v/>
      </c>
      <c r="J389" s="46"/>
      <c r="K389" s="46"/>
      <c r="L389" s="34" t="str">
        <f aca="false">IF(AND(J389="",K389=""),"",N(J389)-N(K389))</f>
        <v/>
      </c>
      <c r="M389" s="35" t="str">
        <f aca="false">IF(B389="","",IF(COUNTIFS(③回款收汇!$A$4:$A$203,B389,③回款收汇!$R$4:$R$203,"&gt;0")&gt;0,"已收汇","待收汇"))</f>
        <v/>
      </c>
      <c r="N389" s="41"/>
      <c r="O389" s="41"/>
      <c r="P389" s="35" t="str">
        <f aca="true">IF(N389="","",IF(O389="",IF(TODAY()-N389&gt;15,"已超15天未留存","待留存"),IF(O389-N389&lt;=15,"及时","超期")))</f>
        <v/>
      </c>
      <c r="Q389" s="43"/>
    </row>
    <row r="390" customFormat="false" ht="21.75" hidden="false" customHeight="true" outlineLevel="0" collapsed="false">
      <c r="A390" s="49"/>
      <c r="B390" s="48"/>
      <c r="C390" s="43"/>
      <c r="D390" s="44"/>
      <c r="E390" s="44"/>
      <c r="F390" s="36" t="str">
        <f aca="false">IF(OR(D390="",E390=""),"",IF(IFERROR(INDEX(①出口报关!$I$4:$I$303,MATCH(E390,①出口报关!$A$4:$A$303,0)),"")=D390,"一致","SKU与报关单不符"))</f>
        <v/>
      </c>
      <c r="G390" s="45"/>
      <c r="H390" s="45"/>
      <c r="I390" s="31" t="str">
        <f aca="false">IF(AND(G390="",H390=""),"",N(G390)-N(H390))</f>
        <v/>
      </c>
      <c r="J390" s="46"/>
      <c r="K390" s="46"/>
      <c r="L390" s="34" t="str">
        <f aca="false">IF(AND(J390="",K390=""),"",N(J390)-N(K390))</f>
        <v/>
      </c>
      <c r="M390" s="35" t="str">
        <f aca="false">IF(B390="","",IF(COUNTIFS(③回款收汇!$A$4:$A$203,B390,③回款收汇!$R$4:$R$203,"&gt;0")&gt;0,"已收汇","待收汇"))</f>
        <v/>
      </c>
      <c r="N390" s="41"/>
      <c r="O390" s="41"/>
      <c r="P390" s="35" t="str">
        <f aca="true">IF(N390="","",IF(O390="",IF(TODAY()-N390&gt;15,"已超15天未留存","待留存"),IF(O390-N390&lt;=15,"及时","超期")))</f>
        <v/>
      </c>
      <c r="Q390" s="43"/>
    </row>
    <row r="391" customFormat="false" ht="21.75" hidden="false" customHeight="true" outlineLevel="0" collapsed="false">
      <c r="A391" s="49"/>
      <c r="B391" s="48"/>
      <c r="C391" s="43"/>
      <c r="D391" s="44"/>
      <c r="E391" s="44"/>
      <c r="F391" s="36" t="str">
        <f aca="false">IF(OR(D391="",E391=""),"",IF(IFERROR(INDEX(①出口报关!$I$4:$I$303,MATCH(E391,①出口报关!$A$4:$A$303,0)),"")=D391,"一致","SKU与报关单不符"))</f>
        <v/>
      </c>
      <c r="G391" s="45"/>
      <c r="H391" s="45"/>
      <c r="I391" s="31" t="str">
        <f aca="false">IF(AND(G391="",H391=""),"",N(G391)-N(H391))</f>
        <v/>
      </c>
      <c r="J391" s="46"/>
      <c r="K391" s="46"/>
      <c r="L391" s="34" t="str">
        <f aca="false">IF(AND(J391="",K391=""),"",N(J391)-N(K391))</f>
        <v/>
      </c>
      <c r="M391" s="35" t="str">
        <f aca="false">IF(B391="","",IF(COUNTIFS(③回款收汇!$A$4:$A$203,B391,③回款收汇!$R$4:$R$203,"&gt;0")&gt;0,"已收汇","待收汇"))</f>
        <v/>
      </c>
      <c r="N391" s="41"/>
      <c r="O391" s="41"/>
      <c r="P391" s="35" t="str">
        <f aca="true">IF(N391="","",IF(O391="",IF(TODAY()-N391&gt;15,"已超15天未留存","待留存"),IF(O391-N391&lt;=15,"及时","超期")))</f>
        <v/>
      </c>
      <c r="Q391" s="43"/>
    </row>
    <row r="392" customFormat="false" ht="21.75" hidden="false" customHeight="true" outlineLevel="0" collapsed="false">
      <c r="A392" s="49"/>
      <c r="B392" s="48"/>
      <c r="C392" s="43"/>
      <c r="D392" s="44"/>
      <c r="E392" s="44"/>
      <c r="F392" s="36" t="str">
        <f aca="false">IF(OR(D392="",E392=""),"",IF(IFERROR(INDEX(①出口报关!$I$4:$I$303,MATCH(E392,①出口报关!$A$4:$A$303,0)),"")=D392,"一致","SKU与报关单不符"))</f>
        <v/>
      </c>
      <c r="G392" s="45"/>
      <c r="H392" s="45"/>
      <c r="I392" s="31" t="str">
        <f aca="false">IF(AND(G392="",H392=""),"",N(G392)-N(H392))</f>
        <v/>
      </c>
      <c r="J392" s="46"/>
      <c r="K392" s="46"/>
      <c r="L392" s="34" t="str">
        <f aca="false">IF(AND(J392="",K392=""),"",N(J392)-N(K392))</f>
        <v/>
      </c>
      <c r="M392" s="35" t="str">
        <f aca="false">IF(B392="","",IF(COUNTIFS(③回款收汇!$A$4:$A$203,B392,③回款收汇!$R$4:$R$203,"&gt;0")&gt;0,"已收汇","待收汇"))</f>
        <v/>
      </c>
      <c r="N392" s="41"/>
      <c r="O392" s="41"/>
      <c r="P392" s="35" t="str">
        <f aca="true">IF(N392="","",IF(O392="",IF(TODAY()-N392&gt;15,"已超15天未留存","待留存"),IF(O392-N392&lt;=15,"及时","超期")))</f>
        <v/>
      </c>
      <c r="Q392" s="43"/>
    </row>
    <row r="393" customFormat="false" ht="21.75" hidden="false" customHeight="true" outlineLevel="0" collapsed="false">
      <c r="A393" s="49"/>
      <c r="B393" s="48"/>
      <c r="C393" s="43"/>
      <c r="D393" s="44"/>
      <c r="E393" s="44"/>
      <c r="F393" s="36" t="str">
        <f aca="false">IF(OR(D393="",E393=""),"",IF(IFERROR(INDEX(①出口报关!$I$4:$I$303,MATCH(E393,①出口报关!$A$4:$A$303,0)),"")=D393,"一致","SKU与报关单不符"))</f>
        <v/>
      </c>
      <c r="G393" s="45"/>
      <c r="H393" s="45"/>
      <c r="I393" s="31" t="str">
        <f aca="false">IF(AND(G393="",H393=""),"",N(G393)-N(H393))</f>
        <v/>
      </c>
      <c r="J393" s="46"/>
      <c r="K393" s="46"/>
      <c r="L393" s="34" t="str">
        <f aca="false">IF(AND(J393="",K393=""),"",N(J393)-N(K393))</f>
        <v/>
      </c>
      <c r="M393" s="35" t="str">
        <f aca="false">IF(B393="","",IF(COUNTIFS(③回款收汇!$A$4:$A$203,B393,③回款收汇!$R$4:$R$203,"&gt;0")&gt;0,"已收汇","待收汇"))</f>
        <v/>
      </c>
      <c r="N393" s="41"/>
      <c r="O393" s="41"/>
      <c r="P393" s="35" t="str">
        <f aca="true">IF(N393="","",IF(O393="",IF(TODAY()-N393&gt;15,"已超15天未留存","待留存"),IF(O393-N393&lt;=15,"及时","超期")))</f>
        <v/>
      </c>
      <c r="Q393" s="43"/>
    </row>
    <row r="394" customFormat="false" ht="21.75" hidden="false" customHeight="true" outlineLevel="0" collapsed="false">
      <c r="A394" s="49"/>
      <c r="B394" s="48"/>
      <c r="C394" s="43"/>
      <c r="D394" s="44"/>
      <c r="E394" s="44"/>
      <c r="F394" s="36" t="str">
        <f aca="false">IF(OR(D394="",E394=""),"",IF(IFERROR(INDEX(①出口报关!$I$4:$I$303,MATCH(E394,①出口报关!$A$4:$A$303,0)),"")=D394,"一致","SKU与报关单不符"))</f>
        <v/>
      </c>
      <c r="G394" s="45"/>
      <c r="H394" s="45"/>
      <c r="I394" s="31" t="str">
        <f aca="false">IF(AND(G394="",H394=""),"",N(G394)-N(H394))</f>
        <v/>
      </c>
      <c r="J394" s="46"/>
      <c r="K394" s="46"/>
      <c r="L394" s="34" t="str">
        <f aca="false">IF(AND(J394="",K394=""),"",N(J394)-N(K394))</f>
        <v/>
      </c>
      <c r="M394" s="35" t="str">
        <f aca="false">IF(B394="","",IF(COUNTIFS(③回款收汇!$A$4:$A$203,B394,③回款收汇!$R$4:$R$203,"&gt;0")&gt;0,"已收汇","待收汇"))</f>
        <v/>
      </c>
      <c r="N394" s="41"/>
      <c r="O394" s="41"/>
      <c r="P394" s="35" t="str">
        <f aca="true">IF(N394="","",IF(O394="",IF(TODAY()-N394&gt;15,"已超15天未留存","待留存"),IF(O394-N394&lt;=15,"及时","超期")))</f>
        <v/>
      </c>
      <c r="Q394" s="43"/>
    </row>
    <row r="395" customFormat="false" ht="21.75" hidden="false" customHeight="true" outlineLevel="0" collapsed="false">
      <c r="A395" s="49"/>
      <c r="B395" s="48"/>
      <c r="C395" s="43"/>
      <c r="D395" s="44"/>
      <c r="E395" s="44"/>
      <c r="F395" s="36" t="str">
        <f aca="false">IF(OR(D395="",E395=""),"",IF(IFERROR(INDEX(①出口报关!$I$4:$I$303,MATCH(E395,①出口报关!$A$4:$A$303,0)),"")=D395,"一致","SKU与报关单不符"))</f>
        <v/>
      </c>
      <c r="G395" s="45"/>
      <c r="H395" s="45"/>
      <c r="I395" s="31" t="str">
        <f aca="false">IF(AND(G395="",H395=""),"",N(G395)-N(H395))</f>
        <v/>
      </c>
      <c r="J395" s="46"/>
      <c r="K395" s="46"/>
      <c r="L395" s="34" t="str">
        <f aca="false">IF(AND(J395="",K395=""),"",N(J395)-N(K395))</f>
        <v/>
      </c>
      <c r="M395" s="35" t="str">
        <f aca="false">IF(B395="","",IF(COUNTIFS(③回款收汇!$A$4:$A$203,B395,③回款收汇!$R$4:$R$203,"&gt;0")&gt;0,"已收汇","待收汇"))</f>
        <v/>
      </c>
      <c r="N395" s="41"/>
      <c r="O395" s="41"/>
      <c r="P395" s="35" t="str">
        <f aca="true">IF(N395="","",IF(O395="",IF(TODAY()-N395&gt;15,"已超15天未留存","待留存"),IF(O395-N395&lt;=15,"及时","超期")))</f>
        <v/>
      </c>
      <c r="Q395" s="43"/>
    </row>
    <row r="396" customFormat="false" ht="21.75" hidden="false" customHeight="true" outlineLevel="0" collapsed="false">
      <c r="A396" s="49"/>
      <c r="B396" s="48"/>
      <c r="C396" s="43"/>
      <c r="D396" s="44"/>
      <c r="E396" s="44"/>
      <c r="F396" s="36" t="str">
        <f aca="false">IF(OR(D396="",E396=""),"",IF(IFERROR(INDEX(①出口报关!$I$4:$I$303,MATCH(E396,①出口报关!$A$4:$A$303,0)),"")=D396,"一致","SKU与报关单不符"))</f>
        <v/>
      </c>
      <c r="G396" s="45"/>
      <c r="H396" s="45"/>
      <c r="I396" s="31" t="str">
        <f aca="false">IF(AND(G396="",H396=""),"",N(G396)-N(H396))</f>
        <v/>
      </c>
      <c r="J396" s="46"/>
      <c r="K396" s="46"/>
      <c r="L396" s="34" t="str">
        <f aca="false">IF(AND(J396="",K396=""),"",N(J396)-N(K396))</f>
        <v/>
      </c>
      <c r="M396" s="35" t="str">
        <f aca="false">IF(B396="","",IF(COUNTIFS(③回款收汇!$A$4:$A$203,B396,③回款收汇!$R$4:$R$203,"&gt;0")&gt;0,"已收汇","待收汇"))</f>
        <v/>
      </c>
      <c r="N396" s="41"/>
      <c r="O396" s="41"/>
      <c r="P396" s="35" t="str">
        <f aca="true">IF(N396="","",IF(O396="",IF(TODAY()-N396&gt;15,"已超15天未留存","待留存"),IF(O396-N396&lt;=15,"及时","超期")))</f>
        <v/>
      </c>
      <c r="Q396" s="43"/>
    </row>
    <row r="397" customFormat="false" ht="21.75" hidden="false" customHeight="true" outlineLevel="0" collapsed="false">
      <c r="A397" s="49"/>
      <c r="B397" s="48"/>
      <c r="C397" s="43"/>
      <c r="D397" s="44"/>
      <c r="E397" s="44"/>
      <c r="F397" s="36" t="str">
        <f aca="false">IF(OR(D397="",E397=""),"",IF(IFERROR(INDEX(①出口报关!$I$4:$I$303,MATCH(E397,①出口报关!$A$4:$A$303,0)),"")=D397,"一致","SKU与报关单不符"))</f>
        <v/>
      </c>
      <c r="G397" s="45"/>
      <c r="H397" s="45"/>
      <c r="I397" s="31" t="str">
        <f aca="false">IF(AND(G397="",H397=""),"",N(G397)-N(H397))</f>
        <v/>
      </c>
      <c r="J397" s="46"/>
      <c r="K397" s="46"/>
      <c r="L397" s="34" t="str">
        <f aca="false">IF(AND(J397="",K397=""),"",N(J397)-N(K397))</f>
        <v/>
      </c>
      <c r="M397" s="35" t="str">
        <f aca="false">IF(B397="","",IF(COUNTIFS(③回款收汇!$A$4:$A$203,B397,③回款收汇!$R$4:$R$203,"&gt;0")&gt;0,"已收汇","待收汇"))</f>
        <v/>
      </c>
      <c r="N397" s="41"/>
      <c r="O397" s="41"/>
      <c r="P397" s="35" t="str">
        <f aca="true">IF(N397="","",IF(O397="",IF(TODAY()-N397&gt;15,"已超15天未留存","待留存"),IF(O397-N397&lt;=15,"及时","超期")))</f>
        <v/>
      </c>
      <c r="Q397" s="43"/>
    </row>
    <row r="398" customFormat="false" ht="21.75" hidden="false" customHeight="true" outlineLevel="0" collapsed="false">
      <c r="A398" s="49"/>
      <c r="B398" s="48"/>
      <c r="C398" s="43"/>
      <c r="D398" s="44"/>
      <c r="E398" s="44"/>
      <c r="F398" s="36" t="str">
        <f aca="false">IF(OR(D398="",E398=""),"",IF(IFERROR(INDEX(①出口报关!$I$4:$I$303,MATCH(E398,①出口报关!$A$4:$A$303,0)),"")=D398,"一致","SKU与报关单不符"))</f>
        <v/>
      </c>
      <c r="G398" s="45"/>
      <c r="H398" s="45"/>
      <c r="I398" s="31" t="str">
        <f aca="false">IF(AND(G398="",H398=""),"",N(G398)-N(H398))</f>
        <v/>
      </c>
      <c r="J398" s="46"/>
      <c r="K398" s="46"/>
      <c r="L398" s="34" t="str">
        <f aca="false">IF(AND(J398="",K398=""),"",N(J398)-N(K398))</f>
        <v/>
      </c>
      <c r="M398" s="35" t="str">
        <f aca="false">IF(B398="","",IF(COUNTIFS(③回款收汇!$A$4:$A$203,B398,③回款收汇!$R$4:$R$203,"&gt;0")&gt;0,"已收汇","待收汇"))</f>
        <v/>
      </c>
      <c r="N398" s="41"/>
      <c r="O398" s="41"/>
      <c r="P398" s="35" t="str">
        <f aca="true">IF(N398="","",IF(O398="",IF(TODAY()-N398&gt;15,"已超15天未留存","待留存"),IF(O398-N398&lt;=15,"及时","超期")))</f>
        <v/>
      </c>
      <c r="Q398" s="43"/>
    </row>
    <row r="399" customFormat="false" ht="21.75" hidden="false" customHeight="true" outlineLevel="0" collapsed="false">
      <c r="A399" s="49"/>
      <c r="B399" s="48"/>
      <c r="C399" s="43"/>
      <c r="D399" s="44"/>
      <c r="E399" s="44"/>
      <c r="F399" s="36" t="str">
        <f aca="false">IF(OR(D399="",E399=""),"",IF(IFERROR(INDEX(①出口报关!$I$4:$I$303,MATCH(E399,①出口报关!$A$4:$A$303,0)),"")=D399,"一致","SKU与报关单不符"))</f>
        <v/>
      </c>
      <c r="G399" s="45"/>
      <c r="H399" s="45"/>
      <c r="I399" s="31" t="str">
        <f aca="false">IF(AND(G399="",H399=""),"",N(G399)-N(H399))</f>
        <v/>
      </c>
      <c r="J399" s="46"/>
      <c r="K399" s="46"/>
      <c r="L399" s="34" t="str">
        <f aca="false">IF(AND(J399="",K399=""),"",N(J399)-N(K399))</f>
        <v/>
      </c>
      <c r="M399" s="35" t="str">
        <f aca="false">IF(B399="","",IF(COUNTIFS(③回款收汇!$A$4:$A$203,B399,③回款收汇!$R$4:$R$203,"&gt;0")&gt;0,"已收汇","待收汇"))</f>
        <v/>
      </c>
      <c r="N399" s="41"/>
      <c r="O399" s="41"/>
      <c r="P399" s="35" t="str">
        <f aca="true">IF(N399="","",IF(O399="",IF(TODAY()-N399&gt;15,"已超15天未留存","待留存"),IF(O399-N399&lt;=15,"及时","超期")))</f>
        <v/>
      </c>
      <c r="Q399" s="43"/>
    </row>
    <row r="400" customFormat="false" ht="21.75" hidden="false" customHeight="true" outlineLevel="0" collapsed="false">
      <c r="A400" s="49"/>
      <c r="B400" s="48"/>
      <c r="C400" s="43"/>
      <c r="D400" s="44"/>
      <c r="E400" s="44"/>
      <c r="F400" s="36" t="str">
        <f aca="false">IF(OR(D400="",E400=""),"",IF(IFERROR(INDEX(①出口报关!$I$4:$I$303,MATCH(E400,①出口报关!$A$4:$A$303,0)),"")=D400,"一致","SKU与报关单不符"))</f>
        <v/>
      </c>
      <c r="G400" s="45"/>
      <c r="H400" s="45"/>
      <c r="I400" s="31" t="str">
        <f aca="false">IF(AND(G400="",H400=""),"",N(G400)-N(H400))</f>
        <v/>
      </c>
      <c r="J400" s="46"/>
      <c r="K400" s="46"/>
      <c r="L400" s="34" t="str">
        <f aca="false">IF(AND(J400="",K400=""),"",N(J400)-N(K400))</f>
        <v/>
      </c>
      <c r="M400" s="35" t="str">
        <f aca="false">IF(B400="","",IF(COUNTIFS(③回款收汇!$A$4:$A$203,B400,③回款收汇!$R$4:$R$203,"&gt;0")&gt;0,"已收汇","待收汇"))</f>
        <v/>
      </c>
      <c r="N400" s="41"/>
      <c r="O400" s="41"/>
      <c r="P400" s="35" t="str">
        <f aca="true">IF(N400="","",IF(O400="",IF(TODAY()-N400&gt;15,"已超15天未留存","待留存"),IF(O400-N400&lt;=15,"及时","超期")))</f>
        <v/>
      </c>
      <c r="Q400" s="43"/>
    </row>
    <row r="401" customFormat="false" ht="21.75" hidden="false" customHeight="true" outlineLevel="0" collapsed="false">
      <c r="A401" s="49"/>
      <c r="B401" s="48"/>
      <c r="C401" s="43"/>
      <c r="D401" s="44"/>
      <c r="E401" s="44"/>
      <c r="F401" s="36" t="str">
        <f aca="false">IF(OR(D401="",E401=""),"",IF(IFERROR(INDEX(①出口报关!$I$4:$I$303,MATCH(E401,①出口报关!$A$4:$A$303,0)),"")=D401,"一致","SKU与报关单不符"))</f>
        <v/>
      </c>
      <c r="G401" s="45"/>
      <c r="H401" s="45"/>
      <c r="I401" s="31" t="str">
        <f aca="false">IF(AND(G401="",H401=""),"",N(G401)-N(H401))</f>
        <v/>
      </c>
      <c r="J401" s="46"/>
      <c r="K401" s="46"/>
      <c r="L401" s="34" t="str">
        <f aca="false">IF(AND(J401="",K401=""),"",N(J401)-N(K401))</f>
        <v/>
      </c>
      <c r="M401" s="35" t="str">
        <f aca="false">IF(B401="","",IF(COUNTIFS(③回款收汇!$A$4:$A$203,B401,③回款收汇!$R$4:$R$203,"&gt;0")&gt;0,"已收汇","待收汇"))</f>
        <v/>
      </c>
      <c r="N401" s="41"/>
      <c r="O401" s="41"/>
      <c r="P401" s="35" t="str">
        <f aca="true">IF(N401="","",IF(O401="",IF(TODAY()-N401&gt;15,"已超15天未留存","待留存"),IF(O401-N401&lt;=15,"及时","超期")))</f>
        <v/>
      </c>
      <c r="Q401" s="43"/>
    </row>
    <row r="402" customFormat="false" ht="21.75" hidden="false" customHeight="true" outlineLevel="0" collapsed="false">
      <c r="A402" s="49"/>
      <c r="B402" s="48"/>
      <c r="C402" s="43"/>
      <c r="D402" s="44"/>
      <c r="E402" s="44"/>
      <c r="F402" s="36" t="str">
        <f aca="false">IF(OR(D402="",E402=""),"",IF(IFERROR(INDEX(①出口报关!$I$4:$I$303,MATCH(E402,①出口报关!$A$4:$A$303,0)),"")=D402,"一致","SKU与报关单不符"))</f>
        <v/>
      </c>
      <c r="G402" s="45"/>
      <c r="H402" s="45"/>
      <c r="I402" s="31" t="str">
        <f aca="false">IF(AND(G402="",H402=""),"",N(G402)-N(H402))</f>
        <v/>
      </c>
      <c r="J402" s="46"/>
      <c r="K402" s="46"/>
      <c r="L402" s="34" t="str">
        <f aca="false">IF(AND(J402="",K402=""),"",N(J402)-N(K402))</f>
        <v/>
      </c>
      <c r="M402" s="35" t="str">
        <f aca="false">IF(B402="","",IF(COUNTIFS(③回款收汇!$A$4:$A$203,B402,③回款收汇!$R$4:$R$203,"&gt;0")&gt;0,"已收汇","待收汇"))</f>
        <v/>
      </c>
      <c r="N402" s="41"/>
      <c r="O402" s="41"/>
      <c r="P402" s="35" t="str">
        <f aca="true">IF(N402="","",IF(O402="",IF(TODAY()-N402&gt;15,"已超15天未留存","待留存"),IF(O402-N402&lt;=15,"及时","超期")))</f>
        <v/>
      </c>
      <c r="Q402" s="43"/>
    </row>
    <row r="403" customFormat="false" ht="21.75" hidden="false" customHeight="true" outlineLevel="0" collapsed="false">
      <c r="A403" s="49"/>
      <c r="B403" s="48"/>
      <c r="C403" s="43"/>
      <c r="D403" s="44"/>
      <c r="E403" s="44"/>
      <c r="F403" s="36" t="str">
        <f aca="false">IF(OR(D403="",E403=""),"",IF(IFERROR(INDEX(①出口报关!$I$4:$I$303,MATCH(E403,①出口报关!$A$4:$A$303,0)),"")=D403,"一致","SKU与报关单不符"))</f>
        <v/>
      </c>
      <c r="G403" s="45"/>
      <c r="H403" s="45"/>
      <c r="I403" s="31" t="str">
        <f aca="false">IF(AND(G403="",H403=""),"",N(G403)-N(H403))</f>
        <v/>
      </c>
      <c r="J403" s="46"/>
      <c r="K403" s="46"/>
      <c r="L403" s="34" t="str">
        <f aca="false">IF(AND(J403="",K403=""),"",N(J403)-N(K403))</f>
        <v/>
      </c>
      <c r="M403" s="35" t="str">
        <f aca="false">IF(B403="","",IF(COUNTIFS(③回款收汇!$A$4:$A$203,B403,③回款收汇!$R$4:$R$203,"&gt;0")&gt;0,"已收汇","待收汇"))</f>
        <v/>
      </c>
      <c r="N403" s="41"/>
      <c r="O403" s="41"/>
      <c r="P403" s="35" t="str">
        <f aca="true">IF(N403="","",IF(O403="",IF(TODAY()-N403&gt;15,"已超15天未留存","待留存"),IF(O403-N403&lt;=15,"及时","超期")))</f>
        <v/>
      </c>
      <c r="Q403" s="43"/>
    </row>
    <row r="404" customFormat="false" ht="21.75" hidden="false" customHeight="true" outlineLevel="0" collapsed="false">
      <c r="A404" s="49"/>
      <c r="B404" s="48"/>
      <c r="C404" s="43"/>
      <c r="D404" s="44"/>
      <c r="E404" s="44"/>
      <c r="F404" s="36" t="str">
        <f aca="false">IF(OR(D404="",E404=""),"",IF(IFERROR(INDEX(①出口报关!$I$4:$I$303,MATCH(E404,①出口报关!$A$4:$A$303,0)),"")=D404,"一致","SKU与报关单不符"))</f>
        <v/>
      </c>
      <c r="G404" s="45"/>
      <c r="H404" s="45"/>
      <c r="I404" s="31" t="str">
        <f aca="false">IF(AND(G404="",H404=""),"",N(G404)-N(H404))</f>
        <v/>
      </c>
      <c r="J404" s="46"/>
      <c r="K404" s="46"/>
      <c r="L404" s="34" t="str">
        <f aca="false">IF(AND(J404="",K404=""),"",N(J404)-N(K404))</f>
        <v/>
      </c>
      <c r="M404" s="35" t="str">
        <f aca="false">IF(B404="","",IF(COUNTIFS(③回款收汇!$A$4:$A$203,B404,③回款收汇!$R$4:$R$203,"&gt;0")&gt;0,"已收汇","待收汇"))</f>
        <v/>
      </c>
      <c r="N404" s="41"/>
      <c r="O404" s="41"/>
      <c r="P404" s="35" t="str">
        <f aca="true">IF(N404="","",IF(O404="",IF(TODAY()-N404&gt;15,"已超15天未留存","待留存"),IF(O404-N404&lt;=15,"及时","超期")))</f>
        <v/>
      </c>
      <c r="Q404" s="43"/>
    </row>
    <row r="405" customFormat="false" ht="21.75" hidden="false" customHeight="true" outlineLevel="0" collapsed="false">
      <c r="A405" s="49"/>
      <c r="B405" s="48"/>
      <c r="C405" s="43"/>
      <c r="D405" s="44"/>
      <c r="E405" s="44"/>
      <c r="F405" s="36" t="str">
        <f aca="false">IF(OR(D405="",E405=""),"",IF(IFERROR(INDEX(①出口报关!$I$4:$I$303,MATCH(E405,①出口报关!$A$4:$A$303,0)),"")=D405,"一致","SKU与报关单不符"))</f>
        <v/>
      </c>
      <c r="G405" s="45"/>
      <c r="H405" s="45"/>
      <c r="I405" s="31" t="str">
        <f aca="false">IF(AND(G405="",H405=""),"",N(G405)-N(H405))</f>
        <v/>
      </c>
      <c r="J405" s="46"/>
      <c r="K405" s="46"/>
      <c r="L405" s="34" t="str">
        <f aca="false">IF(AND(J405="",K405=""),"",N(J405)-N(K405))</f>
        <v/>
      </c>
      <c r="M405" s="35" t="str">
        <f aca="false">IF(B405="","",IF(COUNTIFS(③回款收汇!$A$4:$A$203,B405,③回款收汇!$R$4:$R$203,"&gt;0")&gt;0,"已收汇","待收汇"))</f>
        <v/>
      </c>
      <c r="N405" s="41"/>
      <c r="O405" s="41"/>
      <c r="P405" s="35" t="str">
        <f aca="true">IF(N405="","",IF(O405="",IF(TODAY()-N405&gt;15,"已超15天未留存","待留存"),IF(O405-N405&lt;=15,"及时","超期")))</f>
        <v/>
      </c>
      <c r="Q405" s="43"/>
    </row>
    <row r="406" customFormat="false" ht="21.75" hidden="false" customHeight="true" outlineLevel="0" collapsed="false">
      <c r="A406" s="49"/>
      <c r="B406" s="48"/>
      <c r="C406" s="43"/>
      <c r="D406" s="44"/>
      <c r="E406" s="44"/>
      <c r="F406" s="36" t="str">
        <f aca="false">IF(OR(D406="",E406=""),"",IF(IFERROR(INDEX(①出口报关!$I$4:$I$303,MATCH(E406,①出口报关!$A$4:$A$303,0)),"")=D406,"一致","SKU与报关单不符"))</f>
        <v/>
      </c>
      <c r="G406" s="45"/>
      <c r="H406" s="45"/>
      <c r="I406" s="31" t="str">
        <f aca="false">IF(AND(G406="",H406=""),"",N(G406)-N(H406))</f>
        <v/>
      </c>
      <c r="J406" s="46"/>
      <c r="K406" s="46"/>
      <c r="L406" s="34" t="str">
        <f aca="false">IF(AND(J406="",K406=""),"",N(J406)-N(K406))</f>
        <v/>
      </c>
      <c r="M406" s="35" t="str">
        <f aca="false">IF(B406="","",IF(COUNTIFS(③回款收汇!$A$4:$A$203,B406,③回款收汇!$R$4:$R$203,"&gt;0")&gt;0,"已收汇","待收汇"))</f>
        <v/>
      </c>
      <c r="N406" s="41"/>
      <c r="O406" s="41"/>
      <c r="P406" s="35" t="str">
        <f aca="true">IF(N406="","",IF(O406="",IF(TODAY()-N406&gt;15,"已超15天未留存","待留存"),IF(O406-N406&lt;=15,"及时","超期")))</f>
        <v/>
      </c>
      <c r="Q406" s="43"/>
    </row>
    <row r="407" customFormat="false" ht="21.75" hidden="false" customHeight="true" outlineLevel="0" collapsed="false">
      <c r="A407" s="49"/>
      <c r="B407" s="48"/>
      <c r="C407" s="43"/>
      <c r="D407" s="44"/>
      <c r="E407" s="44"/>
      <c r="F407" s="36" t="str">
        <f aca="false">IF(OR(D407="",E407=""),"",IF(IFERROR(INDEX(①出口报关!$I$4:$I$303,MATCH(E407,①出口报关!$A$4:$A$303,0)),"")=D407,"一致","SKU与报关单不符"))</f>
        <v/>
      </c>
      <c r="G407" s="45"/>
      <c r="H407" s="45"/>
      <c r="I407" s="31" t="str">
        <f aca="false">IF(AND(G407="",H407=""),"",N(G407)-N(H407))</f>
        <v/>
      </c>
      <c r="J407" s="46"/>
      <c r="K407" s="46"/>
      <c r="L407" s="34" t="str">
        <f aca="false">IF(AND(J407="",K407=""),"",N(J407)-N(K407))</f>
        <v/>
      </c>
      <c r="M407" s="35" t="str">
        <f aca="false">IF(B407="","",IF(COUNTIFS(③回款收汇!$A$4:$A$203,B407,③回款收汇!$R$4:$R$203,"&gt;0")&gt;0,"已收汇","待收汇"))</f>
        <v/>
      </c>
      <c r="N407" s="41"/>
      <c r="O407" s="41"/>
      <c r="P407" s="35" t="str">
        <f aca="true">IF(N407="","",IF(O407="",IF(TODAY()-N407&gt;15,"已超15天未留存","待留存"),IF(O407-N407&lt;=15,"及时","超期")))</f>
        <v/>
      </c>
      <c r="Q407" s="43"/>
    </row>
    <row r="408" customFormat="false" ht="21.75" hidden="false" customHeight="true" outlineLevel="0" collapsed="false">
      <c r="A408" s="49"/>
      <c r="B408" s="48"/>
      <c r="C408" s="43"/>
      <c r="D408" s="44"/>
      <c r="E408" s="44"/>
      <c r="F408" s="36" t="str">
        <f aca="false">IF(OR(D408="",E408=""),"",IF(IFERROR(INDEX(①出口报关!$I$4:$I$303,MATCH(E408,①出口报关!$A$4:$A$303,0)),"")=D408,"一致","SKU与报关单不符"))</f>
        <v/>
      </c>
      <c r="G408" s="45"/>
      <c r="H408" s="45"/>
      <c r="I408" s="31" t="str">
        <f aca="false">IF(AND(G408="",H408=""),"",N(G408)-N(H408))</f>
        <v/>
      </c>
      <c r="J408" s="46"/>
      <c r="K408" s="46"/>
      <c r="L408" s="34" t="str">
        <f aca="false">IF(AND(J408="",K408=""),"",N(J408)-N(K408))</f>
        <v/>
      </c>
      <c r="M408" s="35" t="str">
        <f aca="false">IF(B408="","",IF(COUNTIFS(③回款收汇!$A$4:$A$203,B408,③回款收汇!$R$4:$R$203,"&gt;0")&gt;0,"已收汇","待收汇"))</f>
        <v/>
      </c>
      <c r="N408" s="41"/>
      <c r="O408" s="41"/>
      <c r="P408" s="35" t="str">
        <f aca="true">IF(N408="","",IF(O408="",IF(TODAY()-N408&gt;15,"已超15天未留存","待留存"),IF(O408-N408&lt;=15,"及时","超期")))</f>
        <v/>
      </c>
      <c r="Q408" s="43"/>
    </row>
    <row r="409" customFormat="false" ht="21.75" hidden="false" customHeight="true" outlineLevel="0" collapsed="false">
      <c r="A409" s="49"/>
      <c r="B409" s="48"/>
      <c r="C409" s="43"/>
      <c r="D409" s="44"/>
      <c r="E409" s="44"/>
      <c r="F409" s="36" t="str">
        <f aca="false">IF(OR(D409="",E409=""),"",IF(IFERROR(INDEX(①出口报关!$I$4:$I$303,MATCH(E409,①出口报关!$A$4:$A$303,0)),"")=D409,"一致","SKU与报关单不符"))</f>
        <v/>
      </c>
      <c r="G409" s="45"/>
      <c r="H409" s="45"/>
      <c r="I409" s="31" t="str">
        <f aca="false">IF(AND(G409="",H409=""),"",N(G409)-N(H409))</f>
        <v/>
      </c>
      <c r="J409" s="46"/>
      <c r="K409" s="46"/>
      <c r="L409" s="34" t="str">
        <f aca="false">IF(AND(J409="",K409=""),"",N(J409)-N(K409))</f>
        <v/>
      </c>
      <c r="M409" s="35" t="str">
        <f aca="false">IF(B409="","",IF(COUNTIFS(③回款收汇!$A$4:$A$203,B409,③回款收汇!$R$4:$R$203,"&gt;0")&gt;0,"已收汇","待收汇"))</f>
        <v/>
      </c>
      <c r="N409" s="41"/>
      <c r="O409" s="41"/>
      <c r="P409" s="35" t="str">
        <f aca="true">IF(N409="","",IF(O409="",IF(TODAY()-N409&gt;15,"已超15天未留存","待留存"),IF(O409-N409&lt;=15,"及时","超期")))</f>
        <v/>
      </c>
      <c r="Q409" s="43"/>
    </row>
    <row r="410" customFormat="false" ht="21.75" hidden="false" customHeight="true" outlineLevel="0" collapsed="false">
      <c r="A410" s="49"/>
      <c r="B410" s="48"/>
      <c r="C410" s="43"/>
      <c r="D410" s="44"/>
      <c r="E410" s="44"/>
      <c r="F410" s="36" t="str">
        <f aca="false">IF(OR(D410="",E410=""),"",IF(IFERROR(INDEX(①出口报关!$I$4:$I$303,MATCH(E410,①出口报关!$A$4:$A$303,0)),"")=D410,"一致","SKU与报关单不符"))</f>
        <v/>
      </c>
      <c r="G410" s="45"/>
      <c r="H410" s="45"/>
      <c r="I410" s="31" t="str">
        <f aca="false">IF(AND(G410="",H410=""),"",N(G410)-N(H410))</f>
        <v/>
      </c>
      <c r="J410" s="46"/>
      <c r="K410" s="46"/>
      <c r="L410" s="34" t="str">
        <f aca="false">IF(AND(J410="",K410=""),"",N(J410)-N(K410))</f>
        <v/>
      </c>
      <c r="M410" s="35" t="str">
        <f aca="false">IF(B410="","",IF(COUNTIFS(③回款收汇!$A$4:$A$203,B410,③回款收汇!$R$4:$R$203,"&gt;0")&gt;0,"已收汇","待收汇"))</f>
        <v/>
      </c>
      <c r="N410" s="41"/>
      <c r="O410" s="41"/>
      <c r="P410" s="35" t="str">
        <f aca="true">IF(N410="","",IF(O410="",IF(TODAY()-N410&gt;15,"已超15天未留存","待留存"),IF(O410-N410&lt;=15,"及时","超期")))</f>
        <v/>
      </c>
      <c r="Q410" s="43"/>
    </row>
    <row r="411" customFormat="false" ht="21.75" hidden="false" customHeight="true" outlineLevel="0" collapsed="false">
      <c r="A411" s="49"/>
      <c r="B411" s="48"/>
      <c r="C411" s="43"/>
      <c r="D411" s="44"/>
      <c r="E411" s="44"/>
      <c r="F411" s="36" t="str">
        <f aca="false">IF(OR(D411="",E411=""),"",IF(IFERROR(INDEX(①出口报关!$I$4:$I$303,MATCH(E411,①出口报关!$A$4:$A$303,0)),"")=D411,"一致","SKU与报关单不符"))</f>
        <v/>
      </c>
      <c r="G411" s="45"/>
      <c r="H411" s="45"/>
      <c r="I411" s="31" t="str">
        <f aca="false">IF(AND(G411="",H411=""),"",N(G411)-N(H411))</f>
        <v/>
      </c>
      <c r="J411" s="46"/>
      <c r="K411" s="46"/>
      <c r="L411" s="34" t="str">
        <f aca="false">IF(AND(J411="",K411=""),"",N(J411)-N(K411))</f>
        <v/>
      </c>
      <c r="M411" s="35" t="str">
        <f aca="false">IF(B411="","",IF(COUNTIFS(③回款收汇!$A$4:$A$203,B411,③回款收汇!$R$4:$R$203,"&gt;0")&gt;0,"已收汇","待收汇"))</f>
        <v/>
      </c>
      <c r="N411" s="41"/>
      <c r="O411" s="41"/>
      <c r="P411" s="35" t="str">
        <f aca="true">IF(N411="","",IF(O411="",IF(TODAY()-N411&gt;15,"已超15天未留存","待留存"),IF(O411-N411&lt;=15,"及时","超期")))</f>
        <v/>
      </c>
      <c r="Q411" s="43"/>
    </row>
    <row r="412" customFormat="false" ht="21.75" hidden="false" customHeight="true" outlineLevel="0" collapsed="false">
      <c r="A412" s="49"/>
      <c r="B412" s="48"/>
      <c r="C412" s="43"/>
      <c r="D412" s="44"/>
      <c r="E412" s="44"/>
      <c r="F412" s="36" t="str">
        <f aca="false">IF(OR(D412="",E412=""),"",IF(IFERROR(INDEX(①出口报关!$I$4:$I$303,MATCH(E412,①出口报关!$A$4:$A$303,0)),"")=D412,"一致","SKU与报关单不符"))</f>
        <v/>
      </c>
      <c r="G412" s="45"/>
      <c r="H412" s="45"/>
      <c r="I412" s="31" t="str">
        <f aca="false">IF(AND(G412="",H412=""),"",N(G412)-N(H412))</f>
        <v/>
      </c>
      <c r="J412" s="46"/>
      <c r="K412" s="46"/>
      <c r="L412" s="34" t="str">
        <f aca="false">IF(AND(J412="",K412=""),"",N(J412)-N(K412))</f>
        <v/>
      </c>
      <c r="M412" s="35" t="str">
        <f aca="false">IF(B412="","",IF(COUNTIFS(③回款收汇!$A$4:$A$203,B412,③回款收汇!$R$4:$R$203,"&gt;0")&gt;0,"已收汇","待收汇"))</f>
        <v/>
      </c>
      <c r="N412" s="41"/>
      <c r="O412" s="41"/>
      <c r="P412" s="35" t="str">
        <f aca="true">IF(N412="","",IF(O412="",IF(TODAY()-N412&gt;15,"已超15天未留存","待留存"),IF(O412-N412&lt;=15,"及时","超期")))</f>
        <v/>
      </c>
      <c r="Q412" s="43"/>
    </row>
    <row r="413" customFormat="false" ht="21.75" hidden="false" customHeight="true" outlineLevel="0" collapsed="false">
      <c r="A413" s="49"/>
      <c r="B413" s="48"/>
      <c r="C413" s="43"/>
      <c r="D413" s="44"/>
      <c r="E413" s="44"/>
      <c r="F413" s="36" t="str">
        <f aca="false">IF(OR(D413="",E413=""),"",IF(IFERROR(INDEX(①出口报关!$I$4:$I$303,MATCH(E413,①出口报关!$A$4:$A$303,0)),"")=D413,"一致","SKU与报关单不符"))</f>
        <v/>
      </c>
      <c r="G413" s="45"/>
      <c r="H413" s="45"/>
      <c r="I413" s="31" t="str">
        <f aca="false">IF(AND(G413="",H413=""),"",N(G413)-N(H413))</f>
        <v/>
      </c>
      <c r="J413" s="46"/>
      <c r="K413" s="46"/>
      <c r="L413" s="34" t="str">
        <f aca="false">IF(AND(J413="",K413=""),"",N(J413)-N(K413))</f>
        <v/>
      </c>
      <c r="M413" s="35" t="str">
        <f aca="false">IF(B413="","",IF(COUNTIFS(③回款收汇!$A$4:$A$203,B413,③回款收汇!$R$4:$R$203,"&gt;0")&gt;0,"已收汇","待收汇"))</f>
        <v/>
      </c>
      <c r="N413" s="41"/>
      <c r="O413" s="41"/>
      <c r="P413" s="35" t="str">
        <f aca="true">IF(N413="","",IF(O413="",IF(TODAY()-N413&gt;15,"已超15天未留存","待留存"),IF(O413-N413&lt;=15,"及时","超期")))</f>
        <v/>
      </c>
      <c r="Q413" s="43"/>
    </row>
    <row r="414" customFormat="false" ht="21.75" hidden="false" customHeight="true" outlineLevel="0" collapsed="false">
      <c r="A414" s="49"/>
      <c r="B414" s="48"/>
      <c r="C414" s="43"/>
      <c r="D414" s="44"/>
      <c r="E414" s="44"/>
      <c r="F414" s="36" t="str">
        <f aca="false">IF(OR(D414="",E414=""),"",IF(IFERROR(INDEX(①出口报关!$I$4:$I$303,MATCH(E414,①出口报关!$A$4:$A$303,0)),"")=D414,"一致","SKU与报关单不符"))</f>
        <v/>
      </c>
      <c r="G414" s="45"/>
      <c r="H414" s="45"/>
      <c r="I414" s="31" t="str">
        <f aca="false">IF(AND(G414="",H414=""),"",N(G414)-N(H414))</f>
        <v/>
      </c>
      <c r="J414" s="46"/>
      <c r="K414" s="46"/>
      <c r="L414" s="34" t="str">
        <f aca="false">IF(AND(J414="",K414=""),"",N(J414)-N(K414))</f>
        <v/>
      </c>
      <c r="M414" s="35" t="str">
        <f aca="false">IF(B414="","",IF(COUNTIFS(③回款收汇!$A$4:$A$203,B414,③回款收汇!$R$4:$R$203,"&gt;0")&gt;0,"已收汇","待收汇"))</f>
        <v/>
      </c>
      <c r="N414" s="41"/>
      <c r="O414" s="41"/>
      <c r="P414" s="35" t="str">
        <f aca="true">IF(N414="","",IF(O414="",IF(TODAY()-N414&gt;15,"已超15天未留存","待留存"),IF(O414-N414&lt;=15,"及时","超期")))</f>
        <v/>
      </c>
      <c r="Q414" s="43"/>
    </row>
    <row r="415" customFormat="false" ht="21.75" hidden="false" customHeight="true" outlineLevel="0" collapsed="false">
      <c r="A415" s="49"/>
      <c r="B415" s="48"/>
      <c r="C415" s="43"/>
      <c r="D415" s="44"/>
      <c r="E415" s="44"/>
      <c r="F415" s="36" t="str">
        <f aca="false">IF(OR(D415="",E415=""),"",IF(IFERROR(INDEX(①出口报关!$I$4:$I$303,MATCH(E415,①出口报关!$A$4:$A$303,0)),"")=D415,"一致","SKU与报关单不符"))</f>
        <v/>
      </c>
      <c r="G415" s="45"/>
      <c r="H415" s="45"/>
      <c r="I415" s="31" t="str">
        <f aca="false">IF(AND(G415="",H415=""),"",N(G415)-N(H415))</f>
        <v/>
      </c>
      <c r="J415" s="46"/>
      <c r="K415" s="46"/>
      <c r="L415" s="34" t="str">
        <f aca="false">IF(AND(J415="",K415=""),"",N(J415)-N(K415))</f>
        <v/>
      </c>
      <c r="M415" s="35" t="str">
        <f aca="false">IF(B415="","",IF(COUNTIFS(③回款收汇!$A$4:$A$203,B415,③回款收汇!$R$4:$R$203,"&gt;0")&gt;0,"已收汇","待收汇"))</f>
        <v/>
      </c>
      <c r="N415" s="41"/>
      <c r="O415" s="41"/>
      <c r="P415" s="35" t="str">
        <f aca="true">IF(N415="","",IF(O415="",IF(TODAY()-N415&gt;15,"已超15天未留存","待留存"),IF(O415-N415&lt;=15,"及时","超期")))</f>
        <v/>
      </c>
      <c r="Q415" s="43"/>
    </row>
    <row r="416" customFormat="false" ht="21.75" hidden="false" customHeight="true" outlineLevel="0" collapsed="false">
      <c r="A416" s="49"/>
      <c r="B416" s="48"/>
      <c r="C416" s="43"/>
      <c r="D416" s="44"/>
      <c r="E416" s="44"/>
      <c r="F416" s="36" t="str">
        <f aca="false">IF(OR(D416="",E416=""),"",IF(IFERROR(INDEX(①出口报关!$I$4:$I$303,MATCH(E416,①出口报关!$A$4:$A$303,0)),"")=D416,"一致","SKU与报关单不符"))</f>
        <v/>
      </c>
      <c r="G416" s="45"/>
      <c r="H416" s="45"/>
      <c r="I416" s="31" t="str">
        <f aca="false">IF(AND(G416="",H416=""),"",N(G416)-N(H416))</f>
        <v/>
      </c>
      <c r="J416" s="46"/>
      <c r="K416" s="46"/>
      <c r="L416" s="34" t="str">
        <f aca="false">IF(AND(J416="",K416=""),"",N(J416)-N(K416))</f>
        <v/>
      </c>
      <c r="M416" s="35" t="str">
        <f aca="false">IF(B416="","",IF(COUNTIFS(③回款收汇!$A$4:$A$203,B416,③回款收汇!$R$4:$R$203,"&gt;0")&gt;0,"已收汇","待收汇"))</f>
        <v/>
      </c>
      <c r="N416" s="41"/>
      <c r="O416" s="41"/>
      <c r="P416" s="35" t="str">
        <f aca="true">IF(N416="","",IF(O416="",IF(TODAY()-N416&gt;15,"已超15天未留存","待留存"),IF(O416-N416&lt;=15,"及时","超期")))</f>
        <v/>
      </c>
      <c r="Q416" s="43"/>
    </row>
    <row r="417" customFormat="false" ht="21.75" hidden="false" customHeight="true" outlineLevel="0" collapsed="false">
      <c r="A417" s="49"/>
      <c r="B417" s="48"/>
      <c r="C417" s="43"/>
      <c r="D417" s="44"/>
      <c r="E417" s="44"/>
      <c r="F417" s="36" t="str">
        <f aca="false">IF(OR(D417="",E417=""),"",IF(IFERROR(INDEX(①出口报关!$I$4:$I$303,MATCH(E417,①出口报关!$A$4:$A$303,0)),"")=D417,"一致","SKU与报关单不符"))</f>
        <v/>
      </c>
      <c r="G417" s="45"/>
      <c r="H417" s="45"/>
      <c r="I417" s="31" t="str">
        <f aca="false">IF(AND(G417="",H417=""),"",N(G417)-N(H417))</f>
        <v/>
      </c>
      <c r="J417" s="46"/>
      <c r="K417" s="46"/>
      <c r="L417" s="34" t="str">
        <f aca="false">IF(AND(J417="",K417=""),"",N(J417)-N(K417))</f>
        <v/>
      </c>
      <c r="M417" s="35" t="str">
        <f aca="false">IF(B417="","",IF(COUNTIFS(③回款收汇!$A$4:$A$203,B417,③回款收汇!$R$4:$R$203,"&gt;0")&gt;0,"已收汇","待收汇"))</f>
        <v/>
      </c>
      <c r="N417" s="41"/>
      <c r="O417" s="41"/>
      <c r="P417" s="35" t="str">
        <f aca="true">IF(N417="","",IF(O417="",IF(TODAY()-N417&gt;15,"已超15天未留存","待留存"),IF(O417-N417&lt;=15,"及时","超期")))</f>
        <v/>
      </c>
      <c r="Q417" s="43"/>
    </row>
    <row r="418" customFormat="false" ht="21.75" hidden="false" customHeight="true" outlineLevel="0" collapsed="false">
      <c r="A418" s="49"/>
      <c r="B418" s="48"/>
      <c r="C418" s="43"/>
      <c r="D418" s="44"/>
      <c r="E418" s="44"/>
      <c r="F418" s="36" t="str">
        <f aca="false">IF(OR(D418="",E418=""),"",IF(IFERROR(INDEX(①出口报关!$I$4:$I$303,MATCH(E418,①出口报关!$A$4:$A$303,0)),"")=D418,"一致","SKU与报关单不符"))</f>
        <v/>
      </c>
      <c r="G418" s="45"/>
      <c r="H418" s="45"/>
      <c r="I418" s="31" t="str">
        <f aca="false">IF(AND(G418="",H418=""),"",N(G418)-N(H418))</f>
        <v/>
      </c>
      <c r="J418" s="46"/>
      <c r="K418" s="46"/>
      <c r="L418" s="34" t="str">
        <f aca="false">IF(AND(J418="",K418=""),"",N(J418)-N(K418))</f>
        <v/>
      </c>
      <c r="M418" s="35" t="str">
        <f aca="false">IF(B418="","",IF(COUNTIFS(③回款收汇!$A$4:$A$203,B418,③回款收汇!$R$4:$R$203,"&gt;0")&gt;0,"已收汇","待收汇"))</f>
        <v/>
      </c>
      <c r="N418" s="41"/>
      <c r="O418" s="41"/>
      <c r="P418" s="35" t="str">
        <f aca="true">IF(N418="","",IF(O418="",IF(TODAY()-N418&gt;15,"已超15天未留存","待留存"),IF(O418-N418&lt;=15,"及时","超期")))</f>
        <v/>
      </c>
      <c r="Q418" s="43"/>
    </row>
    <row r="419" customFormat="false" ht="21.75" hidden="false" customHeight="true" outlineLevel="0" collapsed="false">
      <c r="A419" s="49"/>
      <c r="B419" s="48"/>
      <c r="C419" s="43"/>
      <c r="D419" s="44"/>
      <c r="E419" s="44"/>
      <c r="F419" s="36" t="str">
        <f aca="false">IF(OR(D419="",E419=""),"",IF(IFERROR(INDEX(①出口报关!$I$4:$I$303,MATCH(E419,①出口报关!$A$4:$A$303,0)),"")=D419,"一致","SKU与报关单不符"))</f>
        <v/>
      </c>
      <c r="G419" s="45"/>
      <c r="H419" s="45"/>
      <c r="I419" s="31" t="str">
        <f aca="false">IF(AND(G419="",H419=""),"",N(G419)-N(H419))</f>
        <v/>
      </c>
      <c r="J419" s="46"/>
      <c r="K419" s="46"/>
      <c r="L419" s="34" t="str">
        <f aca="false">IF(AND(J419="",K419=""),"",N(J419)-N(K419))</f>
        <v/>
      </c>
      <c r="M419" s="35" t="str">
        <f aca="false">IF(B419="","",IF(COUNTIFS(③回款收汇!$A$4:$A$203,B419,③回款收汇!$R$4:$R$203,"&gt;0")&gt;0,"已收汇","待收汇"))</f>
        <v/>
      </c>
      <c r="N419" s="41"/>
      <c r="O419" s="41"/>
      <c r="P419" s="35" t="str">
        <f aca="true">IF(N419="","",IF(O419="",IF(TODAY()-N419&gt;15,"已超15天未留存","待留存"),IF(O419-N419&lt;=15,"及时","超期")))</f>
        <v/>
      </c>
      <c r="Q419" s="43"/>
    </row>
    <row r="420" customFormat="false" ht="21.75" hidden="false" customHeight="true" outlineLevel="0" collapsed="false">
      <c r="A420" s="49"/>
      <c r="B420" s="48"/>
      <c r="C420" s="43"/>
      <c r="D420" s="44"/>
      <c r="E420" s="44"/>
      <c r="F420" s="36" t="str">
        <f aca="false">IF(OR(D420="",E420=""),"",IF(IFERROR(INDEX(①出口报关!$I$4:$I$303,MATCH(E420,①出口报关!$A$4:$A$303,0)),"")=D420,"一致","SKU与报关单不符"))</f>
        <v/>
      </c>
      <c r="G420" s="45"/>
      <c r="H420" s="45"/>
      <c r="I420" s="31" t="str">
        <f aca="false">IF(AND(G420="",H420=""),"",N(G420)-N(H420))</f>
        <v/>
      </c>
      <c r="J420" s="46"/>
      <c r="K420" s="46"/>
      <c r="L420" s="34" t="str">
        <f aca="false">IF(AND(J420="",K420=""),"",N(J420)-N(K420))</f>
        <v/>
      </c>
      <c r="M420" s="35" t="str">
        <f aca="false">IF(B420="","",IF(COUNTIFS(③回款收汇!$A$4:$A$203,B420,③回款收汇!$R$4:$R$203,"&gt;0")&gt;0,"已收汇","待收汇"))</f>
        <v/>
      </c>
      <c r="N420" s="41"/>
      <c r="O420" s="41"/>
      <c r="P420" s="35" t="str">
        <f aca="true">IF(N420="","",IF(O420="",IF(TODAY()-N420&gt;15,"已超15天未留存","待留存"),IF(O420-N420&lt;=15,"及时","超期")))</f>
        <v/>
      </c>
      <c r="Q420" s="43"/>
    </row>
    <row r="421" customFormat="false" ht="21.75" hidden="false" customHeight="true" outlineLevel="0" collapsed="false">
      <c r="A421" s="49"/>
      <c r="B421" s="48"/>
      <c r="C421" s="43"/>
      <c r="D421" s="44"/>
      <c r="E421" s="44"/>
      <c r="F421" s="36" t="str">
        <f aca="false">IF(OR(D421="",E421=""),"",IF(IFERROR(INDEX(①出口报关!$I$4:$I$303,MATCH(E421,①出口报关!$A$4:$A$303,0)),"")=D421,"一致","SKU与报关单不符"))</f>
        <v/>
      </c>
      <c r="G421" s="45"/>
      <c r="H421" s="45"/>
      <c r="I421" s="31" t="str">
        <f aca="false">IF(AND(G421="",H421=""),"",N(G421)-N(H421))</f>
        <v/>
      </c>
      <c r="J421" s="46"/>
      <c r="K421" s="46"/>
      <c r="L421" s="34" t="str">
        <f aca="false">IF(AND(J421="",K421=""),"",N(J421)-N(K421))</f>
        <v/>
      </c>
      <c r="M421" s="35" t="str">
        <f aca="false">IF(B421="","",IF(COUNTIFS(③回款收汇!$A$4:$A$203,B421,③回款收汇!$R$4:$R$203,"&gt;0")&gt;0,"已收汇","待收汇"))</f>
        <v/>
      </c>
      <c r="N421" s="41"/>
      <c r="O421" s="41"/>
      <c r="P421" s="35" t="str">
        <f aca="true">IF(N421="","",IF(O421="",IF(TODAY()-N421&gt;15,"已超15天未留存","待留存"),IF(O421-N421&lt;=15,"及时","超期")))</f>
        <v/>
      </c>
      <c r="Q421" s="43"/>
    </row>
    <row r="422" customFormat="false" ht="21.75" hidden="false" customHeight="true" outlineLevel="0" collapsed="false">
      <c r="A422" s="49"/>
      <c r="B422" s="48"/>
      <c r="C422" s="43"/>
      <c r="D422" s="44"/>
      <c r="E422" s="44"/>
      <c r="F422" s="36" t="str">
        <f aca="false">IF(OR(D422="",E422=""),"",IF(IFERROR(INDEX(①出口报关!$I$4:$I$303,MATCH(E422,①出口报关!$A$4:$A$303,0)),"")=D422,"一致","SKU与报关单不符"))</f>
        <v/>
      </c>
      <c r="G422" s="45"/>
      <c r="H422" s="45"/>
      <c r="I422" s="31" t="str">
        <f aca="false">IF(AND(G422="",H422=""),"",N(G422)-N(H422))</f>
        <v/>
      </c>
      <c r="J422" s="46"/>
      <c r="K422" s="46"/>
      <c r="L422" s="34" t="str">
        <f aca="false">IF(AND(J422="",K422=""),"",N(J422)-N(K422))</f>
        <v/>
      </c>
      <c r="M422" s="35" t="str">
        <f aca="false">IF(B422="","",IF(COUNTIFS(③回款收汇!$A$4:$A$203,B422,③回款收汇!$R$4:$R$203,"&gt;0")&gt;0,"已收汇","待收汇"))</f>
        <v/>
      </c>
      <c r="N422" s="41"/>
      <c r="O422" s="41"/>
      <c r="P422" s="35" t="str">
        <f aca="true">IF(N422="","",IF(O422="",IF(TODAY()-N422&gt;15,"已超15天未留存","待留存"),IF(O422-N422&lt;=15,"及时","超期")))</f>
        <v/>
      </c>
      <c r="Q422" s="43"/>
    </row>
    <row r="423" customFormat="false" ht="21.75" hidden="false" customHeight="true" outlineLevel="0" collapsed="false">
      <c r="A423" s="49"/>
      <c r="B423" s="48"/>
      <c r="C423" s="43"/>
      <c r="D423" s="44"/>
      <c r="E423" s="44"/>
      <c r="F423" s="36" t="str">
        <f aca="false">IF(OR(D423="",E423=""),"",IF(IFERROR(INDEX(①出口报关!$I$4:$I$303,MATCH(E423,①出口报关!$A$4:$A$303,0)),"")=D423,"一致","SKU与报关单不符"))</f>
        <v/>
      </c>
      <c r="G423" s="45"/>
      <c r="H423" s="45"/>
      <c r="I423" s="31" t="str">
        <f aca="false">IF(AND(G423="",H423=""),"",N(G423)-N(H423))</f>
        <v/>
      </c>
      <c r="J423" s="46"/>
      <c r="K423" s="46"/>
      <c r="L423" s="34" t="str">
        <f aca="false">IF(AND(J423="",K423=""),"",N(J423)-N(K423))</f>
        <v/>
      </c>
      <c r="M423" s="35" t="str">
        <f aca="false">IF(B423="","",IF(COUNTIFS(③回款收汇!$A$4:$A$203,B423,③回款收汇!$R$4:$R$203,"&gt;0")&gt;0,"已收汇","待收汇"))</f>
        <v/>
      </c>
      <c r="N423" s="41"/>
      <c r="O423" s="41"/>
      <c r="P423" s="35" t="str">
        <f aca="true">IF(N423="","",IF(O423="",IF(TODAY()-N423&gt;15,"已超15天未留存","待留存"),IF(O423-N423&lt;=15,"及时","超期")))</f>
        <v/>
      </c>
      <c r="Q423" s="43"/>
    </row>
    <row r="424" customFormat="false" ht="21.75" hidden="false" customHeight="true" outlineLevel="0" collapsed="false">
      <c r="A424" s="49"/>
      <c r="B424" s="48"/>
      <c r="C424" s="43"/>
      <c r="D424" s="44"/>
      <c r="E424" s="44"/>
      <c r="F424" s="36" t="str">
        <f aca="false">IF(OR(D424="",E424=""),"",IF(IFERROR(INDEX(①出口报关!$I$4:$I$303,MATCH(E424,①出口报关!$A$4:$A$303,0)),"")=D424,"一致","SKU与报关单不符"))</f>
        <v/>
      </c>
      <c r="G424" s="45"/>
      <c r="H424" s="45"/>
      <c r="I424" s="31" t="str">
        <f aca="false">IF(AND(G424="",H424=""),"",N(G424)-N(H424))</f>
        <v/>
      </c>
      <c r="J424" s="46"/>
      <c r="K424" s="46"/>
      <c r="L424" s="34" t="str">
        <f aca="false">IF(AND(J424="",K424=""),"",N(J424)-N(K424))</f>
        <v/>
      </c>
      <c r="M424" s="35" t="str">
        <f aca="false">IF(B424="","",IF(COUNTIFS(③回款收汇!$A$4:$A$203,B424,③回款收汇!$R$4:$R$203,"&gt;0")&gt;0,"已收汇","待收汇"))</f>
        <v/>
      </c>
      <c r="N424" s="41"/>
      <c r="O424" s="41"/>
      <c r="P424" s="35" t="str">
        <f aca="true">IF(N424="","",IF(O424="",IF(TODAY()-N424&gt;15,"已超15天未留存","待留存"),IF(O424-N424&lt;=15,"及时","超期")))</f>
        <v/>
      </c>
      <c r="Q424" s="43"/>
    </row>
    <row r="425" customFormat="false" ht="21.75" hidden="false" customHeight="true" outlineLevel="0" collapsed="false">
      <c r="A425" s="49"/>
      <c r="B425" s="48"/>
      <c r="C425" s="43"/>
      <c r="D425" s="44"/>
      <c r="E425" s="44"/>
      <c r="F425" s="36" t="str">
        <f aca="false">IF(OR(D425="",E425=""),"",IF(IFERROR(INDEX(①出口报关!$I$4:$I$303,MATCH(E425,①出口报关!$A$4:$A$303,0)),"")=D425,"一致","SKU与报关单不符"))</f>
        <v/>
      </c>
      <c r="G425" s="45"/>
      <c r="H425" s="45"/>
      <c r="I425" s="31" t="str">
        <f aca="false">IF(AND(G425="",H425=""),"",N(G425)-N(H425))</f>
        <v/>
      </c>
      <c r="J425" s="46"/>
      <c r="K425" s="46"/>
      <c r="L425" s="34" t="str">
        <f aca="false">IF(AND(J425="",K425=""),"",N(J425)-N(K425))</f>
        <v/>
      </c>
      <c r="M425" s="35" t="str">
        <f aca="false">IF(B425="","",IF(COUNTIFS(③回款收汇!$A$4:$A$203,B425,③回款收汇!$R$4:$R$203,"&gt;0")&gt;0,"已收汇","待收汇"))</f>
        <v/>
      </c>
      <c r="N425" s="41"/>
      <c r="O425" s="41"/>
      <c r="P425" s="35" t="str">
        <f aca="true">IF(N425="","",IF(O425="",IF(TODAY()-N425&gt;15,"已超15天未留存","待留存"),IF(O425-N425&lt;=15,"及时","超期")))</f>
        <v/>
      </c>
      <c r="Q425" s="43"/>
    </row>
    <row r="426" customFormat="false" ht="21.75" hidden="false" customHeight="true" outlineLevel="0" collapsed="false">
      <c r="A426" s="49"/>
      <c r="B426" s="48"/>
      <c r="C426" s="43"/>
      <c r="D426" s="44"/>
      <c r="E426" s="44"/>
      <c r="F426" s="36" t="str">
        <f aca="false">IF(OR(D426="",E426=""),"",IF(IFERROR(INDEX(①出口报关!$I$4:$I$303,MATCH(E426,①出口报关!$A$4:$A$303,0)),"")=D426,"一致","SKU与报关单不符"))</f>
        <v/>
      </c>
      <c r="G426" s="45"/>
      <c r="H426" s="45"/>
      <c r="I426" s="31" t="str">
        <f aca="false">IF(AND(G426="",H426=""),"",N(G426)-N(H426))</f>
        <v/>
      </c>
      <c r="J426" s="46"/>
      <c r="K426" s="46"/>
      <c r="L426" s="34" t="str">
        <f aca="false">IF(AND(J426="",K426=""),"",N(J426)-N(K426))</f>
        <v/>
      </c>
      <c r="M426" s="35" t="str">
        <f aca="false">IF(B426="","",IF(COUNTIFS(③回款收汇!$A$4:$A$203,B426,③回款收汇!$R$4:$R$203,"&gt;0")&gt;0,"已收汇","待收汇"))</f>
        <v/>
      </c>
      <c r="N426" s="41"/>
      <c r="O426" s="41"/>
      <c r="P426" s="35" t="str">
        <f aca="true">IF(N426="","",IF(O426="",IF(TODAY()-N426&gt;15,"已超15天未留存","待留存"),IF(O426-N426&lt;=15,"及时","超期")))</f>
        <v/>
      </c>
      <c r="Q426" s="43"/>
    </row>
    <row r="427" customFormat="false" ht="21.75" hidden="false" customHeight="true" outlineLevel="0" collapsed="false">
      <c r="A427" s="49"/>
      <c r="B427" s="48"/>
      <c r="C427" s="43"/>
      <c r="D427" s="44"/>
      <c r="E427" s="44"/>
      <c r="F427" s="36" t="str">
        <f aca="false">IF(OR(D427="",E427=""),"",IF(IFERROR(INDEX(①出口报关!$I$4:$I$303,MATCH(E427,①出口报关!$A$4:$A$303,0)),"")=D427,"一致","SKU与报关单不符"))</f>
        <v/>
      </c>
      <c r="G427" s="45"/>
      <c r="H427" s="45"/>
      <c r="I427" s="31" t="str">
        <f aca="false">IF(AND(G427="",H427=""),"",N(G427)-N(H427))</f>
        <v/>
      </c>
      <c r="J427" s="46"/>
      <c r="K427" s="46"/>
      <c r="L427" s="34" t="str">
        <f aca="false">IF(AND(J427="",K427=""),"",N(J427)-N(K427))</f>
        <v/>
      </c>
      <c r="M427" s="35" t="str">
        <f aca="false">IF(B427="","",IF(COUNTIFS(③回款收汇!$A$4:$A$203,B427,③回款收汇!$R$4:$R$203,"&gt;0")&gt;0,"已收汇","待收汇"))</f>
        <v/>
      </c>
      <c r="N427" s="41"/>
      <c r="O427" s="41"/>
      <c r="P427" s="35" t="str">
        <f aca="true">IF(N427="","",IF(O427="",IF(TODAY()-N427&gt;15,"已超15天未留存","待留存"),IF(O427-N427&lt;=15,"及时","超期")))</f>
        <v/>
      </c>
      <c r="Q427" s="43"/>
    </row>
    <row r="428" customFormat="false" ht="21.75" hidden="false" customHeight="true" outlineLevel="0" collapsed="false">
      <c r="A428" s="49"/>
      <c r="B428" s="48"/>
      <c r="C428" s="43"/>
      <c r="D428" s="44"/>
      <c r="E428" s="44"/>
      <c r="F428" s="36" t="str">
        <f aca="false">IF(OR(D428="",E428=""),"",IF(IFERROR(INDEX(①出口报关!$I$4:$I$303,MATCH(E428,①出口报关!$A$4:$A$303,0)),"")=D428,"一致","SKU与报关单不符"))</f>
        <v/>
      </c>
      <c r="G428" s="45"/>
      <c r="H428" s="45"/>
      <c r="I428" s="31" t="str">
        <f aca="false">IF(AND(G428="",H428=""),"",N(G428)-N(H428))</f>
        <v/>
      </c>
      <c r="J428" s="46"/>
      <c r="K428" s="46"/>
      <c r="L428" s="34" t="str">
        <f aca="false">IF(AND(J428="",K428=""),"",N(J428)-N(K428))</f>
        <v/>
      </c>
      <c r="M428" s="35" t="str">
        <f aca="false">IF(B428="","",IF(COUNTIFS(③回款收汇!$A$4:$A$203,B428,③回款收汇!$R$4:$R$203,"&gt;0")&gt;0,"已收汇","待收汇"))</f>
        <v/>
      </c>
      <c r="N428" s="41"/>
      <c r="O428" s="41"/>
      <c r="P428" s="35" t="str">
        <f aca="true">IF(N428="","",IF(O428="",IF(TODAY()-N428&gt;15,"已超15天未留存","待留存"),IF(O428-N428&lt;=15,"及时","超期")))</f>
        <v/>
      </c>
      <c r="Q428" s="43"/>
    </row>
    <row r="429" customFormat="false" ht="21.75" hidden="false" customHeight="true" outlineLevel="0" collapsed="false">
      <c r="A429" s="49"/>
      <c r="B429" s="48"/>
      <c r="C429" s="43"/>
      <c r="D429" s="44"/>
      <c r="E429" s="44"/>
      <c r="F429" s="36" t="str">
        <f aca="false">IF(OR(D429="",E429=""),"",IF(IFERROR(INDEX(①出口报关!$I$4:$I$303,MATCH(E429,①出口报关!$A$4:$A$303,0)),"")=D429,"一致","SKU与报关单不符"))</f>
        <v/>
      </c>
      <c r="G429" s="45"/>
      <c r="H429" s="45"/>
      <c r="I429" s="31" t="str">
        <f aca="false">IF(AND(G429="",H429=""),"",N(G429)-N(H429))</f>
        <v/>
      </c>
      <c r="J429" s="46"/>
      <c r="K429" s="46"/>
      <c r="L429" s="34" t="str">
        <f aca="false">IF(AND(J429="",K429=""),"",N(J429)-N(K429))</f>
        <v/>
      </c>
      <c r="M429" s="35" t="str">
        <f aca="false">IF(B429="","",IF(COUNTIFS(③回款收汇!$A$4:$A$203,B429,③回款收汇!$R$4:$R$203,"&gt;0")&gt;0,"已收汇","待收汇"))</f>
        <v/>
      </c>
      <c r="N429" s="41"/>
      <c r="O429" s="41"/>
      <c r="P429" s="35" t="str">
        <f aca="true">IF(N429="","",IF(O429="",IF(TODAY()-N429&gt;15,"已超15天未留存","待留存"),IF(O429-N429&lt;=15,"及时","超期")))</f>
        <v/>
      </c>
      <c r="Q429" s="43"/>
    </row>
    <row r="430" customFormat="false" ht="21.75" hidden="false" customHeight="true" outlineLevel="0" collapsed="false">
      <c r="A430" s="49"/>
      <c r="B430" s="48"/>
      <c r="C430" s="43"/>
      <c r="D430" s="44"/>
      <c r="E430" s="44"/>
      <c r="F430" s="36" t="str">
        <f aca="false">IF(OR(D430="",E430=""),"",IF(IFERROR(INDEX(①出口报关!$I$4:$I$303,MATCH(E430,①出口报关!$A$4:$A$303,0)),"")=D430,"一致","SKU与报关单不符"))</f>
        <v/>
      </c>
      <c r="G430" s="45"/>
      <c r="H430" s="45"/>
      <c r="I430" s="31" t="str">
        <f aca="false">IF(AND(G430="",H430=""),"",N(G430)-N(H430))</f>
        <v/>
      </c>
      <c r="J430" s="46"/>
      <c r="K430" s="46"/>
      <c r="L430" s="34" t="str">
        <f aca="false">IF(AND(J430="",K430=""),"",N(J430)-N(K430))</f>
        <v/>
      </c>
      <c r="M430" s="35" t="str">
        <f aca="false">IF(B430="","",IF(COUNTIFS(③回款收汇!$A$4:$A$203,B430,③回款收汇!$R$4:$R$203,"&gt;0")&gt;0,"已收汇","待收汇"))</f>
        <v/>
      </c>
      <c r="N430" s="41"/>
      <c r="O430" s="41"/>
      <c r="P430" s="35" t="str">
        <f aca="true">IF(N430="","",IF(O430="",IF(TODAY()-N430&gt;15,"已超15天未留存","待留存"),IF(O430-N430&lt;=15,"及时","超期")))</f>
        <v/>
      </c>
      <c r="Q430" s="43"/>
    </row>
    <row r="431" customFormat="false" ht="21.75" hidden="false" customHeight="true" outlineLevel="0" collapsed="false">
      <c r="A431" s="49"/>
      <c r="B431" s="48"/>
      <c r="C431" s="43"/>
      <c r="D431" s="44"/>
      <c r="E431" s="44"/>
      <c r="F431" s="36" t="str">
        <f aca="false">IF(OR(D431="",E431=""),"",IF(IFERROR(INDEX(①出口报关!$I$4:$I$303,MATCH(E431,①出口报关!$A$4:$A$303,0)),"")=D431,"一致","SKU与报关单不符"))</f>
        <v/>
      </c>
      <c r="G431" s="45"/>
      <c r="H431" s="45"/>
      <c r="I431" s="31" t="str">
        <f aca="false">IF(AND(G431="",H431=""),"",N(G431)-N(H431))</f>
        <v/>
      </c>
      <c r="J431" s="46"/>
      <c r="K431" s="46"/>
      <c r="L431" s="34" t="str">
        <f aca="false">IF(AND(J431="",K431=""),"",N(J431)-N(K431))</f>
        <v/>
      </c>
      <c r="M431" s="35" t="str">
        <f aca="false">IF(B431="","",IF(COUNTIFS(③回款收汇!$A$4:$A$203,B431,③回款收汇!$R$4:$R$203,"&gt;0")&gt;0,"已收汇","待收汇"))</f>
        <v/>
      </c>
      <c r="N431" s="41"/>
      <c r="O431" s="41"/>
      <c r="P431" s="35" t="str">
        <f aca="true">IF(N431="","",IF(O431="",IF(TODAY()-N431&gt;15,"已超15天未留存","待留存"),IF(O431-N431&lt;=15,"及时","超期")))</f>
        <v/>
      </c>
      <c r="Q431" s="43"/>
    </row>
    <row r="432" customFormat="false" ht="21.75" hidden="false" customHeight="true" outlineLevel="0" collapsed="false">
      <c r="A432" s="49"/>
      <c r="B432" s="48"/>
      <c r="C432" s="43"/>
      <c r="D432" s="44"/>
      <c r="E432" s="44"/>
      <c r="F432" s="36" t="str">
        <f aca="false">IF(OR(D432="",E432=""),"",IF(IFERROR(INDEX(①出口报关!$I$4:$I$303,MATCH(E432,①出口报关!$A$4:$A$303,0)),"")=D432,"一致","SKU与报关单不符"))</f>
        <v/>
      </c>
      <c r="G432" s="45"/>
      <c r="H432" s="45"/>
      <c r="I432" s="31" t="str">
        <f aca="false">IF(AND(G432="",H432=""),"",N(G432)-N(H432))</f>
        <v/>
      </c>
      <c r="J432" s="46"/>
      <c r="K432" s="46"/>
      <c r="L432" s="34" t="str">
        <f aca="false">IF(AND(J432="",K432=""),"",N(J432)-N(K432))</f>
        <v/>
      </c>
      <c r="M432" s="35" t="str">
        <f aca="false">IF(B432="","",IF(COUNTIFS(③回款收汇!$A$4:$A$203,B432,③回款收汇!$R$4:$R$203,"&gt;0")&gt;0,"已收汇","待收汇"))</f>
        <v/>
      </c>
      <c r="N432" s="41"/>
      <c r="O432" s="41"/>
      <c r="P432" s="35" t="str">
        <f aca="true">IF(N432="","",IF(O432="",IF(TODAY()-N432&gt;15,"已超15天未留存","待留存"),IF(O432-N432&lt;=15,"及时","超期")))</f>
        <v/>
      </c>
      <c r="Q432" s="43"/>
    </row>
    <row r="433" customFormat="false" ht="21.75" hidden="false" customHeight="true" outlineLevel="0" collapsed="false">
      <c r="A433" s="49"/>
      <c r="B433" s="48"/>
      <c r="C433" s="43"/>
      <c r="D433" s="44"/>
      <c r="E433" s="44"/>
      <c r="F433" s="36" t="str">
        <f aca="false">IF(OR(D433="",E433=""),"",IF(IFERROR(INDEX(①出口报关!$I$4:$I$303,MATCH(E433,①出口报关!$A$4:$A$303,0)),"")=D433,"一致","SKU与报关单不符"))</f>
        <v/>
      </c>
      <c r="G433" s="45"/>
      <c r="H433" s="45"/>
      <c r="I433" s="31" t="str">
        <f aca="false">IF(AND(G433="",H433=""),"",N(G433)-N(H433))</f>
        <v/>
      </c>
      <c r="J433" s="46"/>
      <c r="K433" s="46"/>
      <c r="L433" s="34" t="str">
        <f aca="false">IF(AND(J433="",K433=""),"",N(J433)-N(K433))</f>
        <v/>
      </c>
      <c r="M433" s="35" t="str">
        <f aca="false">IF(B433="","",IF(COUNTIFS(③回款收汇!$A$4:$A$203,B433,③回款收汇!$R$4:$R$203,"&gt;0")&gt;0,"已收汇","待收汇"))</f>
        <v/>
      </c>
      <c r="N433" s="41"/>
      <c r="O433" s="41"/>
      <c r="P433" s="35" t="str">
        <f aca="true">IF(N433="","",IF(O433="",IF(TODAY()-N433&gt;15,"已超15天未留存","待留存"),IF(O433-N433&lt;=15,"及时","超期")))</f>
        <v/>
      </c>
      <c r="Q433" s="43"/>
    </row>
    <row r="434" customFormat="false" ht="21.75" hidden="false" customHeight="true" outlineLevel="0" collapsed="false">
      <c r="A434" s="49"/>
      <c r="B434" s="48"/>
      <c r="C434" s="43"/>
      <c r="D434" s="44"/>
      <c r="E434" s="44"/>
      <c r="F434" s="36" t="str">
        <f aca="false">IF(OR(D434="",E434=""),"",IF(IFERROR(INDEX(①出口报关!$I$4:$I$303,MATCH(E434,①出口报关!$A$4:$A$303,0)),"")=D434,"一致","SKU与报关单不符"))</f>
        <v/>
      </c>
      <c r="G434" s="45"/>
      <c r="H434" s="45"/>
      <c r="I434" s="31" t="str">
        <f aca="false">IF(AND(G434="",H434=""),"",N(G434)-N(H434))</f>
        <v/>
      </c>
      <c r="J434" s="46"/>
      <c r="K434" s="46"/>
      <c r="L434" s="34" t="str">
        <f aca="false">IF(AND(J434="",K434=""),"",N(J434)-N(K434))</f>
        <v/>
      </c>
      <c r="M434" s="35" t="str">
        <f aca="false">IF(B434="","",IF(COUNTIFS(③回款收汇!$A$4:$A$203,B434,③回款收汇!$R$4:$R$203,"&gt;0")&gt;0,"已收汇","待收汇"))</f>
        <v/>
      </c>
      <c r="N434" s="41"/>
      <c r="O434" s="41"/>
      <c r="P434" s="35" t="str">
        <f aca="true">IF(N434="","",IF(O434="",IF(TODAY()-N434&gt;15,"已超15天未留存","待留存"),IF(O434-N434&lt;=15,"及时","超期")))</f>
        <v/>
      </c>
      <c r="Q434" s="43"/>
    </row>
    <row r="435" customFormat="false" ht="21.75" hidden="false" customHeight="true" outlineLevel="0" collapsed="false">
      <c r="A435" s="49"/>
      <c r="B435" s="48"/>
      <c r="C435" s="43"/>
      <c r="D435" s="44"/>
      <c r="E435" s="44"/>
      <c r="F435" s="36" t="str">
        <f aca="false">IF(OR(D435="",E435=""),"",IF(IFERROR(INDEX(①出口报关!$I$4:$I$303,MATCH(E435,①出口报关!$A$4:$A$303,0)),"")=D435,"一致","SKU与报关单不符"))</f>
        <v/>
      </c>
      <c r="G435" s="45"/>
      <c r="H435" s="45"/>
      <c r="I435" s="31" t="str">
        <f aca="false">IF(AND(G435="",H435=""),"",N(G435)-N(H435))</f>
        <v/>
      </c>
      <c r="J435" s="46"/>
      <c r="K435" s="46"/>
      <c r="L435" s="34" t="str">
        <f aca="false">IF(AND(J435="",K435=""),"",N(J435)-N(K435))</f>
        <v/>
      </c>
      <c r="M435" s="35" t="str">
        <f aca="false">IF(B435="","",IF(COUNTIFS(③回款收汇!$A$4:$A$203,B435,③回款收汇!$R$4:$R$203,"&gt;0")&gt;0,"已收汇","待收汇"))</f>
        <v/>
      </c>
      <c r="N435" s="41"/>
      <c r="O435" s="41"/>
      <c r="P435" s="35" t="str">
        <f aca="true">IF(N435="","",IF(O435="",IF(TODAY()-N435&gt;15,"已超15天未留存","待留存"),IF(O435-N435&lt;=15,"及时","超期")))</f>
        <v/>
      </c>
      <c r="Q435" s="43"/>
    </row>
    <row r="436" customFormat="false" ht="21.75" hidden="false" customHeight="true" outlineLevel="0" collapsed="false">
      <c r="A436" s="49"/>
      <c r="B436" s="48"/>
      <c r="C436" s="43"/>
      <c r="D436" s="44"/>
      <c r="E436" s="44"/>
      <c r="F436" s="36" t="str">
        <f aca="false">IF(OR(D436="",E436=""),"",IF(IFERROR(INDEX(①出口报关!$I$4:$I$303,MATCH(E436,①出口报关!$A$4:$A$303,0)),"")=D436,"一致","SKU与报关单不符"))</f>
        <v/>
      </c>
      <c r="G436" s="45"/>
      <c r="H436" s="45"/>
      <c r="I436" s="31" t="str">
        <f aca="false">IF(AND(G436="",H436=""),"",N(G436)-N(H436))</f>
        <v/>
      </c>
      <c r="J436" s="46"/>
      <c r="K436" s="46"/>
      <c r="L436" s="34" t="str">
        <f aca="false">IF(AND(J436="",K436=""),"",N(J436)-N(K436))</f>
        <v/>
      </c>
      <c r="M436" s="35" t="str">
        <f aca="false">IF(B436="","",IF(COUNTIFS(③回款收汇!$A$4:$A$203,B436,③回款收汇!$R$4:$R$203,"&gt;0")&gt;0,"已收汇","待收汇"))</f>
        <v/>
      </c>
      <c r="N436" s="41"/>
      <c r="O436" s="41"/>
      <c r="P436" s="35" t="str">
        <f aca="true">IF(N436="","",IF(O436="",IF(TODAY()-N436&gt;15,"已超15天未留存","待留存"),IF(O436-N436&lt;=15,"及时","超期")))</f>
        <v/>
      </c>
      <c r="Q436" s="43"/>
    </row>
    <row r="437" customFormat="false" ht="21.75" hidden="false" customHeight="true" outlineLevel="0" collapsed="false">
      <c r="A437" s="49"/>
      <c r="B437" s="48"/>
      <c r="C437" s="43"/>
      <c r="D437" s="44"/>
      <c r="E437" s="44"/>
      <c r="F437" s="36" t="str">
        <f aca="false">IF(OR(D437="",E437=""),"",IF(IFERROR(INDEX(①出口报关!$I$4:$I$303,MATCH(E437,①出口报关!$A$4:$A$303,0)),"")=D437,"一致","SKU与报关单不符"))</f>
        <v/>
      </c>
      <c r="G437" s="45"/>
      <c r="H437" s="45"/>
      <c r="I437" s="31" t="str">
        <f aca="false">IF(AND(G437="",H437=""),"",N(G437)-N(H437))</f>
        <v/>
      </c>
      <c r="J437" s="46"/>
      <c r="K437" s="46"/>
      <c r="L437" s="34" t="str">
        <f aca="false">IF(AND(J437="",K437=""),"",N(J437)-N(K437))</f>
        <v/>
      </c>
      <c r="M437" s="35" t="str">
        <f aca="false">IF(B437="","",IF(COUNTIFS(③回款收汇!$A$4:$A$203,B437,③回款收汇!$R$4:$R$203,"&gt;0")&gt;0,"已收汇","待收汇"))</f>
        <v/>
      </c>
      <c r="N437" s="41"/>
      <c r="O437" s="41"/>
      <c r="P437" s="35" t="str">
        <f aca="true">IF(N437="","",IF(O437="",IF(TODAY()-N437&gt;15,"已超15天未留存","待留存"),IF(O437-N437&lt;=15,"及时","超期")))</f>
        <v/>
      </c>
      <c r="Q437" s="43"/>
    </row>
    <row r="438" customFormat="false" ht="21.75" hidden="false" customHeight="true" outlineLevel="0" collapsed="false">
      <c r="A438" s="49"/>
      <c r="B438" s="48"/>
      <c r="C438" s="43"/>
      <c r="D438" s="44"/>
      <c r="E438" s="44"/>
      <c r="F438" s="36" t="str">
        <f aca="false">IF(OR(D438="",E438=""),"",IF(IFERROR(INDEX(①出口报关!$I$4:$I$303,MATCH(E438,①出口报关!$A$4:$A$303,0)),"")=D438,"一致","SKU与报关单不符"))</f>
        <v/>
      </c>
      <c r="G438" s="45"/>
      <c r="H438" s="45"/>
      <c r="I438" s="31" t="str">
        <f aca="false">IF(AND(G438="",H438=""),"",N(G438)-N(H438))</f>
        <v/>
      </c>
      <c r="J438" s="46"/>
      <c r="K438" s="46"/>
      <c r="L438" s="34" t="str">
        <f aca="false">IF(AND(J438="",K438=""),"",N(J438)-N(K438))</f>
        <v/>
      </c>
      <c r="M438" s="35" t="str">
        <f aca="false">IF(B438="","",IF(COUNTIFS(③回款收汇!$A$4:$A$203,B438,③回款收汇!$R$4:$R$203,"&gt;0")&gt;0,"已收汇","待收汇"))</f>
        <v/>
      </c>
      <c r="N438" s="41"/>
      <c r="O438" s="41"/>
      <c r="P438" s="35" t="str">
        <f aca="true">IF(N438="","",IF(O438="",IF(TODAY()-N438&gt;15,"已超15天未留存","待留存"),IF(O438-N438&lt;=15,"及时","超期")))</f>
        <v/>
      </c>
      <c r="Q438" s="43"/>
    </row>
    <row r="439" customFormat="false" ht="21.75" hidden="false" customHeight="true" outlineLevel="0" collapsed="false">
      <c r="A439" s="49"/>
      <c r="B439" s="48"/>
      <c r="C439" s="43"/>
      <c r="D439" s="44"/>
      <c r="E439" s="44"/>
      <c r="F439" s="36" t="str">
        <f aca="false">IF(OR(D439="",E439=""),"",IF(IFERROR(INDEX(①出口报关!$I$4:$I$303,MATCH(E439,①出口报关!$A$4:$A$303,0)),"")=D439,"一致","SKU与报关单不符"))</f>
        <v/>
      </c>
      <c r="G439" s="45"/>
      <c r="H439" s="45"/>
      <c r="I439" s="31" t="str">
        <f aca="false">IF(AND(G439="",H439=""),"",N(G439)-N(H439))</f>
        <v/>
      </c>
      <c r="J439" s="46"/>
      <c r="K439" s="46"/>
      <c r="L439" s="34" t="str">
        <f aca="false">IF(AND(J439="",K439=""),"",N(J439)-N(K439))</f>
        <v/>
      </c>
      <c r="M439" s="35" t="str">
        <f aca="false">IF(B439="","",IF(COUNTIFS(③回款收汇!$A$4:$A$203,B439,③回款收汇!$R$4:$R$203,"&gt;0")&gt;0,"已收汇","待收汇"))</f>
        <v/>
      </c>
      <c r="N439" s="41"/>
      <c r="O439" s="41"/>
      <c r="P439" s="35" t="str">
        <f aca="true">IF(N439="","",IF(O439="",IF(TODAY()-N439&gt;15,"已超15天未留存","待留存"),IF(O439-N439&lt;=15,"及时","超期")))</f>
        <v/>
      </c>
      <c r="Q439" s="43"/>
    </row>
    <row r="440" customFormat="false" ht="21.75" hidden="false" customHeight="true" outlineLevel="0" collapsed="false">
      <c r="A440" s="49"/>
      <c r="B440" s="48"/>
      <c r="C440" s="43"/>
      <c r="D440" s="44"/>
      <c r="E440" s="44"/>
      <c r="F440" s="36" t="str">
        <f aca="false">IF(OR(D440="",E440=""),"",IF(IFERROR(INDEX(①出口报关!$I$4:$I$303,MATCH(E440,①出口报关!$A$4:$A$303,0)),"")=D440,"一致","SKU与报关单不符"))</f>
        <v/>
      </c>
      <c r="G440" s="45"/>
      <c r="H440" s="45"/>
      <c r="I440" s="31" t="str">
        <f aca="false">IF(AND(G440="",H440=""),"",N(G440)-N(H440))</f>
        <v/>
      </c>
      <c r="J440" s="46"/>
      <c r="K440" s="46"/>
      <c r="L440" s="34" t="str">
        <f aca="false">IF(AND(J440="",K440=""),"",N(J440)-N(K440))</f>
        <v/>
      </c>
      <c r="M440" s="35" t="str">
        <f aca="false">IF(B440="","",IF(COUNTIFS(③回款收汇!$A$4:$A$203,B440,③回款收汇!$R$4:$R$203,"&gt;0")&gt;0,"已收汇","待收汇"))</f>
        <v/>
      </c>
      <c r="N440" s="41"/>
      <c r="O440" s="41"/>
      <c r="P440" s="35" t="str">
        <f aca="true">IF(N440="","",IF(O440="",IF(TODAY()-N440&gt;15,"已超15天未留存","待留存"),IF(O440-N440&lt;=15,"及时","超期")))</f>
        <v/>
      </c>
      <c r="Q440" s="43"/>
    </row>
    <row r="441" customFormat="false" ht="21.75" hidden="false" customHeight="true" outlineLevel="0" collapsed="false">
      <c r="A441" s="49"/>
      <c r="B441" s="48"/>
      <c r="C441" s="43"/>
      <c r="D441" s="44"/>
      <c r="E441" s="44"/>
      <c r="F441" s="36" t="str">
        <f aca="false">IF(OR(D441="",E441=""),"",IF(IFERROR(INDEX(①出口报关!$I$4:$I$303,MATCH(E441,①出口报关!$A$4:$A$303,0)),"")=D441,"一致","SKU与报关单不符"))</f>
        <v/>
      </c>
      <c r="G441" s="45"/>
      <c r="H441" s="45"/>
      <c r="I441" s="31" t="str">
        <f aca="false">IF(AND(G441="",H441=""),"",N(G441)-N(H441))</f>
        <v/>
      </c>
      <c r="J441" s="46"/>
      <c r="K441" s="46"/>
      <c r="L441" s="34" t="str">
        <f aca="false">IF(AND(J441="",K441=""),"",N(J441)-N(K441))</f>
        <v/>
      </c>
      <c r="M441" s="35" t="str">
        <f aca="false">IF(B441="","",IF(COUNTIFS(③回款收汇!$A$4:$A$203,B441,③回款收汇!$R$4:$R$203,"&gt;0")&gt;0,"已收汇","待收汇"))</f>
        <v/>
      </c>
      <c r="N441" s="41"/>
      <c r="O441" s="41"/>
      <c r="P441" s="35" t="str">
        <f aca="true">IF(N441="","",IF(O441="",IF(TODAY()-N441&gt;15,"已超15天未留存","待留存"),IF(O441-N441&lt;=15,"及时","超期")))</f>
        <v/>
      </c>
      <c r="Q441" s="43"/>
    </row>
    <row r="442" customFormat="false" ht="21.75" hidden="false" customHeight="true" outlineLevel="0" collapsed="false">
      <c r="A442" s="49"/>
      <c r="B442" s="48"/>
      <c r="C442" s="43"/>
      <c r="D442" s="44"/>
      <c r="E442" s="44"/>
      <c r="F442" s="36" t="str">
        <f aca="false">IF(OR(D442="",E442=""),"",IF(IFERROR(INDEX(①出口报关!$I$4:$I$303,MATCH(E442,①出口报关!$A$4:$A$303,0)),"")=D442,"一致","SKU与报关单不符"))</f>
        <v/>
      </c>
      <c r="G442" s="45"/>
      <c r="H442" s="45"/>
      <c r="I442" s="31" t="str">
        <f aca="false">IF(AND(G442="",H442=""),"",N(G442)-N(H442))</f>
        <v/>
      </c>
      <c r="J442" s="46"/>
      <c r="K442" s="46"/>
      <c r="L442" s="34" t="str">
        <f aca="false">IF(AND(J442="",K442=""),"",N(J442)-N(K442))</f>
        <v/>
      </c>
      <c r="M442" s="35" t="str">
        <f aca="false">IF(B442="","",IF(COUNTIFS(③回款收汇!$A$4:$A$203,B442,③回款收汇!$R$4:$R$203,"&gt;0")&gt;0,"已收汇","待收汇"))</f>
        <v/>
      </c>
      <c r="N442" s="41"/>
      <c r="O442" s="41"/>
      <c r="P442" s="35" t="str">
        <f aca="true">IF(N442="","",IF(O442="",IF(TODAY()-N442&gt;15,"已超15天未留存","待留存"),IF(O442-N442&lt;=15,"及时","超期")))</f>
        <v/>
      </c>
      <c r="Q442" s="43"/>
    </row>
    <row r="443" customFormat="false" ht="21.75" hidden="false" customHeight="true" outlineLevel="0" collapsed="false">
      <c r="A443" s="49"/>
      <c r="B443" s="48"/>
      <c r="C443" s="43"/>
      <c r="D443" s="44"/>
      <c r="E443" s="44"/>
      <c r="F443" s="36" t="str">
        <f aca="false">IF(OR(D443="",E443=""),"",IF(IFERROR(INDEX(①出口报关!$I$4:$I$303,MATCH(E443,①出口报关!$A$4:$A$303,0)),"")=D443,"一致","SKU与报关单不符"))</f>
        <v/>
      </c>
      <c r="G443" s="45"/>
      <c r="H443" s="45"/>
      <c r="I443" s="31" t="str">
        <f aca="false">IF(AND(G443="",H443=""),"",N(G443)-N(H443))</f>
        <v/>
      </c>
      <c r="J443" s="46"/>
      <c r="K443" s="46"/>
      <c r="L443" s="34" t="str">
        <f aca="false">IF(AND(J443="",K443=""),"",N(J443)-N(K443))</f>
        <v/>
      </c>
      <c r="M443" s="35" t="str">
        <f aca="false">IF(B443="","",IF(COUNTIFS(③回款收汇!$A$4:$A$203,B443,③回款收汇!$R$4:$R$203,"&gt;0")&gt;0,"已收汇","待收汇"))</f>
        <v/>
      </c>
      <c r="N443" s="41"/>
      <c r="O443" s="41"/>
      <c r="P443" s="35" t="str">
        <f aca="true">IF(N443="","",IF(O443="",IF(TODAY()-N443&gt;15,"已超15天未留存","待留存"),IF(O443-N443&lt;=15,"及时","超期")))</f>
        <v/>
      </c>
      <c r="Q443" s="43"/>
    </row>
    <row r="444" customFormat="false" ht="21.75" hidden="false" customHeight="true" outlineLevel="0" collapsed="false">
      <c r="A444" s="49"/>
      <c r="B444" s="48"/>
      <c r="C444" s="43"/>
      <c r="D444" s="44"/>
      <c r="E444" s="44"/>
      <c r="F444" s="36" t="str">
        <f aca="false">IF(OR(D444="",E444=""),"",IF(IFERROR(INDEX(①出口报关!$I$4:$I$303,MATCH(E444,①出口报关!$A$4:$A$303,0)),"")=D444,"一致","SKU与报关单不符"))</f>
        <v/>
      </c>
      <c r="G444" s="45"/>
      <c r="H444" s="45"/>
      <c r="I444" s="31" t="str">
        <f aca="false">IF(AND(G444="",H444=""),"",N(G444)-N(H444))</f>
        <v/>
      </c>
      <c r="J444" s="46"/>
      <c r="K444" s="46"/>
      <c r="L444" s="34" t="str">
        <f aca="false">IF(AND(J444="",K444=""),"",N(J444)-N(K444))</f>
        <v/>
      </c>
      <c r="M444" s="35" t="str">
        <f aca="false">IF(B444="","",IF(COUNTIFS(③回款收汇!$A$4:$A$203,B444,③回款收汇!$R$4:$R$203,"&gt;0")&gt;0,"已收汇","待收汇"))</f>
        <v/>
      </c>
      <c r="N444" s="41"/>
      <c r="O444" s="41"/>
      <c r="P444" s="35" t="str">
        <f aca="true">IF(N444="","",IF(O444="",IF(TODAY()-N444&gt;15,"已超15天未留存","待留存"),IF(O444-N444&lt;=15,"及时","超期")))</f>
        <v/>
      </c>
      <c r="Q444" s="43"/>
    </row>
    <row r="445" customFormat="false" ht="21.75" hidden="false" customHeight="true" outlineLevel="0" collapsed="false">
      <c r="A445" s="49"/>
      <c r="B445" s="48"/>
      <c r="C445" s="43"/>
      <c r="D445" s="44"/>
      <c r="E445" s="44"/>
      <c r="F445" s="36" t="str">
        <f aca="false">IF(OR(D445="",E445=""),"",IF(IFERROR(INDEX(①出口报关!$I$4:$I$303,MATCH(E445,①出口报关!$A$4:$A$303,0)),"")=D445,"一致","SKU与报关单不符"))</f>
        <v/>
      </c>
      <c r="G445" s="45"/>
      <c r="H445" s="45"/>
      <c r="I445" s="31" t="str">
        <f aca="false">IF(AND(G445="",H445=""),"",N(G445)-N(H445))</f>
        <v/>
      </c>
      <c r="J445" s="46"/>
      <c r="K445" s="46"/>
      <c r="L445" s="34" t="str">
        <f aca="false">IF(AND(J445="",K445=""),"",N(J445)-N(K445))</f>
        <v/>
      </c>
      <c r="M445" s="35" t="str">
        <f aca="false">IF(B445="","",IF(COUNTIFS(③回款收汇!$A$4:$A$203,B445,③回款收汇!$R$4:$R$203,"&gt;0")&gt;0,"已收汇","待收汇"))</f>
        <v/>
      </c>
      <c r="N445" s="41"/>
      <c r="O445" s="41"/>
      <c r="P445" s="35" t="str">
        <f aca="true">IF(N445="","",IF(O445="",IF(TODAY()-N445&gt;15,"已超15天未留存","待留存"),IF(O445-N445&lt;=15,"及时","超期")))</f>
        <v/>
      </c>
      <c r="Q445" s="43"/>
    </row>
    <row r="446" customFormat="false" ht="21.75" hidden="false" customHeight="true" outlineLevel="0" collapsed="false">
      <c r="A446" s="49"/>
      <c r="B446" s="48"/>
      <c r="C446" s="43"/>
      <c r="D446" s="44"/>
      <c r="E446" s="44"/>
      <c r="F446" s="36" t="str">
        <f aca="false">IF(OR(D446="",E446=""),"",IF(IFERROR(INDEX(①出口报关!$I$4:$I$303,MATCH(E446,①出口报关!$A$4:$A$303,0)),"")=D446,"一致","SKU与报关单不符"))</f>
        <v/>
      </c>
      <c r="G446" s="45"/>
      <c r="H446" s="45"/>
      <c r="I446" s="31" t="str">
        <f aca="false">IF(AND(G446="",H446=""),"",N(G446)-N(H446))</f>
        <v/>
      </c>
      <c r="J446" s="46"/>
      <c r="K446" s="46"/>
      <c r="L446" s="34" t="str">
        <f aca="false">IF(AND(J446="",K446=""),"",N(J446)-N(K446))</f>
        <v/>
      </c>
      <c r="M446" s="35" t="str">
        <f aca="false">IF(B446="","",IF(COUNTIFS(③回款收汇!$A$4:$A$203,B446,③回款收汇!$R$4:$R$203,"&gt;0")&gt;0,"已收汇","待收汇"))</f>
        <v/>
      </c>
      <c r="N446" s="41"/>
      <c r="O446" s="41"/>
      <c r="P446" s="35" t="str">
        <f aca="true">IF(N446="","",IF(O446="",IF(TODAY()-N446&gt;15,"已超15天未留存","待留存"),IF(O446-N446&lt;=15,"及时","超期")))</f>
        <v/>
      </c>
      <c r="Q446" s="43"/>
    </row>
    <row r="447" customFormat="false" ht="21.75" hidden="false" customHeight="true" outlineLevel="0" collapsed="false">
      <c r="A447" s="49"/>
      <c r="B447" s="48"/>
      <c r="C447" s="43"/>
      <c r="D447" s="44"/>
      <c r="E447" s="44"/>
      <c r="F447" s="36" t="str">
        <f aca="false">IF(OR(D447="",E447=""),"",IF(IFERROR(INDEX(①出口报关!$I$4:$I$303,MATCH(E447,①出口报关!$A$4:$A$303,0)),"")=D447,"一致","SKU与报关单不符"))</f>
        <v/>
      </c>
      <c r="G447" s="45"/>
      <c r="H447" s="45"/>
      <c r="I447" s="31" t="str">
        <f aca="false">IF(AND(G447="",H447=""),"",N(G447)-N(H447))</f>
        <v/>
      </c>
      <c r="J447" s="46"/>
      <c r="K447" s="46"/>
      <c r="L447" s="34" t="str">
        <f aca="false">IF(AND(J447="",K447=""),"",N(J447)-N(K447))</f>
        <v/>
      </c>
      <c r="M447" s="35" t="str">
        <f aca="false">IF(B447="","",IF(COUNTIFS(③回款收汇!$A$4:$A$203,B447,③回款收汇!$R$4:$R$203,"&gt;0")&gt;0,"已收汇","待收汇"))</f>
        <v/>
      </c>
      <c r="N447" s="41"/>
      <c r="O447" s="41"/>
      <c r="P447" s="35" t="str">
        <f aca="true">IF(N447="","",IF(O447="",IF(TODAY()-N447&gt;15,"已超15天未留存","待留存"),IF(O447-N447&lt;=15,"及时","超期")))</f>
        <v/>
      </c>
      <c r="Q447" s="43"/>
    </row>
    <row r="448" customFormat="false" ht="21.75" hidden="false" customHeight="true" outlineLevel="0" collapsed="false">
      <c r="A448" s="49"/>
      <c r="B448" s="48"/>
      <c r="C448" s="43"/>
      <c r="D448" s="44"/>
      <c r="E448" s="44"/>
      <c r="F448" s="36" t="str">
        <f aca="false">IF(OR(D448="",E448=""),"",IF(IFERROR(INDEX(①出口报关!$I$4:$I$303,MATCH(E448,①出口报关!$A$4:$A$303,0)),"")=D448,"一致","SKU与报关单不符"))</f>
        <v/>
      </c>
      <c r="G448" s="45"/>
      <c r="H448" s="45"/>
      <c r="I448" s="31" t="str">
        <f aca="false">IF(AND(G448="",H448=""),"",N(G448)-N(H448))</f>
        <v/>
      </c>
      <c r="J448" s="46"/>
      <c r="K448" s="46"/>
      <c r="L448" s="34" t="str">
        <f aca="false">IF(AND(J448="",K448=""),"",N(J448)-N(K448))</f>
        <v/>
      </c>
      <c r="M448" s="35" t="str">
        <f aca="false">IF(B448="","",IF(COUNTIFS(③回款收汇!$A$4:$A$203,B448,③回款收汇!$R$4:$R$203,"&gt;0")&gt;0,"已收汇","待收汇"))</f>
        <v/>
      </c>
      <c r="N448" s="41"/>
      <c r="O448" s="41"/>
      <c r="P448" s="35" t="str">
        <f aca="true">IF(N448="","",IF(O448="",IF(TODAY()-N448&gt;15,"已超15天未留存","待留存"),IF(O448-N448&lt;=15,"及时","超期")))</f>
        <v/>
      </c>
      <c r="Q448" s="43"/>
    </row>
    <row r="449" customFormat="false" ht="21.75" hidden="false" customHeight="true" outlineLevel="0" collapsed="false">
      <c r="A449" s="49"/>
      <c r="B449" s="48"/>
      <c r="C449" s="43"/>
      <c r="D449" s="44"/>
      <c r="E449" s="44"/>
      <c r="F449" s="36" t="str">
        <f aca="false">IF(OR(D449="",E449=""),"",IF(IFERROR(INDEX(①出口报关!$I$4:$I$303,MATCH(E449,①出口报关!$A$4:$A$303,0)),"")=D449,"一致","SKU与报关单不符"))</f>
        <v/>
      </c>
      <c r="G449" s="45"/>
      <c r="H449" s="45"/>
      <c r="I449" s="31" t="str">
        <f aca="false">IF(AND(G449="",H449=""),"",N(G449)-N(H449))</f>
        <v/>
      </c>
      <c r="J449" s="46"/>
      <c r="K449" s="46"/>
      <c r="L449" s="34" t="str">
        <f aca="false">IF(AND(J449="",K449=""),"",N(J449)-N(K449))</f>
        <v/>
      </c>
      <c r="M449" s="35" t="str">
        <f aca="false">IF(B449="","",IF(COUNTIFS(③回款收汇!$A$4:$A$203,B449,③回款收汇!$R$4:$R$203,"&gt;0")&gt;0,"已收汇","待收汇"))</f>
        <v/>
      </c>
      <c r="N449" s="41"/>
      <c r="O449" s="41"/>
      <c r="P449" s="35" t="str">
        <f aca="true">IF(N449="","",IF(O449="",IF(TODAY()-N449&gt;15,"已超15天未留存","待留存"),IF(O449-N449&lt;=15,"及时","超期")))</f>
        <v/>
      </c>
      <c r="Q449" s="43"/>
    </row>
    <row r="450" customFormat="false" ht="21.75" hidden="false" customHeight="true" outlineLevel="0" collapsed="false">
      <c r="A450" s="49"/>
      <c r="B450" s="48"/>
      <c r="C450" s="43"/>
      <c r="D450" s="44"/>
      <c r="E450" s="44"/>
      <c r="F450" s="36" t="str">
        <f aca="false">IF(OR(D450="",E450=""),"",IF(IFERROR(INDEX(①出口报关!$I$4:$I$303,MATCH(E450,①出口报关!$A$4:$A$303,0)),"")=D450,"一致","SKU与报关单不符"))</f>
        <v/>
      </c>
      <c r="G450" s="45"/>
      <c r="H450" s="45"/>
      <c r="I450" s="31" t="str">
        <f aca="false">IF(AND(G450="",H450=""),"",N(G450)-N(H450))</f>
        <v/>
      </c>
      <c r="J450" s="46"/>
      <c r="K450" s="46"/>
      <c r="L450" s="34" t="str">
        <f aca="false">IF(AND(J450="",K450=""),"",N(J450)-N(K450))</f>
        <v/>
      </c>
      <c r="M450" s="35" t="str">
        <f aca="false">IF(B450="","",IF(COUNTIFS(③回款收汇!$A$4:$A$203,B450,③回款收汇!$R$4:$R$203,"&gt;0")&gt;0,"已收汇","待收汇"))</f>
        <v/>
      </c>
      <c r="N450" s="41"/>
      <c r="O450" s="41"/>
      <c r="P450" s="35" t="str">
        <f aca="true">IF(N450="","",IF(O450="",IF(TODAY()-N450&gt;15,"已超15天未留存","待留存"),IF(O450-N450&lt;=15,"及时","超期")))</f>
        <v/>
      </c>
      <c r="Q450" s="43"/>
    </row>
    <row r="451" customFormat="false" ht="21.75" hidden="false" customHeight="true" outlineLevel="0" collapsed="false">
      <c r="A451" s="49"/>
      <c r="B451" s="48"/>
      <c r="C451" s="43"/>
      <c r="D451" s="44"/>
      <c r="E451" s="44"/>
      <c r="F451" s="36" t="str">
        <f aca="false">IF(OR(D451="",E451=""),"",IF(IFERROR(INDEX(①出口报关!$I$4:$I$303,MATCH(E451,①出口报关!$A$4:$A$303,0)),"")=D451,"一致","SKU与报关单不符"))</f>
        <v/>
      </c>
      <c r="G451" s="45"/>
      <c r="H451" s="45"/>
      <c r="I451" s="31" t="str">
        <f aca="false">IF(AND(G451="",H451=""),"",N(G451)-N(H451))</f>
        <v/>
      </c>
      <c r="J451" s="46"/>
      <c r="K451" s="46"/>
      <c r="L451" s="34" t="str">
        <f aca="false">IF(AND(J451="",K451=""),"",N(J451)-N(K451))</f>
        <v/>
      </c>
      <c r="M451" s="35" t="str">
        <f aca="false">IF(B451="","",IF(COUNTIFS(③回款收汇!$A$4:$A$203,B451,③回款收汇!$R$4:$R$203,"&gt;0")&gt;0,"已收汇","待收汇"))</f>
        <v/>
      </c>
      <c r="N451" s="41"/>
      <c r="O451" s="41"/>
      <c r="P451" s="35" t="str">
        <f aca="true">IF(N451="","",IF(O451="",IF(TODAY()-N451&gt;15,"已超15天未留存","待留存"),IF(O451-N451&lt;=15,"及时","超期")))</f>
        <v/>
      </c>
      <c r="Q451" s="43"/>
    </row>
    <row r="452" customFormat="false" ht="21.75" hidden="false" customHeight="true" outlineLevel="0" collapsed="false">
      <c r="A452" s="49"/>
      <c r="B452" s="48"/>
      <c r="C452" s="43"/>
      <c r="D452" s="44"/>
      <c r="E452" s="44"/>
      <c r="F452" s="36" t="str">
        <f aca="false">IF(OR(D452="",E452=""),"",IF(IFERROR(INDEX(①出口报关!$I$4:$I$303,MATCH(E452,①出口报关!$A$4:$A$303,0)),"")=D452,"一致","SKU与报关单不符"))</f>
        <v/>
      </c>
      <c r="G452" s="45"/>
      <c r="H452" s="45"/>
      <c r="I452" s="31" t="str">
        <f aca="false">IF(AND(G452="",H452=""),"",N(G452)-N(H452))</f>
        <v/>
      </c>
      <c r="J452" s="46"/>
      <c r="K452" s="46"/>
      <c r="L452" s="34" t="str">
        <f aca="false">IF(AND(J452="",K452=""),"",N(J452)-N(K452))</f>
        <v/>
      </c>
      <c r="M452" s="35" t="str">
        <f aca="false">IF(B452="","",IF(COUNTIFS(③回款收汇!$A$4:$A$203,B452,③回款收汇!$R$4:$R$203,"&gt;0")&gt;0,"已收汇","待收汇"))</f>
        <v/>
      </c>
      <c r="N452" s="41"/>
      <c r="O452" s="41"/>
      <c r="P452" s="35" t="str">
        <f aca="true">IF(N452="","",IF(O452="",IF(TODAY()-N452&gt;15,"已超15天未留存","待留存"),IF(O452-N452&lt;=15,"及时","超期")))</f>
        <v/>
      </c>
      <c r="Q452" s="43"/>
    </row>
    <row r="453" customFormat="false" ht="21.75" hidden="false" customHeight="true" outlineLevel="0" collapsed="false">
      <c r="A453" s="49"/>
      <c r="B453" s="48"/>
      <c r="C453" s="43"/>
      <c r="D453" s="44"/>
      <c r="E453" s="44"/>
      <c r="F453" s="36" t="str">
        <f aca="false">IF(OR(D453="",E453=""),"",IF(IFERROR(INDEX(①出口报关!$I$4:$I$303,MATCH(E453,①出口报关!$A$4:$A$303,0)),"")=D453,"一致","SKU与报关单不符"))</f>
        <v/>
      </c>
      <c r="G453" s="45"/>
      <c r="H453" s="45"/>
      <c r="I453" s="31" t="str">
        <f aca="false">IF(AND(G453="",H453=""),"",N(G453)-N(H453))</f>
        <v/>
      </c>
      <c r="J453" s="46"/>
      <c r="K453" s="46"/>
      <c r="L453" s="34" t="str">
        <f aca="false">IF(AND(J453="",K453=""),"",N(J453)-N(K453))</f>
        <v/>
      </c>
      <c r="M453" s="35" t="str">
        <f aca="false">IF(B453="","",IF(COUNTIFS(③回款收汇!$A$4:$A$203,B453,③回款收汇!$R$4:$R$203,"&gt;0")&gt;0,"已收汇","待收汇"))</f>
        <v/>
      </c>
      <c r="N453" s="41"/>
      <c r="O453" s="41"/>
      <c r="P453" s="35" t="str">
        <f aca="true">IF(N453="","",IF(O453="",IF(TODAY()-N453&gt;15,"已超15天未留存","待留存"),IF(O453-N453&lt;=15,"及时","超期")))</f>
        <v/>
      </c>
      <c r="Q453" s="43"/>
    </row>
    <row r="454" customFormat="false" ht="21.75" hidden="false" customHeight="true" outlineLevel="0" collapsed="false">
      <c r="A454" s="49"/>
      <c r="B454" s="48"/>
      <c r="C454" s="43"/>
      <c r="D454" s="44"/>
      <c r="E454" s="44"/>
      <c r="F454" s="36" t="str">
        <f aca="false">IF(OR(D454="",E454=""),"",IF(IFERROR(INDEX(①出口报关!$I$4:$I$303,MATCH(E454,①出口报关!$A$4:$A$303,0)),"")=D454,"一致","SKU与报关单不符"))</f>
        <v/>
      </c>
      <c r="G454" s="45"/>
      <c r="H454" s="45"/>
      <c r="I454" s="31" t="str">
        <f aca="false">IF(AND(G454="",H454=""),"",N(G454)-N(H454))</f>
        <v/>
      </c>
      <c r="J454" s="46"/>
      <c r="K454" s="46"/>
      <c r="L454" s="34" t="str">
        <f aca="false">IF(AND(J454="",K454=""),"",N(J454)-N(K454))</f>
        <v/>
      </c>
      <c r="M454" s="35" t="str">
        <f aca="false">IF(B454="","",IF(COUNTIFS(③回款收汇!$A$4:$A$203,B454,③回款收汇!$R$4:$R$203,"&gt;0")&gt;0,"已收汇","待收汇"))</f>
        <v/>
      </c>
      <c r="N454" s="41"/>
      <c r="O454" s="41"/>
      <c r="P454" s="35" t="str">
        <f aca="true">IF(N454="","",IF(O454="",IF(TODAY()-N454&gt;15,"已超15天未留存","待留存"),IF(O454-N454&lt;=15,"及时","超期")))</f>
        <v/>
      </c>
      <c r="Q454" s="43"/>
    </row>
    <row r="455" customFormat="false" ht="21.75" hidden="false" customHeight="true" outlineLevel="0" collapsed="false">
      <c r="A455" s="49"/>
      <c r="B455" s="48"/>
      <c r="C455" s="43"/>
      <c r="D455" s="44"/>
      <c r="E455" s="44"/>
      <c r="F455" s="36" t="str">
        <f aca="false">IF(OR(D455="",E455=""),"",IF(IFERROR(INDEX(①出口报关!$I$4:$I$303,MATCH(E455,①出口报关!$A$4:$A$303,0)),"")=D455,"一致","SKU与报关单不符"))</f>
        <v/>
      </c>
      <c r="G455" s="45"/>
      <c r="H455" s="45"/>
      <c r="I455" s="31" t="str">
        <f aca="false">IF(AND(G455="",H455=""),"",N(G455)-N(H455))</f>
        <v/>
      </c>
      <c r="J455" s="46"/>
      <c r="K455" s="46"/>
      <c r="L455" s="34" t="str">
        <f aca="false">IF(AND(J455="",K455=""),"",N(J455)-N(K455))</f>
        <v/>
      </c>
      <c r="M455" s="35" t="str">
        <f aca="false">IF(B455="","",IF(COUNTIFS(③回款收汇!$A$4:$A$203,B455,③回款收汇!$R$4:$R$203,"&gt;0")&gt;0,"已收汇","待收汇"))</f>
        <v/>
      </c>
      <c r="N455" s="41"/>
      <c r="O455" s="41"/>
      <c r="P455" s="35" t="str">
        <f aca="true">IF(N455="","",IF(O455="",IF(TODAY()-N455&gt;15,"已超15天未留存","待留存"),IF(O455-N455&lt;=15,"及时","超期")))</f>
        <v/>
      </c>
      <c r="Q455" s="43"/>
    </row>
    <row r="456" customFormat="false" ht="21.75" hidden="false" customHeight="true" outlineLevel="0" collapsed="false">
      <c r="A456" s="49"/>
      <c r="B456" s="48"/>
      <c r="C456" s="43"/>
      <c r="D456" s="44"/>
      <c r="E456" s="44"/>
      <c r="F456" s="36" t="str">
        <f aca="false">IF(OR(D456="",E456=""),"",IF(IFERROR(INDEX(①出口报关!$I$4:$I$303,MATCH(E456,①出口报关!$A$4:$A$303,0)),"")=D456,"一致","SKU与报关单不符"))</f>
        <v/>
      </c>
      <c r="G456" s="45"/>
      <c r="H456" s="45"/>
      <c r="I456" s="31" t="str">
        <f aca="false">IF(AND(G456="",H456=""),"",N(G456)-N(H456))</f>
        <v/>
      </c>
      <c r="J456" s="46"/>
      <c r="K456" s="46"/>
      <c r="L456" s="34" t="str">
        <f aca="false">IF(AND(J456="",K456=""),"",N(J456)-N(K456))</f>
        <v/>
      </c>
      <c r="M456" s="35" t="str">
        <f aca="false">IF(B456="","",IF(COUNTIFS(③回款收汇!$A$4:$A$203,B456,③回款收汇!$R$4:$R$203,"&gt;0")&gt;0,"已收汇","待收汇"))</f>
        <v/>
      </c>
      <c r="N456" s="41"/>
      <c r="O456" s="41"/>
      <c r="P456" s="35" t="str">
        <f aca="true">IF(N456="","",IF(O456="",IF(TODAY()-N456&gt;15,"已超15天未留存","待留存"),IF(O456-N456&lt;=15,"及时","超期")))</f>
        <v/>
      </c>
      <c r="Q456" s="43"/>
    </row>
    <row r="457" customFormat="false" ht="21.75" hidden="false" customHeight="true" outlineLevel="0" collapsed="false">
      <c r="A457" s="49"/>
      <c r="B457" s="48"/>
      <c r="C457" s="43"/>
      <c r="D457" s="44"/>
      <c r="E457" s="44"/>
      <c r="F457" s="36" t="str">
        <f aca="false">IF(OR(D457="",E457=""),"",IF(IFERROR(INDEX(①出口报关!$I$4:$I$303,MATCH(E457,①出口报关!$A$4:$A$303,0)),"")=D457,"一致","SKU与报关单不符"))</f>
        <v/>
      </c>
      <c r="G457" s="45"/>
      <c r="H457" s="45"/>
      <c r="I457" s="31" t="str">
        <f aca="false">IF(AND(G457="",H457=""),"",N(G457)-N(H457))</f>
        <v/>
      </c>
      <c r="J457" s="46"/>
      <c r="K457" s="46"/>
      <c r="L457" s="34" t="str">
        <f aca="false">IF(AND(J457="",K457=""),"",N(J457)-N(K457))</f>
        <v/>
      </c>
      <c r="M457" s="35" t="str">
        <f aca="false">IF(B457="","",IF(COUNTIFS(③回款收汇!$A$4:$A$203,B457,③回款收汇!$R$4:$R$203,"&gt;0")&gt;0,"已收汇","待收汇"))</f>
        <v/>
      </c>
      <c r="N457" s="41"/>
      <c r="O457" s="41"/>
      <c r="P457" s="35" t="str">
        <f aca="true">IF(N457="","",IF(O457="",IF(TODAY()-N457&gt;15,"已超15天未留存","待留存"),IF(O457-N457&lt;=15,"及时","超期")))</f>
        <v/>
      </c>
      <c r="Q457" s="43"/>
    </row>
    <row r="458" customFormat="false" ht="21.75" hidden="false" customHeight="true" outlineLevel="0" collapsed="false">
      <c r="A458" s="49"/>
      <c r="B458" s="48"/>
      <c r="C458" s="43"/>
      <c r="D458" s="44"/>
      <c r="E458" s="44"/>
      <c r="F458" s="36" t="str">
        <f aca="false">IF(OR(D458="",E458=""),"",IF(IFERROR(INDEX(①出口报关!$I$4:$I$303,MATCH(E458,①出口报关!$A$4:$A$303,0)),"")=D458,"一致","SKU与报关单不符"))</f>
        <v/>
      </c>
      <c r="G458" s="45"/>
      <c r="H458" s="45"/>
      <c r="I458" s="31" t="str">
        <f aca="false">IF(AND(G458="",H458=""),"",N(G458)-N(H458))</f>
        <v/>
      </c>
      <c r="J458" s="46"/>
      <c r="K458" s="46"/>
      <c r="L458" s="34" t="str">
        <f aca="false">IF(AND(J458="",K458=""),"",N(J458)-N(K458))</f>
        <v/>
      </c>
      <c r="M458" s="35" t="str">
        <f aca="false">IF(B458="","",IF(COUNTIFS(③回款收汇!$A$4:$A$203,B458,③回款收汇!$R$4:$R$203,"&gt;0")&gt;0,"已收汇","待收汇"))</f>
        <v/>
      </c>
      <c r="N458" s="41"/>
      <c r="O458" s="41"/>
      <c r="P458" s="35" t="str">
        <f aca="true">IF(N458="","",IF(O458="",IF(TODAY()-N458&gt;15,"已超15天未留存","待留存"),IF(O458-N458&lt;=15,"及时","超期")))</f>
        <v/>
      </c>
      <c r="Q458" s="43"/>
    </row>
    <row r="459" customFormat="false" ht="21.75" hidden="false" customHeight="true" outlineLevel="0" collapsed="false">
      <c r="A459" s="49"/>
      <c r="B459" s="48"/>
      <c r="C459" s="43"/>
      <c r="D459" s="44"/>
      <c r="E459" s="44"/>
      <c r="F459" s="36" t="str">
        <f aca="false">IF(OR(D459="",E459=""),"",IF(IFERROR(INDEX(①出口报关!$I$4:$I$303,MATCH(E459,①出口报关!$A$4:$A$303,0)),"")=D459,"一致","SKU与报关单不符"))</f>
        <v/>
      </c>
      <c r="G459" s="45"/>
      <c r="H459" s="45"/>
      <c r="I459" s="31" t="str">
        <f aca="false">IF(AND(G459="",H459=""),"",N(G459)-N(H459))</f>
        <v/>
      </c>
      <c r="J459" s="46"/>
      <c r="K459" s="46"/>
      <c r="L459" s="34" t="str">
        <f aca="false">IF(AND(J459="",K459=""),"",N(J459)-N(K459))</f>
        <v/>
      </c>
      <c r="M459" s="35" t="str">
        <f aca="false">IF(B459="","",IF(COUNTIFS(③回款收汇!$A$4:$A$203,B459,③回款收汇!$R$4:$R$203,"&gt;0")&gt;0,"已收汇","待收汇"))</f>
        <v/>
      </c>
      <c r="N459" s="41"/>
      <c r="O459" s="41"/>
      <c r="P459" s="35" t="str">
        <f aca="true">IF(N459="","",IF(O459="",IF(TODAY()-N459&gt;15,"已超15天未留存","待留存"),IF(O459-N459&lt;=15,"及时","超期")))</f>
        <v/>
      </c>
      <c r="Q459" s="43"/>
    </row>
    <row r="460" customFormat="false" ht="21.75" hidden="false" customHeight="true" outlineLevel="0" collapsed="false">
      <c r="A460" s="49"/>
      <c r="B460" s="48"/>
      <c r="C460" s="43"/>
      <c r="D460" s="44"/>
      <c r="E460" s="44"/>
      <c r="F460" s="36" t="str">
        <f aca="false">IF(OR(D460="",E460=""),"",IF(IFERROR(INDEX(①出口报关!$I$4:$I$303,MATCH(E460,①出口报关!$A$4:$A$303,0)),"")=D460,"一致","SKU与报关单不符"))</f>
        <v/>
      </c>
      <c r="G460" s="45"/>
      <c r="H460" s="45"/>
      <c r="I460" s="31" t="str">
        <f aca="false">IF(AND(G460="",H460=""),"",N(G460)-N(H460))</f>
        <v/>
      </c>
      <c r="J460" s="46"/>
      <c r="K460" s="46"/>
      <c r="L460" s="34" t="str">
        <f aca="false">IF(AND(J460="",K460=""),"",N(J460)-N(K460))</f>
        <v/>
      </c>
      <c r="M460" s="35" t="str">
        <f aca="false">IF(B460="","",IF(COUNTIFS(③回款收汇!$A$4:$A$203,B460,③回款收汇!$R$4:$R$203,"&gt;0")&gt;0,"已收汇","待收汇"))</f>
        <v/>
      </c>
      <c r="N460" s="41"/>
      <c r="O460" s="41"/>
      <c r="P460" s="35" t="str">
        <f aca="true">IF(N460="","",IF(O460="",IF(TODAY()-N460&gt;15,"已超15天未留存","待留存"),IF(O460-N460&lt;=15,"及时","超期")))</f>
        <v/>
      </c>
      <c r="Q460" s="43"/>
    </row>
    <row r="461" customFormat="false" ht="21.75" hidden="false" customHeight="true" outlineLevel="0" collapsed="false">
      <c r="A461" s="49"/>
      <c r="B461" s="48"/>
      <c r="C461" s="43"/>
      <c r="D461" s="44"/>
      <c r="E461" s="44"/>
      <c r="F461" s="36" t="str">
        <f aca="false">IF(OR(D461="",E461=""),"",IF(IFERROR(INDEX(①出口报关!$I$4:$I$303,MATCH(E461,①出口报关!$A$4:$A$303,0)),"")=D461,"一致","SKU与报关单不符"))</f>
        <v/>
      </c>
      <c r="G461" s="45"/>
      <c r="H461" s="45"/>
      <c r="I461" s="31" t="str">
        <f aca="false">IF(AND(G461="",H461=""),"",N(G461)-N(H461))</f>
        <v/>
      </c>
      <c r="J461" s="46"/>
      <c r="K461" s="46"/>
      <c r="L461" s="34" t="str">
        <f aca="false">IF(AND(J461="",K461=""),"",N(J461)-N(K461))</f>
        <v/>
      </c>
      <c r="M461" s="35" t="str">
        <f aca="false">IF(B461="","",IF(COUNTIFS(③回款收汇!$A$4:$A$203,B461,③回款收汇!$R$4:$R$203,"&gt;0")&gt;0,"已收汇","待收汇"))</f>
        <v/>
      </c>
      <c r="N461" s="41"/>
      <c r="O461" s="41"/>
      <c r="P461" s="35" t="str">
        <f aca="true">IF(N461="","",IF(O461="",IF(TODAY()-N461&gt;15,"已超15天未留存","待留存"),IF(O461-N461&lt;=15,"及时","超期")))</f>
        <v/>
      </c>
      <c r="Q461" s="43"/>
    </row>
    <row r="462" customFormat="false" ht="21.75" hidden="false" customHeight="true" outlineLevel="0" collapsed="false">
      <c r="A462" s="49"/>
      <c r="B462" s="48"/>
      <c r="C462" s="43"/>
      <c r="D462" s="44"/>
      <c r="E462" s="44"/>
      <c r="F462" s="36" t="str">
        <f aca="false">IF(OR(D462="",E462=""),"",IF(IFERROR(INDEX(①出口报关!$I$4:$I$303,MATCH(E462,①出口报关!$A$4:$A$303,0)),"")=D462,"一致","SKU与报关单不符"))</f>
        <v/>
      </c>
      <c r="G462" s="45"/>
      <c r="H462" s="45"/>
      <c r="I462" s="31" t="str">
        <f aca="false">IF(AND(G462="",H462=""),"",N(G462)-N(H462))</f>
        <v/>
      </c>
      <c r="J462" s="46"/>
      <c r="K462" s="46"/>
      <c r="L462" s="34" t="str">
        <f aca="false">IF(AND(J462="",K462=""),"",N(J462)-N(K462))</f>
        <v/>
      </c>
      <c r="M462" s="35" t="str">
        <f aca="false">IF(B462="","",IF(COUNTIFS(③回款收汇!$A$4:$A$203,B462,③回款收汇!$R$4:$R$203,"&gt;0")&gt;0,"已收汇","待收汇"))</f>
        <v/>
      </c>
      <c r="N462" s="41"/>
      <c r="O462" s="41"/>
      <c r="P462" s="35" t="str">
        <f aca="true">IF(N462="","",IF(O462="",IF(TODAY()-N462&gt;15,"已超15天未留存","待留存"),IF(O462-N462&lt;=15,"及时","超期")))</f>
        <v/>
      </c>
      <c r="Q462" s="43"/>
    </row>
    <row r="463" customFormat="false" ht="21.75" hidden="false" customHeight="true" outlineLevel="0" collapsed="false">
      <c r="A463" s="49"/>
      <c r="B463" s="48"/>
      <c r="C463" s="43"/>
      <c r="D463" s="44"/>
      <c r="E463" s="44"/>
      <c r="F463" s="36" t="str">
        <f aca="false">IF(OR(D463="",E463=""),"",IF(IFERROR(INDEX(①出口报关!$I$4:$I$303,MATCH(E463,①出口报关!$A$4:$A$303,0)),"")=D463,"一致","SKU与报关单不符"))</f>
        <v/>
      </c>
      <c r="G463" s="45"/>
      <c r="H463" s="45"/>
      <c r="I463" s="31" t="str">
        <f aca="false">IF(AND(G463="",H463=""),"",N(G463)-N(H463))</f>
        <v/>
      </c>
      <c r="J463" s="46"/>
      <c r="K463" s="46"/>
      <c r="L463" s="34" t="str">
        <f aca="false">IF(AND(J463="",K463=""),"",N(J463)-N(K463))</f>
        <v/>
      </c>
      <c r="M463" s="35" t="str">
        <f aca="false">IF(B463="","",IF(COUNTIFS(③回款收汇!$A$4:$A$203,B463,③回款收汇!$R$4:$R$203,"&gt;0")&gt;0,"已收汇","待收汇"))</f>
        <v/>
      </c>
      <c r="N463" s="41"/>
      <c r="O463" s="41"/>
      <c r="P463" s="35" t="str">
        <f aca="true">IF(N463="","",IF(O463="",IF(TODAY()-N463&gt;15,"已超15天未留存","待留存"),IF(O463-N463&lt;=15,"及时","超期")))</f>
        <v/>
      </c>
      <c r="Q463" s="43"/>
    </row>
    <row r="464" customFormat="false" ht="21.75" hidden="false" customHeight="true" outlineLevel="0" collapsed="false">
      <c r="A464" s="49"/>
      <c r="B464" s="48"/>
      <c r="C464" s="43"/>
      <c r="D464" s="44"/>
      <c r="E464" s="44"/>
      <c r="F464" s="36" t="str">
        <f aca="false">IF(OR(D464="",E464=""),"",IF(IFERROR(INDEX(①出口报关!$I$4:$I$303,MATCH(E464,①出口报关!$A$4:$A$303,0)),"")=D464,"一致","SKU与报关单不符"))</f>
        <v/>
      </c>
      <c r="G464" s="45"/>
      <c r="H464" s="45"/>
      <c r="I464" s="31" t="str">
        <f aca="false">IF(AND(G464="",H464=""),"",N(G464)-N(H464))</f>
        <v/>
      </c>
      <c r="J464" s="46"/>
      <c r="K464" s="46"/>
      <c r="L464" s="34" t="str">
        <f aca="false">IF(AND(J464="",K464=""),"",N(J464)-N(K464))</f>
        <v/>
      </c>
      <c r="M464" s="35" t="str">
        <f aca="false">IF(B464="","",IF(COUNTIFS(③回款收汇!$A$4:$A$203,B464,③回款收汇!$R$4:$R$203,"&gt;0")&gt;0,"已收汇","待收汇"))</f>
        <v/>
      </c>
      <c r="N464" s="41"/>
      <c r="O464" s="41"/>
      <c r="P464" s="35" t="str">
        <f aca="true">IF(N464="","",IF(O464="",IF(TODAY()-N464&gt;15,"已超15天未留存","待留存"),IF(O464-N464&lt;=15,"及时","超期")))</f>
        <v/>
      </c>
      <c r="Q464" s="43"/>
    </row>
    <row r="465" customFormat="false" ht="21.75" hidden="false" customHeight="true" outlineLevel="0" collapsed="false">
      <c r="A465" s="49"/>
      <c r="B465" s="48"/>
      <c r="C465" s="43"/>
      <c r="D465" s="44"/>
      <c r="E465" s="44"/>
      <c r="F465" s="36" t="str">
        <f aca="false">IF(OR(D465="",E465=""),"",IF(IFERROR(INDEX(①出口报关!$I$4:$I$303,MATCH(E465,①出口报关!$A$4:$A$303,0)),"")=D465,"一致","SKU与报关单不符"))</f>
        <v/>
      </c>
      <c r="G465" s="45"/>
      <c r="H465" s="45"/>
      <c r="I465" s="31" t="str">
        <f aca="false">IF(AND(G465="",H465=""),"",N(G465)-N(H465))</f>
        <v/>
      </c>
      <c r="J465" s="46"/>
      <c r="K465" s="46"/>
      <c r="L465" s="34" t="str">
        <f aca="false">IF(AND(J465="",K465=""),"",N(J465)-N(K465))</f>
        <v/>
      </c>
      <c r="M465" s="35" t="str">
        <f aca="false">IF(B465="","",IF(COUNTIFS(③回款收汇!$A$4:$A$203,B465,③回款收汇!$R$4:$R$203,"&gt;0")&gt;0,"已收汇","待收汇"))</f>
        <v/>
      </c>
      <c r="N465" s="41"/>
      <c r="O465" s="41"/>
      <c r="P465" s="35" t="str">
        <f aca="true">IF(N465="","",IF(O465="",IF(TODAY()-N465&gt;15,"已超15天未留存","待留存"),IF(O465-N465&lt;=15,"及时","超期")))</f>
        <v/>
      </c>
      <c r="Q465" s="43"/>
    </row>
    <row r="466" customFormat="false" ht="21.75" hidden="false" customHeight="true" outlineLevel="0" collapsed="false">
      <c r="A466" s="49"/>
      <c r="B466" s="48"/>
      <c r="C466" s="43"/>
      <c r="D466" s="44"/>
      <c r="E466" s="44"/>
      <c r="F466" s="36" t="str">
        <f aca="false">IF(OR(D466="",E466=""),"",IF(IFERROR(INDEX(①出口报关!$I$4:$I$303,MATCH(E466,①出口报关!$A$4:$A$303,0)),"")=D466,"一致","SKU与报关单不符"))</f>
        <v/>
      </c>
      <c r="G466" s="45"/>
      <c r="H466" s="45"/>
      <c r="I466" s="31" t="str">
        <f aca="false">IF(AND(G466="",H466=""),"",N(G466)-N(H466))</f>
        <v/>
      </c>
      <c r="J466" s="46"/>
      <c r="K466" s="46"/>
      <c r="L466" s="34" t="str">
        <f aca="false">IF(AND(J466="",K466=""),"",N(J466)-N(K466))</f>
        <v/>
      </c>
      <c r="M466" s="35" t="str">
        <f aca="false">IF(B466="","",IF(COUNTIFS(③回款收汇!$A$4:$A$203,B466,③回款收汇!$R$4:$R$203,"&gt;0")&gt;0,"已收汇","待收汇"))</f>
        <v/>
      </c>
      <c r="N466" s="41"/>
      <c r="O466" s="41"/>
      <c r="P466" s="35" t="str">
        <f aca="true">IF(N466="","",IF(O466="",IF(TODAY()-N466&gt;15,"已超15天未留存","待留存"),IF(O466-N466&lt;=15,"及时","超期")))</f>
        <v/>
      </c>
      <c r="Q466" s="43"/>
    </row>
    <row r="467" customFormat="false" ht="21.75" hidden="false" customHeight="true" outlineLevel="0" collapsed="false">
      <c r="A467" s="49"/>
      <c r="B467" s="48"/>
      <c r="C467" s="43"/>
      <c r="D467" s="44"/>
      <c r="E467" s="44"/>
      <c r="F467" s="36" t="str">
        <f aca="false">IF(OR(D467="",E467=""),"",IF(IFERROR(INDEX(①出口报关!$I$4:$I$303,MATCH(E467,①出口报关!$A$4:$A$303,0)),"")=D467,"一致","SKU与报关单不符"))</f>
        <v/>
      </c>
      <c r="G467" s="45"/>
      <c r="H467" s="45"/>
      <c r="I467" s="31" t="str">
        <f aca="false">IF(AND(G467="",H467=""),"",N(G467)-N(H467))</f>
        <v/>
      </c>
      <c r="J467" s="46"/>
      <c r="K467" s="46"/>
      <c r="L467" s="34" t="str">
        <f aca="false">IF(AND(J467="",K467=""),"",N(J467)-N(K467))</f>
        <v/>
      </c>
      <c r="M467" s="35" t="str">
        <f aca="false">IF(B467="","",IF(COUNTIFS(③回款收汇!$A$4:$A$203,B467,③回款收汇!$R$4:$R$203,"&gt;0")&gt;0,"已收汇","待收汇"))</f>
        <v/>
      </c>
      <c r="N467" s="41"/>
      <c r="O467" s="41"/>
      <c r="P467" s="35" t="str">
        <f aca="true">IF(N467="","",IF(O467="",IF(TODAY()-N467&gt;15,"已超15天未留存","待留存"),IF(O467-N467&lt;=15,"及时","超期")))</f>
        <v/>
      </c>
      <c r="Q467" s="43"/>
    </row>
    <row r="468" customFormat="false" ht="21.75" hidden="false" customHeight="true" outlineLevel="0" collapsed="false">
      <c r="A468" s="49"/>
      <c r="B468" s="48"/>
      <c r="C468" s="43"/>
      <c r="D468" s="44"/>
      <c r="E468" s="44"/>
      <c r="F468" s="36" t="str">
        <f aca="false">IF(OR(D468="",E468=""),"",IF(IFERROR(INDEX(①出口报关!$I$4:$I$303,MATCH(E468,①出口报关!$A$4:$A$303,0)),"")=D468,"一致","SKU与报关单不符"))</f>
        <v/>
      </c>
      <c r="G468" s="45"/>
      <c r="H468" s="45"/>
      <c r="I468" s="31" t="str">
        <f aca="false">IF(AND(G468="",H468=""),"",N(G468)-N(H468))</f>
        <v/>
      </c>
      <c r="J468" s="46"/>
      <c r="K468" s="46"/>
      <c r="L468" s="34" t="str">
        <f aca="false">IF(AND(J468="",K468=""),"",N(J468)-N(K468))</f>
        <v/>
      </c>
      <c r="M468" s="35" t="str">
        <f aca="false">IF(B468="","",IF(COUNTIFS(③回款收汇!$A$4:$A$203,B468,③回款收汇!$R$4:$R$203,"&gt;0")&gt;0,"已收汇","待收汇"))</f>
        <v/>
      </c>
      <c r="N468" s="41"/>
      <c r="O468" s="41"/>
      <c r="P468" s="35" t="str">
        <f aca="true">IF(N468="","",IF(O468="",IF(TODAY()-N468&gt;15,"已超15天未留存","待留存"),IF(O468-N468&lt;=15,"及时","超期")))</f>
        <v/>
      </c>
      <c r="Q468" s="43"/>
    </row>
    <row r="469" customFormat="false" ht="21.75" hidden="false" customHeight="true" outlineLevel="0" collapsed="false">
      <c r="A469" s="49"/>
      <c r="B469" s="48"/>
      <c r="C469" s="43"/>
      <c r="D469" s="44"/>
      <c r="E469" s="44"/>
      <c r="F469" s="36" t="str">
        <f aca="false">IF(OR(D469="",E469=""),"",IF(IFERROR(INDEX(①出口报关!$I$4:$I$303,MATCH(E469,①出口报关!$A$4:$A$303,0)),"")=D469,"一致","SKU与报关单不符"))</f>
        <v/>
      </c>
      <c r="G469" s="45"/>
      <c r="H469" s="45"/>
      <c r="I469" s="31" t="str">
        <f aca="false">IF(AND(G469="",H469=""),"",N(G469)-N(H469))</f>
        <v/>
      </c>
      <c r="J469" s="46"/>
      <c r="K469" s="46"/>
      <c r="L469" s="34" t="str">
        <f aca="false">IF(AND(J469="",K469=""),"",N(J469)-N(K469))</f>
        <v/>
      </c>
      <c r="M469" s="35" t="str">
        <f aca="false">IF(B469="","",IF(COUNTIFS(③回款收汇!$A$4:$A$203,B469,③回款收汇!$R$4:$R$203,"&gt;0")&gt;0,"已收汇","待收汇"))</f>
        <v/>
      </c>
      <c r="N469" s="41"/>
      <c r="O469" s="41"/>
      <c r="P469" s="35" t="str">
        <f aca="true">IF(N469="","",IF(O469="",IF(TODAY()-N469&gt;15,"已超15天未留存","待留存"),IF(O469-N469&lt;=15,"及时","超期")))</f>
        <v/>
      </c>
      <c r="Q469" s="43"/>
    </row>
    <row r="470" customFormat="false" ht="21.75" hidden="false" customHeight="true" outlineLevel="0" collapsed="false">
      <c r="A470" s="49"/>
      <c r="B470" s="48"/>
      <c r="C470" s="43"/>
      <c r="D470" s="44"/>
      <c r="E470" s="44"/>
      <c r="F470" s="36" t="str">
        <f aca="false">IF(OR(D470="",E470=""),"",IF(IFERROR(INDEX(①出口报关!$I$4:$I$303,MATCH(E470,①出口报关!$A$4:$A$303,0)),"")=D470,"一致","SKU与报关单不符"))</f>
        <v/>
      </c>
      <c r="G470" s="45"/>
      <c r="H470" s="45"/>
      <c r="I470" s="31" t="str">
        <f aca="false">IF(AND(G470="",H470=""),"",N(G470)-N(H470))</f>
        <v/>
      </c>
      <c r="J470" s="46"/>
      <c r="K470" s="46"/>
      <c r="L470" s="34" t="str">
        <f aca="false">IF(AND(J470="",K470=""),"",N(J470)-N(K470))</f>
        <v/>
      </c>
      <c r="M470" s="35" t="str">
        <f aca="false">IF(B470="","",IF(COUNTIFS(③回款收汇!$A$4:$A$203,B470,③回款收汇!$R$4:$R$203,"&gt;0")&gt;0,"已收汇","待收汇"))</f>
        <v/>
      </c>
      <c r="N470" s="41"/>
      <c r="O470" s="41"/>
      <c r="P470" s="35" t="str">
        <f aca="true">IF(N470="","",IF(O470="",IF(TODAY()-N470&gt;15,"已超15天未留存","待留存"),IF(O470-N470&lt;=15,"及时","超期")))</f>
        <v/>
      </c>
      <c r="Q470" s="43"/>
    </row>
    <row r="471" customFormat="false" ht="21.75" hidden="false" customHeight="true" outlineLevel="0" collapsed="false">
      <c r="A471" s="49"/>
      <c r="B471" s="48"/>
      <c r="C471" s="43"/>
      <c r="D471" s="44"/>
      <c r="E471" s="44"/>
      <c r="F471" s="36" t="str">
        <f aca="false">IF(OR(D471="",E471=""),"",IF(IFERROR(INDEX(①出口报关!$I$4:$I$303,MATCH(E471,①出口报关!$A$4:$A$303,0)),"")=D471,"一致","SKU与报关单不符"))</f>
        <v/>
      </c>
      <c r="G471" s="45"/>
      <c r="H471" s="45"/>
      <c r="I471" s="31" t="str">
        <f aca="false">IF(AND(G471="",H471=""),"",N(G471)-N(H471))</f>
        <v/>
      </c>
      <c r="J471" s="46"/>
      <c r="K471" s="46"/>
      <c r="L471" s="34" t="str">
        <f aca="false">IF(AND(J471="",K471=""),"",N(J471)-N(K471))</f>
        <v/>
      </c>
      <c r="M471" s="35" t="str">
        <f aca="false">IF(B471="","",IF(COUNTIFS(③回款收汇!$A$4:$A$203,B471,③回款收汇!$R$4:$R$203,"&gt;0")&gt;0,"已收汇","待收汇"))</f>
        <v/>
      </c>
      <c r="N471" s="41"/>
      <c r="O471" s="41"/>
      <c r="P471" s="35" t="str">
        <f aca="true">IF(N471="","",IF(O471="",IF(TODAY()-N471&gt;15,"已超15天未留存","待留存"),IF(O471-N471&lt;=15,"及时","超期")))</f>
        <v/>
      </c>
      <c r="Q471" s="43"/>
    </row>
    <row r="472" customFormat="false" ht="21.75" hidden="false" customHeight="true" outlineLevel="0" collapsed="false">
      <c r="A472" s="49"/>
      <c r="B472" s="48"/>
      <c r="C472" s="43"/>
      <c r="D472" s="44"/>
      <c r="E472" s="44"/>
      <c r="F472" s="36" t="str">
        <f aca="false">IF(OR(D472="",E472=""),"",IF(IFERROR(INDEX(①出口报关!$I$4:$I$303,MATCH(E472,①出口报关!$A$4:$A$303,0)),"")=D472,"一致","SKU与报关单不符"))</f>
        <v/>
      </c>
      <c r="G472" s="45"/>
      <c r="H472" s="45"/>
      <c r="I472" s="31" t="str">
        <f aca="false">IF(AND(G472="",H472=""),"",N(G472)-N(H472))</f>
        <v/>
      </c>
      <c r="J472" s="46"/>
      <c r="K472" s="46"/>
      <c r="L472" s="34" t="str">
        <f aca="false">IF(AND(J472="",K472=""),"",N(J472)-N(K472))</f>
        <v/>
      </c>
      <c r="M472" s="35" t="str">
        <f aca="false">IF(B472="","",IF(COUNTIFS(③回款收汇!$A$4:$A$203,B472,③回款收汇!$R$4:$R$203,"&gt;0")&gt;0,"已收汇","待收汇"))</f>
        <v/>
      </c>
      <c r="N472" s="41"/>
      <c r="O472" s="41"/>
      <c r="P472" s="35" t="str">
        <f aca="true">IF(N472="","",IF(O472="",IF(TODAY()-N472&gt;15,"已超15天未留存","待留存"),IF(O472-N472&lt;=15,"及时","超期")))</f>
        <v/>
      </c>
      <c r="Q472" s="43"/>
    </row>
    <row r="473" customFormat="false" ht="21.75" hidden="false" customHeight="true" outlineLevel="0" collapsed="false">
      <c r="A473" s="49"/>
      <c r="B473" s="48"/>
      <c r="C473" s="43"/>
      <c r="D473" s="44"/>
      <c r="E473" s="44"/>
      <c r="F473" s="36" t="str">
        <f aca="false">IF(OR(D473="",E473=""),"",IF(IFERROR(INDEX(①出口报关!$I$4:$I$303,MATCH(E473,①出口报关!$A$4:$A$303,0)),"")=D473,"一致","SKU与报关单不符"))</f>
        <v/>
      </c>
      <c r="G473" s="45"/>
      <c r="H473" s="45"/>
      <c r="I473" s="31" t="str">
        <f aca="false">IF(AND(G473="",H473=""),"",N(G473)-N(H473))</f>
        <v/>
      </c>
      <c r="J473" s="46"/>
      <c r="K473" s="46"/>
      <c r="L473" s="34" t="str">
        <f aca="false">IF(AND(J473="",K473=""),"",N(J473)-N(K473))</f>
        <v/>
      </c>
      <c r="M473" s="35" t="str">
        <f aca="false">IF(B473="","",IF(COUNTIFS(③回款收汇!$A$4:$A$203,B473,③回款收汇!$R$4:$R$203,"&gt;0")&gt;0,"已收汇","待收汇"))</f>
        <v/>
      </c>
      <c r="N473" s="41"/>
      <c r="O473" s="41"/>
      <c r="P473" s="35" t="str">
        <f aca="true">IF(N473="","",IF(O473="",IF(TODAY()-N473&gt;15,"已超15天未留存","待留存"),IF(O473-N473&lt;=15,"及时","超期")))</f>
        <v/>
      </c>
      <c r="Q473" s="43"/>
    </row>
    <row r="474" customFormat="false" ht="21.75" hidden="false" customHeight="true" outlineLevel="0" collapsed="false">
      <c r="A474" s="49"/>
      <c r="B474" s="48"/>
      <c r="C474" s="43"/>
      <c r="D474" s="44"/>
      <c r="E474" s="44"/>
      <c r="F474" s="36" t="str">
        <f aca="false">IF(OR(D474="",E474=""),"",IF(IFERROR(INDEX(①出口报关!$I$4:$I$303,MATCH(E474,①出口报关!$A$4:$A$303,0)),"")=D474,"一致","SKU与报关单不符"))</f>
        <v/>
      </c>
      <c r="G474" s="45"/>
      <c r="H474" s="45"/>
      <c r="I474" s="31" t="str">
        <f aca="false">IF(AND(G474="",H474=""),"",N(G474)-N(H474))</f>
        <v/>
      </c>
      <c r="J474" s="46"/>
      <c r="K474" s="46"/>
      <c r="L474" s="34" t="str">
        <f aca="false">IF(AND(J474="",K474=""),"",N(J474)-N(K474))</f>
        <v/>
      </c>
      <c r="M474" s="35" t="str">
        <f aca="false">IF(B474="","",IF(COUNTIFS(③回款收汇!$A$4:$A$203,B474,③回款收汇!$R$4:$R$203,"&gt;0")&gt;0,"已收汇","待收汇"))</f>
        <v/>
      </c>
      <c r="N474" s="41"/>
      <c r="O474" s="41"/>
      <c r="P474" s="35" t="str">
        <f aca="true">IF(N474="","",IF(O474="",IF(TODAY()-N474&gt;15,"已超15天未留存","待留存"),IF(O474-N474&lt;=15,"及时","超期")))</f>
        <v/>
      </c>
      <c r="Q474" s="43"/>
    </row>
    <row r="475" customFormat="false" ht="21.75" hidden="false" customHeight="true" outlineLevel="0" collapsed="false">
      <c r="A475" s="49"/>
      <c r="B475" s="48"/>
      <c r="C475" s="43"/>
      <c r="D475" s="44"/>
      <c r="E475" s="44"/>
      <c r="F475" s="36" t="str">
        <f aca="false">IF(OR(D475="",E475=""),"",IF(IFERROR(INDEX(①出口报关!$I$4:$I$303,MATCH(E475,①出口报关!$A$4:$A$303,0)),"")=D475,"一致","SKU与报关单不符"))</f>
        <v/>
      </c>
      <c r="G475" s="45"/>
      <c r="H475" s="45"/>
      <c r="I475" s="31" t="str">
        <f aca="false">IF(AND(G475="",H475=""),"",N(G475)-N(H475))</f>
        <v/>
      </c>
      <c r="J475" s="46"/>
      <c r="K475" s="46"/>
      <c r="L475" s="34" t="str">
        <f aca="false">IF(AND(J475="",K475=""),"",N(J475)-N(K475))</f>
        <v/>
      </c>
      <c r="M475" s="35" t="str">
        <f aca="false">IF(B475="","",IF(COUNTIFS(③回款收汇!$A$4:$A$203,B475,③回款收汇!$R$4:$R$203,"&gt;0")&gt;0,"已收汇","待收汇"))</f>
        <v/>
      </c>
      <c r="N475" s="41"/>
      <c r="O475" s="41"/>
      <c r="P475" s="35" t="str">
        <f aca="true">IF(N475="","",IF(O475="",IF(TODAY()-N475&gt;15,"已超15天未留存","待留存"),IF(O475-N475&lt;=15,"及时","超期")))</f>
        <v/>
      </c>
      <c r="Q475" s="43"/>
    </row>
    <row r="476" customFormat="false" ht="21.75" hidden="false" customHeight="true" outlineLevel="0" collapsed="false">
      <c r="A476" s="49"/>
      <c r="B476" s="48"/>
      <c r="C476" s="43"/>
      <c r="D476" s="44"/>
      <c r="E476" s="44"/>
      <c r="F476" s="36" t="str">
        <f aca="false">IF(OR(D476="",E476=""),"",IF(IFERROR(INDEX(①出口报关!$I$4:$I$303,MATCH(E476,①出口报关!$A$4:$A$303,0)),"")=D476,"一致","SKU与报关单不符"))</f>
        <v/>
      </c>
      <c r="G476" s="45"/>
      <c r="H476" s="45"/>
      <c r="I476" s="31" t="str">
        <f aca="false">IF(AND(G476="",H476=""),"",N(G476)-N(H476))</f>
        <v/>
      </c>
      <c r="J476" s="46"/>
      <c r="K476" s="46"/>
      <c r="L476" s="34" t="str">
        <f aca="false">IF(AND(J476="",K476=""),"",N(J476)-N(K476))</f>
        <v/>
      </c>
      <c r="M476" s="35" t="str">
        <f aca="false">IF(B476="","",IF(COUNTIFS(③回款收汇!$A$4:$A$203,B476,③回款收汇!$R$4:$R$203,"&gt;0")&gt;0,"已收汇","待收汇"))</f>
        <v/>
      </c>
      <c r="N476" s="41"/>
      <c r="O476" s="41"/>
      <c r="P476" s="35" t="str">
        <f aca="true">IF(N476="","",IF(O476="",IF(TODAY()-N476&gt;15,"已超15天未留存","待留存"),IF(O476-N476&lt;=15,"及时","超期")))</f>
        <v/>
      </c>
      <c r="Q476" s="43"/>
    </row>
    <row r="477" customFormat="false" ht="21.75" hidden="false" customHeight="true" outlineLevel="0" collapsed="false">
      <c r="A477" s="49"/>
      <c r="B477" s="48"/>
      <c r="C477" s="43"/>
      <c r="D477" s="44"/>
      <c r="E477" s="44"/>
      <c r="F477" s="36" t="str">
        <f aca="false">IF(OR(D477="",E477=""),"",IF(IFERROR(INDEX(①出口报关!$I$4:$I$303,MATCH(E477,①出口报关!$A$4:$A$303,0)),"")=D477,"一致","SKU与报关单不符"))</f>
        <v/>
      </c>
      <c r="G477" s="45"/>
      <c r="H477" s="45"/>
      <c r="I477" s="31" t="str">
        <f aca="false">IF(AND(G477="",H477=""),"",N(G477)-N(H477))</f>
        <v/>
      </c>
      <c r="J477" s="46"/>
      <c r="K477" s="46"/>
      <c r="L477" s="34" t="str">
        <f aca="false">IF(AND(J477="",K477=""),"",N(J477)-N(K477))</f>
        <v/>
      </c>
      <c r="M477" s="35" t="str">
        <f aca="false">IF(B477="","",IF(COUNTIFS(③回款收汇!$A$4:$A$203,B477,③回款收汇!$R$4:$R$203,"&gt;0")&gt;0,"已收汇","待收汇"))</f>
        <v/>
      </c>
      <c r="N477" s="41"/>
      <c r="O477" s="41"/>
      <c r="P477" s="35" t="str">
        <f aca="true">IF(N477="","",IF(O477="",IF(TODAY()-N477&gt;15,"已超15天未留存","待留存"),IF(O477-N477&lt;=15,"及时","超期")))</f>
        <v/>
      </c>
      <c r="Q477" s="43"/>
    </row>
    <row r="478" customFormat="false" ht="21.75" hidden="false" customHeight="true" outlineLevel="0" collapsed="false">
      <c r="A478" s="49"/>
      <c r="B478" s="48"/>
      <c r="C478" s="43"/>
      <c r="D478" s="44"/>
      <c r="E478" s="44"/>
      <c r="F478" s="36" t="str">
        <f aca="false">IF(OR(D478="",E478=""),"",IF(IFERROR(INDEX(①出口报关!$I$4:$I$303,MATCH(E478,①出口报关!$A$4:$A$303,0)),"")=D478,"一致","SKU与报关单不符"))</f>
        <v/>
      </c>
      <c r="G478" s="45"/>
      <c r="H478" s="45"/>
      <c r="I478" s="31" t="str">
        <f aca="false">IF(AND(G478="",H478=""),"",N(G478)-N(H478))</f>
        <v/>
      </c>
      <c r="J478" s="46"/>
      <c r="K478" s="46"/>
      <c r="L478" s="34" t="str">
        <f aca="false">IF(AND(J478="",K478=""),"",N(J478)-N(K478))</f>
        <v/>
      </c>
      <c r="M478" s="35" t="str">
        <f aca="false">IF(B478="","",IF(COUNTIFS(③回款收汇!$A$4:$A$203,B478,③回款收汇!$R$4:$R$203,"&gt;0")&gt;0,"已收汇","待收汇"))</f>
        <v/>
      </c>
      <c r="N478" s="41"/>
      <c r="O478" s="41"/>
      <c r="P478" s="35" t="str">
        <f aca="true">IF(N478="","",IF(O478="",IF(TODAY()-N478&gt;15,"已超15天未留存","待留存"),IF(O478-N478&lt;=15,"及时","超期")))</f>
        <v/>
      </c>
      <c r="Q478" s="43"/>
    </row>
    <row r="479" customFormat="false" ht="21.75" hidden="false" customHeight="true" outlineLevel="0" collapsed="false">
      <c r="A479" s="49"/>
      <c r="B479" s="48"/>
      <c r="C479" s="43"/>
      <c r="D479" s="44"/>
      <c r="E479" s="44"/>
      <c r="F479" s="36" t="str">
        <f aca="false">IF(OR(D479="",E479=""),"",IF(IFERROR(INDEX(①出口报关!$I$4:$I$303,MATCH(E479,①出口报关!$A$4:$A$303,0)),"")=D479,"一致","SKU与报关单不符"))</f>
        <v/>
      </c>
      <c r="G479" s="45"/>
      <c r="H479" s="45"/>
      <c r="I479" s="31" t="str">
        <f aca="false">IF(AND(G479="",H479=""),"",N(G479)-N(H479))</f>
        <v/>
      </c>
      <c r="J479" s="46"/>
      <c r="K479" s="46"/>
      <c r="L479" s="34" t="str">
        <f aca="false">IF(AND(J479="",K479=""),"",N(J479)-N(K479))</f>
        <v/>
      </c>
      <c r="M479" s="35" t="str">
        <f aca="false">IF(B479="","",IF(COUNTIFS(③回款收汇!$A$4:$A$203,B479,③回款收汇!$R$4:$R$203,"&gt;0")&gt;0,"已收汇","待收汇"))</f>
        <v/>
      </c>
      <c r="N479" s="41"/>
      <c r="O479" s="41"/>
      <c r="P479" s="35" t="str">
        <f aca="true">IF(N479="","",IF(O479="",IF(TODAY()-N479&gt;15,"已超15天未留存","待留存"),IF(O479-N479&lt;=15,"及时","超期")))</f>
        <v/>
      </c>
      <c r="Q479" s="43"/>
    </row>
    <row r="480" customFormat="false" ht="21.75" hidden="false" customHeight="true" outlineLevel="0" collapsed="false">
      <c r="A480" s="49"/>
      <c r="B480" s="48"/>
      <c r="C480" s="43"/>
      <c r="D480" s="44"/>
      <c r="E480" s="44"/>
      <c r="F480" s="36" t="str">
        <f aca="false">IF(OR(D480="",E480=""),"",IF(IFERROR(INDEX(①出口报关!$I$4:$I$303,MATCH(E480,①出口报关!$A$4:$A$303,0)),"")=D480,"一致","SKU与报关单不符"))</f>
        <v/>
      </c>
      <c r="G480" s="45"/>
      <c r="H480" s="45"/>
      <c r="I480" s="31" t="str">
        <f aca="false">IF(AND(G480="",H480=""),"",N(G480)-N(H480))</f>
        <v/>
      </c>
      <c r="J480" s="46"/>
      <c r="K480" s="46"/>
      <c r="L480" s="34" t="str">
        <f aca="false">IF(AND(J480="",K480=""),"",N(J480)-N(K480))</f>
        <v/>
      </c>
      <c r="M480" s="35" t="str">
        <f aca="false">IF(B480="","",IF(COUNTIFS(③回款收汇!$A$4:$A$203,B480,③回款收汇!$R$4:$R$203,"&gt;0")&gt;0,"已收汇","待收汇"))</f>
        <v/>
      </c>
      <c r="N480" s="41"/>
      <c r="O480" s="41"/>
      <c r="P480" s="35" t="str">
        <f aca="true">IF(N480="","",IF(O480="",IF(TODAY()-N480&gt;15,"已超15天未留存","待留存"),IF(O480-N480&lt;=15,"及时","超期")))</f>
        <v/>
      </c>
      <c r="Q480" s="43"/>
    </row>
    <row r="481" customFormat="false" ht="21.75" hidden="false" customHeight="true" outlineLevel="0" collapsed="false">
      <c r="A481" s="49"/>
      <c r="B481" s="48"/>
      <c r="C481" s="43"/>
      <c r="D481" s="44"/>
      <c r="E481" s="44"/>
      <c r="F481" s="36" t="str">
        <f aca="false">IF(OR(D481="",E481=""),"",IF(IFERROR(INDEX(①出口报关!$I$4:$I$303,MATCH(E481,①出口报关!$A$4:$A$303,0)),"")=D481,"一致","SKU与报关单不符"))</f>
        <v/>
      </c>
      <c r="G481" s="45"/>
      <c r="H481" s="45"/>
      <c r="I481" s="31" t="str">
        <f aca="false">IF(AND(G481="",H481=""),"",N(G481)-N(H481))</f>
        <v/>
      </c>
      <c r="J481" s="46"/>
      <c r="K481" s="46"/>
      <c r="L481" s="34" t="str">
        <f aca="false">IF(AND(J481="",K481=""),"",N(J481)-N(K481))</f>
        <v/>
      </c>
      <c r="M481" s="35" t="str">
        <f aca="false">IF(B481="","",IF(COUNTIFS(③回款收汇!$A$4:$A$203,B481,③回款收汇!$R$4:$R$203,"&gt;0")&gt;0,"已收汇","待收汇"))</f>
        <v/>
      </c>
      <c r="N481" s="41"/>
      <c r="O481" s="41"/>
      <c r="P481" s="35" t="str">
        <f aca="true">IF(N481="","",IF(O481="",IF(TODAY()-N481&gt;15,"已超15天未留存","待留存"),IF(O481-N481&lt;=15,"及时","超期")))</f>
        <v/>
      </c>
      <c r="Q481" s="43"/>
    </row>
    <row r="482" customFormat="false" ht="21.75" hidden="false" customHeight="true" outlineLevel="0" collapsed="false">
      <c r="A482" s="49"/>
      <c r="B482" s="48"/>
      <c r="C482" s="43"/>
      <c r="D482" s="44"/>
      <c r="E482" s="44"/>
      <c r="F482" s="36" t="str">
        <f aca="false">IF(OR(D482="",E482=""),"",IF(IFERROR(INDEX(①出口报关!$I$4:$I$303,MATCH(E482,①出口报关!$A$4:$A$303,0)),"")=D482,"一致","SKU与报关单不符"))</f>
        <v/>
      </c>
      <c r="G482" s="45"/>
      <c r="H482" s="45"/>
      <c r="I482" s="31" t="str">
        <f aca="false">IF(AND(G482="",H482=""),"",N(G482)-N(H482))</f>
        <v/>
      </c>
      <c r="J482" s="46"/>
      <c r="K482" s="46"/>
      <c r="L482" s="34" t="str">
        <f aca="false">IF(AND(J482="",K482=""),"",N(J482)-N(K482))</f>
        <v/>
      </c>
      <c r="M482" s="35" t="str">
        <f aca="false">IF(B482="","",IF(COUNTIFS(③回款收汇!$A$4:$A$203,B482,③回款收汇!$R$4:$R$203,"&gt;0")&gt;0,"已收汇","待收汇"))</f>
        <v/>
      </c>
      <c r="N482" s="41"/>
      <c r="O482" s="41"/>
      <c r="P482" s="35" t="str">
        <f aca="true">IF(N482="","",IF(O482="",IF(TODAY()-N482&gt;15,"已超15天未留存","待留存"),IF(O482-N482&lt;=15,"及时","超期")))</f>
        <v/>
      </c>
      <c r="Q482" s="43"/>
    </row>
    <row r="483" customFormat="false" ht="21.75" hidden="false" customHeight="true" outlineLevel="0" collapsed="false">
      <c r="A483" s="49"/>
      <c r="B483" s="48"/>
      <c r="C483" s="43"/>
      <c r="D483" s="44"/>
      <c r="E483" s="44"/>
      <c r="F483" s="36" t="str">
        <f aca="false">IF(OR(D483="",E483=""),"",IF(IFERROR(INDEX(①出口报关!$I$4:$I$303,MATCH(E483,①出口报关!$A$4:$A$303,0)),"")=D483,"一致","SKU与报关单不符"))</f>
        <v/>
      </c>
      <c r="G483" s="45"/>
      <c r="H483" s="45"/>
      <c r="I483" s="31" t="str">
        <f aca="false">IF(AND(G483="",H483=""),"",N(G483)-N(H483))</f>
        <v/>
      </c>
      <c r="J483" s="46"/>
      <c r="K483" s="46"/>
      <c r="L483" s="34" t="str">
        <f aca="false">IF(AND(J483="",K483=""),"",N(J483)-N(K483))</f>
        <v/>
      </c>
      <c r="M483" s="35" t="str">
        <f aca="false">IF(B483="","",IF(COUNTIFS(③回款收汇!$A$4:$A$203,B483,③回款收汇!$R$4:$R$203,"&gt;0")&gt;0,"已收汇","待收汇"))</f>
        <v/>
      </c>
      <c r="N483" s="41"/>
      <c r="O483" s="41"/>
      <c r="P483" s="35" t="str">
        <f aca="true">IF(N483="","",IF(O483="",IF(TODAY()-N483&gt;15,"已超15天未留存","待留存"),IF(O483-N483&lt;=15,"及时","超期")))</f>
        <v/>
      </c>
      <c r="Q483" s="43"/>
    </row>
    <row r="484" customFormat="false" ht="21.75" hidden="false" customHeight="true" outlineLevel="0" collapsed="false">
      <c r="A484" s="49"/>
      <c r="B484" s="48"/>
      <c r="C484" s="43"/>
      <c r="D484" s="44"/>
      <c r="E484" s="44"/>
      <c r="F484" s="36" t="str">
        <f aca="false">IF(OR(D484="",E484=""),"",IF(IFERROR(INDEX(①出口报关!$I$4:$I$303,MATCH(E484,①出口报关!$A$4:$A$303,0)),"")=D484,"一致","SKU与报关单不符"))</f>
        <v/>
      </c>
      <c r="G484" s="45"/>
      <c r="H484" s="45"/>
      <c r="I484" s="31" t="str">
        <f aca="false">IF(AND(G484="",H484=""),"",N(G484)-N(H484))</f>
        <v/>
      </c>
      <c r="J484" s="46"/>
      <c r="K484" s="46"/>
      <c r="L484" s="34" t="str">
        <f aca="false">IF(AND(J484="",K484=""),"",N(J484)-N(K484))</f>
        <v/>
      </c>
      <c r="M484" s="35" t="str">
        <f aca="false">IF(B484="","",IF(COUNTIFS(③回款收汇!$A$4:$A$203,B484,③回款收汇!$R$4:$R$203,"&gt;0")&gt;0,"已收汇","待收汇"))</f>
        <v/>
      </c>
      <c r="N484" s="41"/>
      <c r="O484" s="41"/>
      <c r="P484" s="35" t="str">
        <f aca="true">IF(N484="","",IF(O484="",IF(TODAY()-N484&gt;15,"已超15天未留存","待留存"),IF(O484-N484&lt;=15,"及时","超期")))</f>
        <v/>
      </c>
      <c r="Q484" s="43"/>
    </row>
    <row r="485" customFormat="false" ht="21.75" hidden="false" customHeight="true" outlineLevel="0" collapsed="false">
      <c r="A485" s="49"/>
      <c r="B485" s="48"/>
      <c r="C485" s="43"/>
      <c r="D485" s="44"/>
      <c r="E485" s="44"/>
      <c r="F485" s="36" t="str">
        <f aca="false">IF(OR(D485="",E485=""),"",IF(IFERROR(INDEX(①出口报关!$I$4:$I$303,MATCH(E485,①出口报关!$A$4:$A$303,0)),"")=D485,"一致","SKU与报关单不符"))</f>
        <v/>
      </c>
      <c r="G485" s="45"/>
      <c r="H485" s="45"/>
      <c r="I485" s="31" t="str">
        <f aca="false">IF(AND(G485="",H485=""),"",N(G485)-N(H485))</f>
        <v/>
      </c>
      <c r="J485" s="46"/>
      <c r="K485" s="46"/>
      <c r="L485" s="34" t="str">
        <f aca="false">IF(AND(J485="",K485=""),"",N(J485)-N(K485))</f>
        <v/>
      </c>
      <c r="M485" s="35" t="str">
        <f aca="false">IF(B485="","",IF(COUNTIFS(③回款收汇!$A$4:$A$203,B485,③回款收汇!$R$4:$R$203,"&gt;0")&gt;0,"已收汇","待收汇"))</f>
        <v/>
      </c>
      <c r="N485" s="41"/>
      <c r="O485" s="41"/>
      <c r="P485" s="35" t="str">
        <f aca="true">IF(N485="","",IF(O485="",IF(TODAY()-N485&gt;15,"已超15天未留存","待留存"),IF(O485-N485&lt;=15,"及时","超期")))</f>
        <v/>
      </c>
      <c r="Q485" s="43"/>
    </row>
    <row r="486" customFormat="false" ht="21.75" hidden="false" customHeight="true" outlineLevel="0" collapsed="false">
      <c r="A486" s="49"/>
      <c r="B486" s="48"/>
      <c r="C486" s="43"/>
      <c r="D486" s="44"/>
      <c r="E486" s="44"/>
      <c r="F486" s="36" t="str">
        <f aca="false">IF(OR(D486="",E486=""),"",IF(IFERROR(INDEX(①出口报关!$I$4:$I$303,MATCH(E486,①出口报关!$A$4:$A$303,0)),"")=D486,"一致","SKU与报关单不符"))</f>
        <v/>
      </c>
      <c r="G486" s="45"/>
      <c r="H486" s="45"/>
      <c r="I486" s="31" t="str">
        <f aca="false">IF(AND(G486="",H486=""),"",N(G486)-N(H486))</f>
        <v/>
      </c>
      <c r="J486" s="46"/>
      <c r="K486" s="46"/>
      <c r="L486" s="34" t="str">
        <f aca="false">IF(AND(J486="",K486=""),"",N(J486)-N(K486))</f>
        <v/>
      </c>
      <c r="M486" s="35" t="str">
        <f aca="false">IF(B486="","",IF(COUNTIFS(③回款收汇!$A$4:$A$203,B486,③回款收汇!$R$4:$R$203,"&gt;0")&gt;0,"已收汇","待收汇"))</f>
        <v/>
      </c>
      <c r="N486" s="41"/>
      <c r="O486" s="41"/>
      <c r="P486" s="35" t="str">
        <f aca="true">IF(N486="","",IF(O486="",IF(TODAY()-N486&gt;15,"已超15天未留存","待留存"),IF(O486-N486&lt;=15,"及时","超期")))</f>
        <v/>
      </c>
      <c r="Q486" s="43"/>
    </row>
    <row r="487" customFormat="false" ht="21.75" hidden="false" customHeight="true" outlineLevel="0" collapsed="false">
      <c r="A487" s="49"/>
      <c r="B487" s="48"/>
      <c r="C487" s="43"/>
      <c r="D487" s="44"/>
      <c r="E487" s="44"/>
      <c r="F487" s="36" t="str">
        <f aca="false">IF(OR(D487="",E487=""),"",IF(IFERROR(INDEX(①出口报关!$I$4:$I$303,MATCH(E487,①出口报关!$A$4:$A$303,0)),"")=D487,"一致","SKU与报关单不符"))</f>
        <v/>
      </c>
      <c r="G487" s="45"/>
      <c r="H487" s="45"/>
      <c r="I487" s="31" t="str">
        <f aca="false">IF(AND(G487="",H487=""),"",N(G487)-N(H487))</f>
        <v/>
      </c>
      <c r="J487" s="46"/>
      <c r="K487" s="46"/>
      <c r="L487" s="34" t="str">
        <f aca="false">IF(AND(J487="",K487=""),"",N(J487)-N(K487))</f>
        <v/>
      </c>
      <c r="M487" s="35" t="str">
        <f aca="false">IF(B487="","",IF(COUNTIFS(③回款收汇!$A$4:$A$203,B487,③回款收汇!$R$4:$R$203,"&gt;0")&gt;0,"已收汇","待收汇"))</f>
        <v/>
      </c>
      <c r="N487" s="41"/>
      <c r="O487" s="41"/>
      <c r="P487" s="35" t="str">
        <f aca="true">IF(N487="","",IF(O487="",IF(TODAY()-N487&gt;15,"已超15天未留存","待留存"),IF(O487-N487&lt;=15,"及时","超期")))</f>
        <v/>
      </c>
      <c r="Q487" s="43"/>
    </row>
    <row r="488" customFormat="false" ht="21.75" hidden="false" customHeight="true" outlineLevel="0" collapsed="false">
      <c r="A488" s="49"/>
      <c r="B488" s="48"/>
      <c r="C488" s="43"/>
      <c r="D488" s="44"/>
      <c r="E488" s="44"/>
      <c r="F488" s="36" t="str">
        <f aca="false">IF(OR(D488="",E488=""),"",IF(IFERROR(INDEX(①出口报关!$I$4:$I$303,MATCH(E488,①出口报关!$A$4:$A$303,0)),"")=D488,"一致","SKU与报关单不符"))</f>
        <v/>
      </c>
      <c r="G488" s="45"/>
      <c r="H488" s="45"/>
      <c r="I488" s="31" t="str">
        <f aca="false">IF(AND(G488="",H488=""),"",N(G488)-N(H488))</f>
        <v/>
      </c>
      <c r="J488" s="46"/>
      <c r="K488" s="46"/>
      <c r="L488" s="34" t="str">
        <f aca="false">IF(AND(J488="",K488=""),"",N(J488)-N(K488))</f>
        <v/>
      </c>
      <c r="M488" s="35" t="str">
        <f aca="false">IF(B488="","",IF(COUNTIFS(③回款收汇!$A$4:$A$203,B488,③回款收汇!$R$4:$R$203,"&gt;0")&gt;0,"已收汇","待收汇"))</f>
        <v/>
      </c>
      <c r="N488" s="41"/>
      <c r="O488" s="41"/>
      <c r="P488" s="35" t="str">
        <f aca="true">IF(N488="","",IF(O488="",IF(TODAY()-N488&gt;15,"已超15天未留存","待留存"),IF(O488-N488&lt;=15,"及时","超期")))</f>
        <v/>
      </c>
      <c r="Q488" s="43"/>
    </row>
    <row r="489" customFormat="false" ht="21.75" hidden="false" customHeight="true" outlineLevel="0" collapsed="false">
      <c r="A489" s="49"/>
      <c r="B489" s="48"/>
      <c r="C489" s="43"/>
      <c r="D489" s="44"/>
      <c r="E489" s="44"/>
      <c r="F489" s="36" t="str">
        <f aca="false">IF(OR(D489="",E489=""),"",IF(IFERROR(INDEX(①出口报关!$I$4:$I$303,MATCH(E489,①出口报关!$A$4:$A$303,0)),"")=D489,"一致","SKU与报关单不符"))</f>
        <v/>
      </c>
      <c r="G489" s="45"/>
      <c r="H489" s="45"/>
      <c r="I489" s="31" t="str">
        <f aca="false">IF(AND(G489="",H489=""),"",N(G489)-N(H489))</f>
        <v/>
      </c>
      <c r="J489" s="46"/>
      <c r="K489" s="46"/>
      <c r="L489" s="34" t="str">
        <f aca="false">IF(AND(J489="",K489=""),"",N(J489)-N(K489))</f>
        <v/>
      </c>
      <c r="M489" s="35" t="str">
        <f aca="false">IF(B489="","",IF(COUNTIFS(③回款收汇!$A$4:$A$203,B489,③回款收汇!$R$4:$R$203,"&gt;0")&gt;0,"已收汇","待收汇"))</f>
        <v/>
      </c>
      <c r="N489" s="41"/>
      <c r="O489" s="41"/>
      <c r="P489" s="35" t="str">
        <f aca="true">IF(N489="","",IF(O489="",IF(TODAY()-N489&gt;15,"已超15天未留存","待留存"),IF(O489-N489&lt;=15,"及时","超期")))</f>
        <v/>
      </c>
      <c r="Q489" s="43"/>
    </row>
    <row r="490" customFormat="false" ht="21.75" hidden="false" customHeight="true" outlineLevel="0" collapsed="false">
      <c r="A490" s="49"/>
      <c r="B490" s="48"/>
      <c r="C490" s="43"/>
      <c r="D490" s="44"/>
      <c r="E490" s="44"/>
      <c r="F490" s="36" t="str">
        <f aca="false">IF(OR(D490="",E490=""),"",IF(IFERROR(INDEX(①出口报关!$I$4:$I$303,MATCH(E490,①出口报关!$A$4:$A$303,0)),"")=D490,"一致","SKU与报关单不符"))</f>
        <v/>
      </c>
      <c r="G490" s="45"/>
      <c r="H490" s="45"/>
      <c r="I490" s="31" t="str">
        <f aca="false">IF(AND(G490="",H490=""),"",N(G490)-N(H490))</f>
        <v/>
      </c>
      <c r="J490" s="46"/>
      <c r="K490" s="46"/>
      <c r="L490" s="34" t="str">
        <f aca="false">IF(AND(J490="",K490=""),"",N(J490)-N(K490))</f>
        <v/>
      </c>
      <c r="M490" s="35" t="str">
        <f aca="false">IF(B490="","",IF(COUNTIFS(③回款收汇!$A$4:$A$203,B490,③回款收汇!$R$4:$R$203,"&gt;0")&gt;0,"已收汇","待收汇"))</f>
        <v/>
      </c>
      <c r="N490" s="41"/>
      <c r="O490" s="41"/>
      <c r="P490" s="35" t="str">
        <f aca="true">IF(N490="","",IF(O490="",IF(TODAY()-N490&gt;15,"已超15天未留存","待留存"),IF(O490-N490&lt;=15,"及时","超期")))</f>
        <v/>
      </c>
      <c r="Q490" s="43"/>
    </row>
    <row r="491" customFormat="false" ht="21.75" hidden="false" customHeight="true" outlineLevel="0" collapsed="false">
      <c r="A491" s="49"/>
      <c r="B491" s="48"/>
      <c r="C491" s="43"/>
      <c r="D491" s="44"/>
      <c r="E491" s="44"/>
      <c r="F491" s="36" t="str">
        <f aca="false">IF(OR(D491="",E491=""),"",IF(IFERROR(INDEX(①出口报关!$I$4:$I$303,MATCH(E491,①出口报关!$A$4:$A$303,0)),"")=D491,"一致","SKU与报关单不符"))</f>
        <v/>
      </c>
      <c r="G491" s="45"/>
      <c r="H491" s="45"/>
      <c r="I491" s="31" t="str">
        <f aca="false">IF(AND(G491="",H491=""),"",N(G491)-N(H491))</f>
        <v/>
      </c>
      <c r="J491" s="46"/>
      <c r="K491" s="46"/>
      <c r="L491" s="34" t="str">
        <f aca="false">IF(AND(J491="",K491=""),"",N(J491)-N(K491))</f>
        <v/>
      </c>
      <c r="M491" s="35" t="str">
        <f aca="false">IF(B491="","",IF(COUNTIFS(③回款收汇!$A$4:$A$203,B491,③回款收汇!$R$4:$R$203,"&gt;0")&gt;0,"已收汇","待收汇"))</f>
        <v/>
      </c>
      <c r="N491" s="41"/>
      <c r="O491" s="41"/>
      <c r="P491" s="35" t="str">
        <f aca="true">IF(N491="","",IF(O491="",IF(TODAY()-N491&gt;15,"已超15天未留存","待留存"),IF(O491-N491&lt;=15,"及时","超期")))</f>
        <v/>
      </c>
      <c r="Q491" s="43"/>
    </row>
    <row r="492" customFormat="false" ht="21.75" hidden="false" customHeight="true" outlineLevel="0" collapsed="false">
      <c r="A492" s="49"/>
      <c r="B492" s="48"/>
      <c r="C492" s="43"/>
      <c r="D492" s="44"/>
      <c r="E492" s="44"/>
      <c r="F492" s="36" t="str">
        <f aca="false">IF(OR(D492="",E492=""),"",IF(IFERROR(INDEX(①出口报关!$I$4:$I$303,MATCH(E492,①出口报关!$A$4:$A$303,0)),"")=D492,"一致","SKU与报关单不符"))</f>
        <v/>
      </c>
      <c r="G492" s="45"/>
      <c r="H492" s="45"/>
      <c r="I492" s="31" t="str">
        <f aca="false">IF(AND(G492="",H492=""),"",N(G492)-N(H492))</f>
        <v/>
      </c>
      <c r="J492" s="46"/>
      <c r="K492" s="46"/>
      <c r="L492" s="34" t="str">
        <f aca="false">IF(AND(J492="",K492=""),"",N(J492)-N(K492))</f>
        <v/>
      </c>
      <c r="M492" s="35" t="str">
        <f aca="false">IF(B492="","",IF(COUNTIFS(③回款收汇!$A$4:$A$203,B492,③回款收汇!$R$4:$R$203,"&gt;0")&gt;0,"已收汇","待收汇"))</f>
        <v/>
      </c>
      <c r="N492" s="41"/>
      <c r="O492" s="41"/>
      <c r="P492" s="35" t="str">
        <f aca="true">IF(N492="","",IF(O492="",IF(TODAY()-N492&gt;15,"已超15天未留存","待留存"),IF(O492-N492&lt;=15,"及时","超期")))</f>
        <v/>
      </c>
      <c r="Q492" s="43"/>
    </row>
    <row r="493" customFormat="false" ht="21.75" hidden="false" customHeight="true" outlineLevel="0" collapsed="false">
      <c r="A493" s="49"/>
      <c r="B493" s="48"/>
      <c r="C493" s="43"/>
      <c r="D493" s="44"/>
      <c r="E493" s="44"/>
      <c r="F493" s="36" t="str">
        <f aca="false">IF(OR(D493="",E493=""),"",IF(IFERROR(INDEX(①出口报关!$I$4:$I$303,MATCH(E493,①出口报关!$A$4:$A$303,0)),"")=D493,"一致","SKU与报关单不符"))</f>
        <v/>
      </c>
      <c r="G493" s="45"/>
      <c r="H493" s="45"/>
      <c r="I493" s="31" t="str">
        <f aca="false">IF(AND(G493="",H493=""),"",N(G493)-N(H493))</f>
        <v/>
      </c>
      <c r="J493" s="46"/>
      <c r="K493" s="46"/>
      <c r="L493" s="34" t="str">
        <f aca="false">IF(AND(J493="",K493=""),"",N(J493)-N(K493))</f>
        <v/>
      </c>
      <c r="M493" s="35" t="str">
        <f aca="false">IF(B493="","",IF(COUNTIFS(③回款收汇!$A$4:$A$203,B493,③回款收汇!$R$4:$R$203,"&gt;0")&gt;0,"已收汇","待收汇"))</f>
        <v/>
      </c>
      <c r="N493" s="41"/>
      <c r="O493" s="41"/>
      <c r="P493" s="35" t="str">
        <f aca="true">IF(N493="","",IF(O493="",IF(TODAY()-N493&gt;15,"已超15天未留存","待留存"),IF(O493-N493&lt;=15,"及时","超期")))</f>
        <v/>
      </c>
      <c r="Q493" s="43"/>
    </row>
    <row r="494" customFormat="false" ht="21.75" hidden="false" customHeight="true" outlineLevel="0" collapsed="false">
      <c r="A494" s="49"/>
      <c r="B494" s="48"/>
      <c r="C494" s="43"/>
      <c r="D494" s="44"/>
      <c r="E494" s="44"/>
      <c r="F494" s="36" t="str">
        <f aca="false">IF(OR(D494="",E494=""),"",IF(IFERROR(INDEX(①出口报关!$I$4:$I$303,MATCH(E494,①出口报关!$A$4:$A$303,0)),"")=D494,"一致","SKU与报关单不符"))</f>
        <v/>
      </c>
      <c r="G494" s="45"/>
      <c r="H494" s="45"/>
      <c r="I494" s="31" t="str">
        <f aca="false">IF(AND(G494="",H494=""),"",N(G494)-N(H494))</f>
        <v/>
      </c>
      <c r="J494" s="46"/>
      <c r="K494" s="46"/>
      <c r="L494" s="34" t="str">
        <f aca="false">IF(AND(J494="",K494=""),"",N(J494)-N(K494))</f>
        <v/>
      </c>
      <c r="M494" s="35" t="str">
        <f aca="false">IF(B494="","",IF(COUNTIFS(③回款收汇!$A$4:$A$203,B494,③回款收汇!$R$4:$R$203,"&gt;0")&gt;0,"已收汇","待收汇"))</f>
        <v/>
      </c>
      <c r="N494" s="41"/>
      <c r="O494" s="41"/>
      <c r="P494" s="35" t="str">
        <f aca="true">IF(N494="","",IF(O494="",IF(TODAY()-N494&gt;15,"已超15天未留存","待留存"),IF(O494-N494&lt;=15,"及时","超期")))</f>
        <v/>
      </c>
      <c r="Q494" s="43"/>
    </row>
    <row r="495" customFormat="false" ht="21.75" hidden="false" customHeight="true" outlineLevel="0" collapsed="false">
      <c r="A495" s="49"/>
      <c r="B495" s="48"/>
      <c r="C495" s="43"/>
      <c r="D495" s="44"/>
      <c r="E495" s="44"/>
      <c r="F495" s="36" t="str">
        <f aca="false">IF(OR(D495="",E495=""),"",IF(IFERROR(INDEX(①出口报关!$I$4:$I$303,MATCH(E495,①出口报关!$A$4:$A$303,0)),"")=D495,"一致","SKU与报关单不符"))</f>
        <v/>
      </c>
      <c r="G495" s="45"/>
      <c r="H495" s="45"/>
      <c r="I495" s="31" t="str">
        <f aca="false">IF(AND(G495="",H495=""),"",N(G495)-N(H495))</f>
        <v/>
      </c>
      <c r="J495" s="46"/>
      <c r="K495" s="46"/>
      <c r="L495" s="34" t="str">
        <f aca="false">IF(AND(J495="",K495=""),"",N(J495)-N(K495))</f>
        <v/>
      </c>
      <c r="M495" s="35" t="str">
        <f aca="false">IF(B495="","",IF(COUNTIFS(③回款收汇!$A$4:$A$203,B495,③回款收汇!$R$4:$R$203,"&gt;0")&gt;0,"已收汇","待收汇"))</f>
        <v/>
      </c>
      <c r="N495" s="41"/>
      <c r="O495" s="41"/>
      <c r="P495" s="35" t="str">
        <f aca="true">IF(N495="","",IF(O495="",IF(TODAY()-N495&gt;15,"已超15天未留存","待留存"),IF(O495-N495&lt;=15,"及时","超期")))</f>
        <v/>
      </c>
      <c r="Q495" s="43"/>
    </row>
    <row r="496" customFormat="false" ht="21.75" hidden="false" customHeight="true" outlineLevel="0" collapsed="false">
      <c r="A496" s="49"/>
      <c r="B496" s="48"/>
      <c r="C496" s="43"/>
      <c r="D496" s="44"/>
      <c r="E496" s="44"/>
      <c r="F496" s="36" t="str">
        <f aca="false">IF(OR(D496="",E496=""),"",IF(IFERROR(INDEX(①出口报关!$I$4:$I$303,MATCH(E496,①出口报关!$A$4:$A$303,0)),"")=D496,"一致","SKU与报关单不符"))</f>
        <v/>
      </c>
      <c r="G496" s="45"/>
      <c r="H496" s="45"/>
      <c r="I496" s="31" t="str">
        <f aca="false">IF(AND(G496="",H496=""),"",N(G496)-N(H496))</f>
        <v/>
      </c>
      <c r="J496" s="46"/>
      <c r="K496" s="46"/>
      <c r="L496" s="34" t="str">
        <f aca="false">IF(AND(J496="",K496=""),"",N(J496)-N(K496))</f>
        <v/>
      </c>
      <c r="M496" s="35" t="str">
        <f aca="false">IF(B496="","",IF(COUNTIFS(③回款收汇!$A$4:$A$203,B496,③回款收汇!$R$4:$R$203,"&gt;0")&gt;0,"已收汇","待收汇"))</f>
        <v/>
      </c>
      <c r="N496" s="41"/>
      <c r="O496" s="41"/>
      <c r="P496" s="35" t="str">
        <f aca="true">IF(N496="","",IF(O496="",IF(TODAY()-N496&gt;15,"已超15天未留存","待留存"),IF(O496-N496&lt;=15,"及时","超期")))</f>
        <v/>
      </c>
      <c r="Q496" s="43"/>
    </row>
    <row r="497" customFormat="false" ht="21.75" hidden="false" customHeight="true" outlineLevel="0" collapsed="false">
      <c r="A497" s="49"/>
      <c r="B497" s="48"/>
      <c r="C497" s="43"/>
      <c r="D497" s="44"/>
      <c r="E497" s="44"/>
      <c r="F497" s="36" t="str">
        <f aca="false">IF(OR(D497="",E497=""),"",IF(IFERROR(INDEX(①出口报关!$I$4:$I$303,MATCH(E497,①出口报关!$A$4:$A$303,0)),"")=D497,"一致","SKU与报关单不符"))</f>
        <v/>
      </c>
      <c r="G497" s="45"/>
      <c r="H497" s="45"/>
      <c r="I497" s="31" t="str">
        <f aca="false">IF(AND(G497="",H497=""),"",N(G497)-N(H497))</f>
        <v/>
      </c>
      <c r="J497" s="46"/>
      <c r="K497" s="46"/>
      <c r="L497" s="34" t="str">
        <f aca="false">IF(AND(J497="",K497=""),"",N(J497)-N(K497))</f>
        <v/>
      </c>
      <c r="M497" s="35" t="str">
        <f aca="false">IF(B497="","",IF(COUNTIFS(③回款收汇!$A$4:$A$203,B497,③回款收汇!$R$4:$R$203,"&gt;0")&gt;0,"已收汇","待收汇"))</f>
        <v/>
      </c>
      <c r="N497" s="41"/>
      <c r="O497" s="41"/>
      <c r="P497" s="35" t="str">
        <f aca="true">IF(N497="","",IF(O497="",IF(TODAY()-N497&gt;15,"已超15天未留存","待留存"),IF(O497-N497&lt;=15,"及时","超期")))</f>
        <v/>
      </c>
      <c r="Q497" s="43"/>
    </row>
    <row r="498" customFormat="false" ht="21.75" hidden="false" customHeight="true" outlineLevel="0" collapsed="false">
      <c r="A498" s="49"/>
      <c r="B498" s="48"/>
      <c r="C498" s="43"/>
      <c r="D498" s="44"/>
      <c r="E498" s="44"/>
      <c r="F498" s="36" t="str">
        <f aca="false">IF(OR(D498="",E498=""),"",IF(IFERROR(INDEX(①出口报关!$I$4:$I$303,MATCH(E498,①出口报关!$A$4:$A$303,0)),"")=D498,"一致","SKU与报关单不符"))</f>
        <v/>
      </c>
      <c r="G498" s="45"/>
      <c r="H498" s="45"/>
      <c r="I498" s="31" t="str">
        <f aca="false">IF(AND(G498="",H498=""),"",N(G498)-N(H498))</f>
        <v/>
      </c>
      <c r="J498" s="46"/>
      <c r="K498" s="46"/>
      <c r="L498" s="34" t="str">
        <f aca="false">IF(AND(J498="",K498=""),"",N(J498)-N(K498))</f>
        <v/>
      </c>
      <c r="M498" s="35" t="str">
        <f aca="false">IF(B498="","",IF(COUNTIFS(③回款收汇!$A$4:$A$203,B498,③回款收汇!$R$4:$R$203,"&gt;0")&gt;0,"已收汇","待收汇"))</f>
        <v/>
      </c>
      <c r="N498" s="41"/>
      <c r="O498" s="41"/>
      <c r="P498" s="35" t="str">
        <f aca="true">IF(N498="","",IF(O498="",IF(TODAY()-N498&gt;15,"已超15天未留存","待留存"),IF(O498-N498&lt;=15,"及时","超期")))</f>
        <v/>
      </c>
      <c r="Q498" s="43"/>
    </row>
    <row r="499" customFormat="false" ht="21.75" hidden="false" customHeight="true" outlineLevel="0" collapsed="false">
      <c r="A499" s="49"/>
      <c r="B499" s="48"/>
      <c r="C499" s="43"/>
      <c r="D499" s="44"/>
      <c r="E499" s="44"/>
      <c r="F499" s="36" t="str">
        <f aca="false">IF(OR(D499="",E499=""),"",IF(IFERROR(INDEX(①出口报关!$I$4:$I$303,MATCH(E499,①出口报关!$A$4:$A$303,0)),"")=D499,"一致","SKU与报关单不符"))</f>
        <v/>
      </c>
      <c r="G499" s="45"/>
      <c r="H499" s="45"/>
      <c r="I499" s="31" t="str">
        <f aca="false">IF(AND(G499="",H499=""),"",N(G499)-N(H499))</f>
        <v/>
      </c>
      <c r="J499" s="46"/>
      <c r="K499" s="46"/>
      <c r="L499" s="34" t="str">
        <f aca="false">IF(AND(J499="",K499=""),"",N(J499)-N(K499))</f>
        <v/>
      </c>
      <c r="M499" s="35" t="str">
        <f aca="false">IF(B499="","",IF(COUNTIFS(③回款收汇!$A$4:$A$203,B499,③回款收汇!$R$4:$R$203,"&gt;0")&gt;0,"已收汇","待收汇"))</f>
        <v/>
      </c>
      <c r="N499" s="41"/>
      <c r="O499" s="41"/>
      <c r="P499" s="35" t="str">
        <f aca="true">IF(N499="","",IF(O499="",IF(TODAY()-N499&gt;15,"已超15天未留存","待留存"),IF(O499-N499&lt;=15,"及时","超期")))</f>
        <v/>
      </c>
      <c r="Q499" s="43"/>
    </row>
    <row r="500" customFormat="false" ht="21.75" hidden="false" customHeight="true" outlineLevel="0" collapsed="false">
      <c r="A500" s="49"/>
      <c r="B500" s="48"/>
      <c r="C500" s="43"/>
      <c r="D500" s="44"/>
      <c r="E500" s="44"/>
      <c r="F500" s="36" t="str">
        <f aca="false">IF(OR(D500="",E500=""),"",IF(IFERROR(INDEX(①出口报关!$I$4:$I$303,MATCH(E500,①出口报关!$A$4:$A$303,0)),"")=D500,"一致","SKU与报关单不符"))</f>
        <v/>
      </c>
      <c r="G500" s="45"/>
      <c r="H500" s="45"/>
      <c r="I500" s="31" t="str">
        <f aca="false">IF(AND(G500="",H500=""),"",N(G500)-N(H500))</f>
        <v/>
      </c>
      <c r="J500" s="46"/>
      <c r="K500" s="46"/>
      <c r="L500" s="34" t="str">
        <f aca="false">IF(AND(J500="",K500=""),"",N(J500)-N(K500))</f>
        <v/>
      </c>
      <c r="M500" s="35" t="str">
        <f aca="false">IF(B500="","",IF(COUNTIFS(③回款收汇!$A$4:$A$203,B500,③回款收汇!$R$4:$R$203,"&gt;0")&gt;0,"已收汇","待收汇"))</f>
        <v/>
      </c>
      <c r="N500" s="41"/>
      <c r="O500" s="41"/>
      <c r="P500" s="35" t="str">
        <f aca="true">IF(N500="","",IF(O500="",IF(TODAY()-N500&gt;15,"已超15天未留存","待留存"),IF(O500-N500&lt;=15,"及时","超期")))</f>
        <v/>
      </c>
      <c r="Q500" s="43"/>
    </row>
    <row r="501" customFormat="false" ht="21.75" hidden="false" customHeight="true" outlineLevel="0" collapsed="false">
      <c r="A501" s="49"/>
      <c r="B501" s="48"/>
      <c r="C501" s="43"/>
      <c r="D501" s="44"/>
      <c r="E501" s="44"/>
      <c r="F501" s="36" t="str">
        <f aca="false">IF(OR(D501="",E501=""),"",IF(IFERROR(INDEX(①出口报关!$I$4:$I$303,MATCH(E501,①出口报关!$A$4:$A$303,0)),"")=D501,"一致","SKU与报关单不符"))</f>
        <v/>
      </c>
      <c r="G501" s="45"/>
      <c r="H501" s="45"/>
      <c r="I501" s="31" t="str">
        <f aca="false">IF(AND(G501="",H501=""),"",N(G501)-N(H501))</f>
        <v/>
      </c>
      <c r="J501" s="46"/>
      <c r="K501" s="46"/>
      <c r="L501" s="34" t="str">
        <f aca="false">IF(AND(J501="",K501=""),"",N(J501)-N(K501))</f>
        <v/>
      </c>
      <c r="M501" s="35" t="str">
        <f aca="false">IF(B501="","",IF(COUNTIFS(③回款收汇!$A$4:$A$203,B501,③回款收汇!$R$4:$R$203,"&gt;0")&gt;0,"已收汇","待收汇"))</f>
        <v/>
      </c>
      <c r="N501" s="41"/>
      <c r="O501" s="41"/>
      <c r="P501" s="35" t="str">
        <f aca="true">IF(N501="","",IF(O501="",IF(TODAY()-N501&gt;15,"已超15天未留存","待留存"),IF(O501-N501&lt;=15,"及时","超期")))</f>
        <v/>
      </c>
      <c r="Q501" s="43"/>
    </row>
    <row r="502" customFormat="false" ht="21.75" hidden="false" customHeight="true" outlineLevel="0" collapsed="false">
      <c r="A502" s="49"/>
      <c r="B502" s="48"/>
      <c r="C502" s="43"/>
      <c r="D502" s="44"/>
      <c r="E502" s="44"/>
      <c r="F502" s="36" t="str">
        <f aca="false">IF(OR(D502="",E502=""),"",IF(IFERROR(INDEX(①出口报关!$I$4:$I$303,MATCH(E502,①出口报关!$A$4:$A$303,0)),"")=D502,"一致","SKU与报关单不符"))</f>
        <v/>
      </c>
      <c r="G502" s="45"/>
      <c r="H502" s="45"/>
      <c r="I502" s="31" t="str">
        <f aca="false">IF(AND(G502="",H502=""),"",N(G502)-N(H502))</f>
        <v/>
      </c>
      <c r="J502" s="46"/>
      <c r="K502" s="46"/>
      <c r="L502" s="34" t="str">
        <f aca="false">IF(AND(J502="",K502=""),"",N(J502)-N(K502))</f>
        <v/>
      </c>
      <c r="M502" s="35" t="str">
        <f aca="false">IF(B502="","",IF(COUNTIFS(③回款收汇!$A$4:$A$203,B502,③回款收汇!$R$4:$R$203,"&gt;0")&gt;0,"已收汇","待收汇"))</f>
        <v/>
      </c>
      <c r="N502" s="41"/>
      <c r="O502" s="41"/>
      <c r="P502" s="35" t="str">
        <f aca="true">IF(N502="","",IF(O502="",IF(TODAY()-N502&gt;15,"已超15天未留存","待留存"),IF(O502-N502&lt;=15,"及时","超期")))</f>
        <v/>
      </c>
      <c r="Q502" s="43"/>
    </row>
    <row r="503" customFormat="false" ht="21.75" hidden="false" customHeight="true" outlineLevel="0" collapsed="false">
      <c r="A503" s="49"/>
      <c r="B503" s="48"/>
      <c r="C503" s="43"/>
      <c r="D503" s="44"/>
      <c r="E503" s="44"/>
      <c r="F503" s="36" t="str">
        <f aca="false">IF(OR(D503="",E503=""),"",IF(IFERROR(INDEX(①出口报关!$I$4:$I$303,MATCH(E503,①出口报关!$A$4:$A$303,0)),"")=D503,"一致","SKU与报关单不符"))</f>
        <v/>
      </c>
      <c r="G503" s="45"/>
      <c r="H503" s="45"/>
      <c r="I503" s="31" t="str">
        <f aca="false">IF(AND(G503="",H503=""),"",N(G503)-N(H503))</f>
        <v/>
      </c>
      <c r="J503" s="46"/>
      <c r="K503" s="46"/>
      <c r="L503" s="34" t="str">
        <f aca="false">IF(AND(J503="",K503=""),"",N(J503)-N(K503))</f>
        <v/>
      </c>
      <c r="M503" s="35" t="str">
        <f aca="false">IF(B503="","",IF(COUNTIFS(③回款收汇!$A$4:$A$203,B503,③回款收汇!$R$4:$R$203,"&gt;0")&gt;0,"已收汇","待收汇"))</f>
        <v/>
      </c>
      <c r="N503" s="41"/>
      <c r="O503" s="41"/>
      <c r="P503" s="35" t="str">
        <f aca="true">IF(N503="","",IF(O503="",IF(TODAY()-N503&gt;15,"已超15天未留存","待留存"),IF(O503-N503&lt;=15,"及时","超期")))</f>
        <v/>
      </c>
      <c r="Q503" s="43"/>
    </row>
    <row r="504" customFormat="false" ht="21.75" hidden="false" customHeight="true" outlineLevel="0" collapsed="false">
      <c r="A504" s="49"/>
      <c r="B504" s="48"/>
      <c r="C504" s="43"/>
      <c r="D504" s="44"/>
      <c r="E504" s="44"/>
      <c r="F504" s="36" t="str">
        <f aca="false">IF(OR(D504="",E504=""),"",IF(IFERROR(INDEX(①出口报关!$I$4:$I$303,MATCH(E504,①出口报关!$A$4:$A$303,0)),"")=D504,"一致","SKU与报关单不符"))</f>
        <v/>
      </c>
      <c r="G504" s="45"/>
      <c r="H504" s="45"/>
      <c r="I504" s="31" t="str">
        <f aca="false">IF(AND(G504="",H504=""),"",N(G504)-N(H504))</f>
        <v/>
      </c>
      <c r="J504" s="46"/>
      <c r="K504" s="46"/>
      <c r="L504" s="34" t="str">
        <f aca="false">IF(AND(J504="",K504=""),"",N(J504)-N(K504))</f>
        <v/>
      </c>
      <c r="M504" s="35" t="str">
        <f aca="false">IF(B504="","",IF(COUNTIFS(③回款收汇!$A$4:$A$203,B504,③回款收汇!$R$4:$R$203,"&gt;0")&gt;0,"已收汇","待收汇"))</f>
        <v/>
      </c>
      <c r="N504" s="41"/>
      <c r="O504" s="41"/>
      <c r="P504" s="35" t="str">
        <f aca="true">IF(N504="","",IF(O504="",IF(TODAY()-N504&gt;15,"已超15天未留存","待留存"),IF(O504-N504&lt;=15,"及时","超期")))</f>
        <v/>
      </c>
      <c r="Q504" s="43"/>
    </row>
    <row r="505" customFormat="false" ht="21.75" hidden="false" customHeight="true" outlineLevel="0" collapsed="false">
      <c r="A505" s="49"/>
      <c r="B505" s="48"/>
      <c r="C505" s="43"/>
      <c r="D505" s="44"/>
      <c r="E505" s="44"/>
      <c r="F505" s="36" t="str">
        <f aca="false">IF(OR(D505="",E505=""),"",IF(IFERROR(INDEX(①出口报关!$I$4:$I$303,MATCH(E505,①出口报关!$A$4:$A$303,0)),"")=D505,"一致","SKU与报关单不符"))</f>
        <v/>
      </c>
      <c r="G505" s="45"/>
      <c r="H505" s="45"/>
      <c r="I505" s="31" t="str">
        <f aca="false">IF(AND(G505="",H505=""),"",N(G505)-N(H505))</f>
        <v/>
      </c>
      <c r="J505" s="46"/>
      <c r="K505" s="46"/>
      <c r="L505" s="34" t="str">
        <f aca="false">IF(AND(J505="",K505=""),"",N(J505)-N(K505))</f>
        <v/>
      </c>
      <c r="M505" s="35" t="str">
        <f aca="false">IF(B505="","",IF(COUNTIFS(③回款收汇!$A$4:$A$203,B505,③回款收汇!$R$4:$R$203,"&gt;0")&gt;0,"已收汇","待收汇"))</f>
        <v/>
      </c>
      <c r="N505" s="41"/>
      <c r="O505" s="41"/>
      <c r="P505" s="35" t="str">
        <f aca="true">IF(N505="","",IF(O505="",IF(TODAY()-N505&gt;15,"已超15天未留存","待留存"),IF(O505-N505&lt;=15,"及时","超期")))</f>
        <v/>
      </c>
      <c r="Q505" s="43"/>
    </row>
    <row r="506" customFormat="false" ht="21.75" hidden="false" customHeight="true" outlineLevel="0" collapsed="false">
      <c r="A506" s="49"/>
      <c r="B506" s="48"/>
      <c r="C506" s="43"/>
      <c r="D506" s="44"/>
      <c r="E506" s="44"/>
      <c r="F506" s="36" t="str">
        <f aca="false">IF(OR(D506="",E506=""),"",IF(IFERROR(INDEX(①出口报关!$I$4:$I$303,MATCH(E506,①出口报关!$A$4:$A$303,0)),"")=D506,"一致","SKU与报关单不符"))</f>
        <v/>
      </c>
      <c r="G506" s="45"/>
      <c r="H506" s="45"/>
      <c r="I506" s="31" t="str">
        <f aca="false">IF(AND(G506="",H506=""),"",N(G506)-N(H506))</f>
        <v/>
      </c>
      <c r="J506" s="46"/>
      <c r="K506" s="46"/>
      <c r="L506" s="34" t="str">
        <f aca="false">IF(AND(J506="",K506=""),"",N(J506)-N(K506))</f>
        <v/>
      </c>
      <c r="M506" s="35" t="str">
        <f aca="false">IF(B506="","",IF(COUNTIFS(③回款收汇!$A$4:$A$203,B506,③回款收汇!$R$4:$R$203,"&gt;0")&gt;0,"已收汇","待收汇"))</f>
        <v/>
      </c>
      <c r="N506" s="41"/>
      <c r="O506" s="41"/>
      <c r="P506" s="35" t="str">
        <f aca="true">IF(N506="","",IF(O506="",IF(TODAY()-N506&gt;15,"已超15天未留存","待留存"),IF(O506-N506&lt;=15,"及时","超期")))</f>
        <v/>
      </c>
      <c r="Q506" s="43"/>
    </row>
    <row r="507" customFormat="false" ht="21.75" hidden="false" customHeight="true" outlineLevel="0" collapsed="false">
      <c r="A507" s="49"/>
      <c r="B507" s="48"/>
      <c r="C507" s="43"/>
      <c r="D507" s="44"/>
      <c r="E507" s="44"/>
      <c r="F507" s="36" t="str">
        <f aca="false">IF(OR(D507="",E507=""),"",IF(IFERROR(INDEX(①出口报关!$I$4:$I$303,MATCH(E507,①出口报关!$A$4:$A$303,0)),"")=D507,"一致","SKU与报关单不符"))</f>
        <v/>
      </c>
      <c r="G507" s="45"/>
      <c r="H507" s="45"/>
      <c r="I507" s="31" t="str">
        <f aca="false">IF(AND(G507="",H507=""),"",N(G507)-N(H507))</f>
        <v/>
      </c>
      <c r="J507" s="46"/>
      <c r="K507" s="46"/>
      <c r="L507" s="34" t="str">
        <f aca="false">IF(AND(J507="",K507=""),"",N(J507)-N(K507))</f>
        <v/>
      </c>
      <c r="M507" s="35" t="str">
        <f aca="false">IF(B507="","",IF(COUNTIFS(③回款收汇!$A$4:$A$203,B507,③回款收汇!$R$4:$R$203,"&gt;0")&gt;0,"已收汇","待收汇"))</f>
        <v/>
      </c>
      <c r="N507" s="41"/>
      <c r="O507" s="41"/>
      <c r="P507" s="35" t="str">
        <f aca="true">IF(N507="","",IF(O507="",IF(TODAY()-N507&gt;15,"已超15天未留存","待留存"),IF(O507-N507&lt;=15,"及时","超期")))</f>
        <v/>
      </c>
      <c r="Q507" s="43"/>
    </row>
    <row r="508" customFormat="false" ht="21.75" hidden="false" customHeight="true" outlineLevel="0" collapsed="false">
      <c r="A508" s="49"/>
      <c r="B508" s="48"/>
      <c r="C508" s="43"/>
      <c r="D508" s="44"/>
      <c r="E508" s="44"/>
      <c r="F508" s="36" t="str">
        <f aca="false">IF(OR(D508="",E508=""),"",IF(IFERROR(INDEX(①出口报关!$I$4:$I$303,MATCH(E508,①出口报关!$A$4:$A$303,0)),"")=D508,"一致","SKU与报关单不符"))</f>
        <v/>
      </c>
      <c r="G508" s="45"/>
      <c r="H508" s="45"/>
      <c r="I508" s="31" t="str">
        <f aca="false">IF(AND(G508="",H508=""),"",N(G508)-N(H508))</f>
        <v/>
      </c>
      <c r="J508" s="46"/>
      <c r="K508" s="46"/>
      <c r="L508" s="34" t="str">
        <f aca="false">IF(AND(J508="",K508=""),"",N(J508)-N(K508))</f>
        <v/>
      </c>
      <c r="M508" s="35" t="str">
        <f aca="false">IF(B508="","",IF(COUNTIFS(③回款收汇!$A$4:$A$203,B508,③回款收汇!$R$4:$R$203,"&gt;0")&gt;0,"已收汇","待收汇"))</f>
        <v/>
      </c>
      <c r="N508" s="41"/>
      <c r="O508" s="41"/>
      <c r="P508" s="35" t="str">
        <f aca="true">IF(N508="","",IF(O508="",IF(TODAY()-N508&gt;15,"已超15天未留存","待留存"),IF(O508-N508&lt;=15,"及时","超期")))</f>
        <v/>
      </c>
      <c r="Q508" s="43"/>
    </row>
    <row r="509" customFormat="false" ht="21.75" hidden="false" customHeight="true" outlineLevel="0" collapsed="false">
      <c r="A509" s="49"/>
      <c r="B509" s="48"/>
      <c r="C509" s="43"/>
      <c r="D509" s="44"/>
      <c r="E509" s="44"/>
      <c r="F509" s="36" t="str">
        <f aca="false">IF(OR(D509="",E509=""),"",IF(IFERROR(INDEX(①出口报关!$I$4:$I$303,MATCH(E509,①出口报关!$A$4:$A$303,0)),"")=D509,"一致","SKU与报关单不符"))</f>
        <v/>
      </c>
      <c r="G509" s="45"/>
      <c r="H509" s="45"/>
      <c r="I509" s="31" t="str">
        <f aca="false">IF(AND(G509="",H509=""),"",N(G509)-N(H509))</f>
        <v/>
      </c>
      <c r="J509" s="46"/>
      <c r="K509" s="46"/>
      <c r="L509" s="34" t="str">
        <f aca="false">IF(AND(J509="",K509=""),"",N(J509)-N(K509))</f>
        <v/>
      </c>
      <c r="M509" s="35" t="str">
        <f aca="false">IF(B509="","",IF(COUNTIFS(③回款收汇!$A$4:$A$203,B509,③回款收汇!$R$4:$R$203,"&gt;0")&gt;0,"已收汇","待收汇"))</f>
        <v/>
      </c>
      <c r="N509" s="41"/>
      <c r="O509" s="41"/>
      <c r="P509" s="35" t="str">
        <f aca="true">IF(N509="","",IF(O509="",IF(TODAY()-N509&gt;15,"已超15天未留存","待留存"),IF(O509-N509&lt;=15,"及时","超期")))</f>
        <v/>
      </c>
      <c r="Q509" s="43"/>
    </row>
    <row r="510" customFormat="false" ht="21.75" hidden="false" customHeight="true" outlineLevel="0" collapsed="false">
      <c r="A510" s="49"/>
      <c r="B510" s="48"/>
      <c r="C510" s="43"/>
      <c r="D510" s="44"/>
      <c r="E510" s="44"/>
      <c r="F510" s="36" t="str">
        <f aca="false">IF(OR(D510="",E510=""),"",IF(IFERROR(INDEX(①出口报关!$I$4:$I$303,MATCH(E510,①出口报关!$A$4:$A$303,0)),"")=D510,"一致","SKU与报关单不符"))</f>
        <v/>
      </c>
      <c r="G510" s="45"/>
      <c r="H510" s="45"/>
      <c r="I510" s="31" t="str">
        <f aca="false">IF(AND(G510="",H510=""),"",N(G510)-N(H510))</f>
        <v/>
      </c>
      <c r="J510" s="46"/>
      <c r="K510" s="46"/>
      <c r="L510" s="34" t="str">
        <f aca="false">IF(AND(J510="",K510=""),"",N(J510)-N(K510))</f>
        <v/>
      </c>
      <c r="M510" s="35" t="str">
        <f aca="false">IF(B510="","",IF(COUNTIFS(③回款收汇!$A$4:$A$203,B510,③回款收汇!$R$4:$R$203,"&gt;0")&gt;0,"已收汇","待收汇"))</f>
        <v/>
      </c>
      <c r="N510" s="41"/>
      <c r="O510" s="41"/>
      <c r="P510" s="35" t="str">
        <f aca="true">IF(N510="","",IF(O510="",IF(TODAY()-N510&gt;15,"已超15天未留存","待留存"),IF(O510-N510&lt;=15,"及时","超期")))</f>
        <v/>
      </c>
      <c r="Q510" s="43"/>
    </row>
    <row r="511" customFormat="false" ht="21.75" hidden="false" customHeight="true" outlineLevel="0" collapsed="false">
      <c r="A511" s="49"/>
      <c r="B511" s="48"/>
      <c r="C511" s="43"/>
      <c r="D511" s="44"/>
      <c r="E511" s="44"/>
      <c r="F511" s="36" t="str">
        <f aca="false">IF(OR(D511="",E511=""),"",IF(IFERROR(INDEX(①出口报关!$I$4:$I$303,MATCH(E511,①出口报关!$A$4:$A$303,0)),"")=D511,"一致","SKU与报关单不符"))</f>
        <v/>
      </c>
      <c r="G511" s="45"/>
      <c r="H511" s="45"/>
      <c r="I511" s="31" t="str">
        <f aca="false">IF(AND(G511="",H511=""),"",N(G511)-N(H511))</f>
        <v/>
      </c>
      <c r="J511" s="46"/>
      <c r="K511" s="46"/>
      <c r="L511" s="34" t="str">
        <f aca="false">IF(AND(J511="",K511=""),"",N(J511)-N(K511))</f>
        <v/>
      </c>
      <c r="M511" s="35" t="str">
        <f aca="false">IF(B511="","",IF(COUNTIFS(③回款收汇!$A$4:$A$203,B511,③回款收汇!$R$4:$R$203,"&gt;0")&gt;0,"已收汇","待收汇"))</f>
        <v/>
      </c>
      <c r="N511" s="41"/>
      <c r="O511" s="41"/>
      <c r="P511" s="35" t="str">
        <f aca="true">IF(N511="","",IF(O511="",IF(TODAY()-N511&gt;15,"已超15天未留存","待留存"),IF(O511-N511&lt;=15,"及时","超期")))</f>
        <v/>
      </c>
      <c r="Q511" s="43"/>
    </row>
    <row r="512" customFormat="false" ht="21.75" hidden="false" customHeight="true" outlineLevel="0" collapsed="false">
      <c r="A512" s="49"/>
      <c r="B512" s="48"/>
      <c r="C512" s="43"/>
      <c r="D512" s="44"/>
      <c r="E512" s="44"/>
      <c r="F512" s="36" t="str">
        <f aca="false">IF(OR(D512="",E512=""),"",IF(IFERROR(INDEX(①出口报关!$I$4:$I$303,MATCH(E512,①出口报关!$A$4:$A$303,0)),"")=D512,"一致","SKU与报关单不符"))</f>
        <v/>
      </c>
      <c r="G512" s="45"/>
      <c r="H512" s="45"/>
      <c r="I512" s="31" t="str">
        <f aca="false">IF(AND(G512="",H512=""),"",N(G512)-N(H512))</f>
        <v/>
      </c>
      <c r="J512" s="46"/>
      <c r="K512" s="46"/>
      <c r="L512" s="34" t="str">
        <f aca="false">IF(AND(J512="",K512=""),"",N(J512)-N(K512))</f>
        <v/>
      </c>
      <c r="M512" s="35" t="str">
        <f aca="false">IF(B512="","",IF(COUNTIFS(③回款收汇!$A$4:$A$203,B512,③回款收汇!$R$4:$R$203,"&gt;0")&gt;0,"已收汇","待收汇"))</f>
        <v/>
      </c>
      <c r="N512" s="41"/>
      <c r="O512" s="41"/>
      <c r="P512" s="35" t="str">
        <f aca="true">IF(N512="","",IF(O512="",IF(TODAY()-N512&gt;15,"已超15天未留存","待留存"),IF(O512-N512&lt;=15,"及时","超期")))</f>
        <v/>
      </c>
      <c r="Q512" s="43"/>
    </row>
    <row r="513" customFormat="false" ht="21.75" hidden="false" customHeight="true" outlineLevel="0" collapsed="false">
      <c r="A513" s="49"/>
      <c r="B513" s="48"/>
      <c r="C513" s="43"/>
      <c r="D513" s="44"/>
      <c r="E513" s="44"/>
      <c r="F513" s="36" t="str">
        <f aca="false">IF(OR(D513="",E513=""),"",IF(IFERROR(INDEX(①出口报关!$I$4:$I$303,MATCH(E513,①出口报关!$A$4:$A$303,0)),"")=D513,"一致","SKU与报关单不符"))</f>
        <v/>
      </c>
      <c r="G513" s="45"/>
      <c r="H513" s="45"/>
      <c r="I513" s="31" t="str">
        <f aca="false">IF(AND(G513="",H513=""),"",N(G513)-N(H513))</f>
        <v/>
      </c>
      <c r="J513" s="46"/>
      <c r="K513" s="46"/>
      <c r="L513" s="34" t="str">
        <f aca="false">IF(AND(J513="",K513=""),"",N(J513)-N(K513))</f>
        <v/>
      </c>
      <c r="M513" s="35" t="str">
        <f aca="false">IF(B513="","",IF(COUNTIFS(③回款收汇!$A$4:$A$203,B513,③回款收汇!$R$4:$R$203,"&gt;0")&gt;0,"已收汇","待收汇"))</f>
        <v/>
      </c>
      <c r="N513" s="41"/>
      <c r="O513" s="41"/>
      <c r="P513" s="35" t="str">
        <f aca="true">IF(N513="","",IF(O513="",IF(TODAY()-N513&gt;15,"已超15天未留存","待留存"),IF(O513-N513&lt;=15,"及时","超期")))</f>
        <v/>
      </c>
      <c r="Q513" s="43"/>
    </row>
    <row r="514" customFormat="false" ht="21.75" hidden="false" customHeight="true" outlineLevel="0" collapsed="false">
      <c r="A514" s="49"/>
      <c r="B514" s="48"/>
      <c r="C514" s="43"/>
      <c r="D514" s="44"/>
      <c r="E514" s="44"/>
      <c r="F514" s="36" t="str">
        <f aca="false">IF(OR(D514="",E514=""),"",IF(IFERROR(INDEX(①出口报关!$I$4:$I$303,MATCH(E514,①出口报关!$A$4:$A$303,0)),"")=D514,"一致","SKU与报关单不符"))</f>
        <v/>
      </c>
      <c r="G514" s="45"/>
      <c r="H514" s="45"/>
      <c r="I514" s="31" t="str">
        <f aca="false">IF(AND(G514="",H514=""),"",N(G514)-N(H514))</f>
        <v/>
      </c>
      <c r="J514" s="46"/>
      <c r="K514" s="46"/>
      <c r="L514" s="34" t="str">
        <f aca="false">IF(AND(J514="",K514=""),"",N(J514)-N(K514))</f>
        <v/>
      </c>
      <c r="M514" s="35" t="str">
        <f aca="false">IF(B514="","",IF(COUNTIFS(③回款收汇!$A$4:$A$203,B514,③回款收汇!$R$4:$R$203,"&gt;0")&gt;0,"已收汇","待收汇"))</f>
        <v/>
      </c>
      <c r="N514" s="41"/>
      <c r="O514" s="41"/>
      <c r="P514" s="35" t="str">
        <f aca="true">IF(N514="","",IF(O514="",IF(TODAY()-N514&gt;15,"已超15天未留存","待留存"),IF(O514-N514&lt;=15,"及时","超期")))</f>
        <v/>
      </c>
      <c r="Q514" s="43"/>
    </row>
    <row r="515" customFormat="false" ht="21.75" hidden="false" customHeight="true" outlineLevel="0" collapsed="false">
      <c r="A515" s="49"/>
      <c r="B515" s="48"/>
      <c r="C515" s="43"/>
      <c r="D515" s="44"/>
      <c r="E515" s="44"/>
      <c r="F515" s="36" t="str">
        <f aca="false">IF(OR(D515="",E515=""),"",IF(IFERROR(INDEX(①出口报关!$I$4:$I$303,MATCH(E515,①出口报关!$A$4:$A$303,0)),"")=D515,"一致","SKU与报关单不符"))</f>
        <v/>
      </c>
      <c r="G515" s="45"/>
      <c r="H515" s="45"/>
      <c r="I515" s="31" t="str">
        <f aca="false">IF(AND(G515="",H515=""),"",N(G515)-N(H515))</f>
        <v/>
      </c>
      <c r="J515" s="46"/>
      <c r="K515" s="46"/>
      <c r="L515" s="34" t="str">
        <f aca="false">IF(AND(J515="",K515=""),"",N(J515)-N(K515))</f>
        <v/>
      </c>
      <c r="M515" s="35" t="str">
        <f aca="false">IF(B515="","",IF(COUNTIFS(③回款收汇!$A$4:$A$203,B515,③回款收汇!$R$4:$R$203,"&gt;0")&gt;0,"已收汇","待收汇"))</f>
        <v/>
      </c>
      <c r="N515" s="41"/>
      <c r="O515" s="41"/>
      <c r="P515" s="35" t="str">
        <f aca="true">IF(N515="","",IF(O515="",IF(TODAY()-N515&gt;15,"已超15天未留存","待留存"),IF(O515-N515&lt;=15,"及时","超期")))</f>
        <v/>
      </c>
      <c r="Q515" s="43"/>
    </row>
    <row r="516" customFormat="false" ht="21.75" hidden="false" customHeight="true" outlineLevel="0" collapsed="false">
      <c r="A516" s="49"/>
      <c r="B516" s="48"/>
      <c r="C516" s="43"/>
      <c r="D516" s="44"/>
      <c r="E516" s="44"/>
      <c r="F516" s="36" t="str">
        <f aca="false">IF(OR(D516="",E516=""),"",IF(IFERROR(INDEX(①出口报关!$I$4:$I$303,MATCH(E516,①出口报关!$A$4:$A$303,0)),"")=D516,"一致","SKU与报关单不符"))</f>
        <v/>
      </c>
      <c r="G516" s="45"/>
      <c r="H516" s="45"/>
      <c r="I516" s="31" t="str">
        <f aca="false">IF(AND(G516="",H516=""),"",N(G516)-N(H516))</f>
        <v/>
      </c>
      <c r="J516" s="46"/>
      <c r="K516" s="46"/>
      <c r="L516" s="34" t="str">
        <f aca="false">IF(AND(J516="",K516=""),"",N(J516)-N(K516))</f>
        <v/>
      </c>
      <c r="M516" s="35" t="str">
        <f aca="false">IF(B516="","",IF(COUNTIFS(③回款收汇!$A$4:$A$203,B516,③回款收汇!$R$4:$R$203,"&gt;0")&gt;0,"已收汇","待收汇"))</f>
        <v/>
      </c>
      <c r="N516" s="41"/>
      <c r="O516" s="41"/>
      <c r="P516" s="35" t="str">
        <f aca="true">IF(N516="","",IF(O516="",IF(TODAY()-N516&gt;15,"已超15天未留存","待留存"),IF(O516-N516&lt;=15,"及时","超期")))</f>
        <v/>
      </c>
      <c r="Q516" s="43"/>
    </row>
    <row r="517" customFormat="false" ht="21.75" hidden="false" customHeight="true" outlineLevel="0" collapsed="false">
      <c r="A517" s="49"/>
      <c r="B517" s="48"/>
      <c r="C517" s="43"/>
      <c r="D517" s="44"/>
      <c r="E517" s="44"/>
      <c r="F517" s="36" t="str">
        <f aca="false">IF(OR(D517="",E517=""),"",IF(IFERROR(INDEX(①出口报关!$I$4:$I$303,MATCH(E517,①出口报关!$A$4:$A$303,0)),"")=D517,"一致","SKU与报关单不符"))</f>
        <v/>
      </c>
      <c r="G517" s="45"/>
      <c r="H517" s="45"/>
      <c r="I517" s="31" t="str">
        <f aca="false">IF(AND(G517="",H517=""),"",N(G517)-N(H517))</f>
        <v/>
      </c>
      <c r="J517" s="46"/>
      <c r="K517" s="46"/>
      <c r="L517" s="34" t="str">
        <f aca="false">IF(AND(J517="",K517=""),"",N(J517)-N(K517))</f>
        <v/>
      </c>
      <c r="M517" s="35" t="str">
        <f aca="false">IF(B517="","",IF(COUNTIFS(③回款收汇!$A$4:$A$203,B517,③回款收汇!$R$4:$R$203,"&gt;0")&gt;0,"已收汇","待收汇"))</f>
        <v/>
      </c>
      <c r="N517" s="41"/>
      <c r="O517" s="41"/>
      <c r="P517" s="35" t="str">
        <f aca="true">IF(N517="","",IF(O517="",IF(TODAY()-N517&gt;15,"已超15天未留存","待留存"),IF(O517-N517&lt;=15,"及时","超期")))</f>
        <v/>
      </c>
      <c r="Q517" s="43"/>
    </row>
    <row r="518" customFormat="false" ht="21.75" hidden="false" customHeight="true" outlineLevel="0" collapsed="false">
      <c r="A518" s="49"/>
      <c r="B518" s="48"/>
      <c r="C518" s="43"/>
      <c r="D518" s="44"/>
      <c r="E518" s="44"/>
      <c r="F518" s="36" t="str">
        <f aca="false">IF(OR(D518="",E518=""),"",IF(IFERROR(INDEX(①出口报关!$I$4:$I$303,MATCH(E518,①出口报关!$A$4:$A$303,0)),"")=D518,"一致","SKU与报关单不符"))</f>
        <v/>
      </c>
      <c r="G518" s="45"/>
      <c r="H518" s="45"/>
      <c r="I518" s="31" t="str">
        <f aca="false">IF(AND(G518="",H518=""),"",N(G518)-N(H518))</f>
        <v/>
      </c>
      <c r="J518" s="46"/>
      <c r="K518" s="46"/>
      <c r="L518" s="34" t="str">
        <f aca="false">IF(AND(J518="",K518=""),"",N(J518)-N(K518))</f>
        <v/>
      </c>
      <c r="M518" s="35" t="str">
        <f aca="false">IF(B518="","",IF(COUNTIFS(③回款收汇!$A$4:$A$203,B518,③回款收汇!$R$4:$R$203,"&gt;0")&gt;0,"已收汇","待收汇"))</f>
        <v/>
      </c>
      <c r="N518" s="41"/>
      <c r="O518" s="41"/>
      <c r="P518" s="35" t="str">
        <f aca="true">IF(N518="","",IF(O518="",IF(TODAY()-N518&gt;15,"已超15天未留存","待留存"),IF(O518-N518&lt;=15,"及时","超期")))</f>
        <v/>
      </c>
      <c r="Q518" s="43"/>
    </row>
    <row r="519" customFormat="false" ht="21.75" hidden="false" customHeight="true" outlineLevel="0" collapsed="false">
      <c r="A519" s="49"/>
      <c r="B519" s="48"/>
      <c r="C519" s="43"/>
      <c r="D519" s="44"/>
      <c r="E519" s="44"/>
      <c r="F519" s="36" t="str">
        <f aca="false">IF(OR(D519="",E519=""),"",IF(IFERROR(INDEX(①出口报关!$I$4:$I$303,MATCH(E519,①出口报关!$A$4:$A$303,0)),"")=D519,"一致","SKU与报关单不符"))</f>
        <v/>
      </c>
      <c r="G519" s="45"/>
      <c r="H519" s="45"/>
      <c r="I519" s="31" t="str">
        <f aca="false">IF(AND(G519="",H519=""),"",N(G519)-N(H519))</f>
        <v/>
      </c>
      <c r="J519" s="46"/>
      <c r="K519" s="46"/>
      <c r="L519" s="34" t="str">
        <f aca="false">IF(AND(J519="",K519=""),"",N(J519)-N(K519))</f>
        <v/>
      </c>
      <c r="M519" s="35" t="str">
        <f aca="false">IF(B519="","",IF(COUNTIFS(③回款收汇!$A$4:$A$203,B519,③回款收汇!$R$4:$R$203,"&gt;0")&gt;0,"已收汇","待收汇"))</f>
        <v/>
      </c>
      <c r="N519" s="41"/>
      <c r="O519" s="41"/>
      <c r="P519" s="35" t="str">
        <f aca="true">IF(N519="","",IF(O519="",IF(TODAY()-N519&gt;15,"已超15天未留存","待留存"),IF(O519-N519&lt;=15,"及时","超期")))</f>
        <v/>
      </c>
      <c r="Q519" s="43"/>
    </row>
    <row r="520" customFormat="false" ht="21.75" hidden="false" customHeight="true" outlineLevel="0" collapsed="false">
      <c r="A520" s="49"/>
      <c r="B520" s="48"/>
      <c r="C520" s="43"/>
      <c r="D520" s="44"/>
      <c r="E520" s="44"/>
      <c r="F520" s="36" t="str">
        <f aca="false">IF(OR(D520="",E520=""),"",IF(IFERROR(INDEX(①出口报关!$I$4:$I$303,MATCH(E520,①出口报关!$A$4:$A$303,0)),"")=D520,"一致","SKU与报关单不符"))</f>
        <v/>
      </c>
      <c r="G520" s="45"/>
      <c r="H520" s="45"/>
      <c r="I520" s="31" t="str">
        <f aca="false">IF(AND(G520="",H520=""),"",N(G520)-N(H520))</f>
        <v/>
      </c>
      <c r="J520" s="46"/>
      <c r="K520" s="46"/>
      <c r="L520" s="34" t="str">
        <f aca="false">IF(AND(J520="",K520=""),"",N(J520)-N(K520))</f>
        <v/>
      </c>
      <c r="M520" s="35" t="str">
        <f aca="false">IF(B520="","",IF(COUNTIFS(③回款收汇!$A$4:$A$203,B520,③回款收汇!$R$4:$R$203,"&gt;0")&gt;0,"已收汇","待收汇"))</f>
        <v/>
      </c>
      <c r="N520" s="41"/>
      <c r="O520" s="41"/>
      <c r="P520" s="35" t="str">
        <f aca="true">IF(N520="","",IF(O520="",IF(TODAY()-N520&gt;15,"已超15天未留存","待留存"),IF(O520-N520&lt;=15,"及时","超期")))</f>
        <v/>
      </c>
      <c r="Q520" s="43"/>
    </row>
    <row r="521" customFormat="false" ht="21.75" hidden="false" customHeight="true" outlineLevel="0" collapsed="false">
      <c r="A521" s="49"/>
      <c r="B521" s="48"/>
      <c r="C521" s="43"/>
      <c r="D521" s="44"/>
      <c r="E521" s="44"/>
      <c r="F521" s="36" t="str">
        <f aca="false">IF(OR(D521="",E521=""),"",IF(IFERROR(INDEX(①出口报关!$I$4:$I$303,MATCH(E521,①出口报关!$A$4:$A$303,0)),"")=D521,"一致","SKU与报关单不符"))</f>
        <v/>
      </c>
      <c r="G521" s="45"/>
      <c r="H521" s="45"/>
      <c r="I521" s="31" t="str">
        <f aca="false">IF(AND(G521="",H521=""),"",N(G521)-N(H521))</f>
        <v/>
      </c>
      <c r="J521" s="46"/>
      <c r="K521" s="46"/>
      <c r="L521" s="34" t="str">
        <f aca="false">IF(AND(J521="",K521=""),"",N(J521)-N(K521))</f>
        <v/>
      </c>
      <c r="M521" s="35" t="str">
        <f aca="false">IF(B521="","",IF(COUNTIFS(③回款收汇!$A$4:$A$203,B521,③回款收汇!$R$4:$R$203,"&gt;0")&gt;0,"已收汇","待收汇"))</f>
        <v/>
      </c>
      <c r="N521" s="41"/>
      <c r="O521" s="41"/>
      <c r="P521" s="35" t="str">
        <f aca="true">IF(N521="","",IF(O521="",IF(TODAY()-N521&gt;15,"已超15天未留存","待留存"),IF(O521-N521&lt;=15,"及时","超期")))</f>
        <v/>
      </c>
      <c r="Q521" s="43"/>
    </row>
    <row r="522" customFormat="false" ht="21.75" hidden="false" customHeight="true" outlineLevel="0" collapsed="false">
      <c r="A522" s="49"/>
      <c r="B522" s="48"/>
      <c r="C522" s="43"/>
      <c r="D522" s="44"/>
      <c r="E522" s="44"/>
      <c r="F522" s="36" t="str">
        <f aca="false">IF(OR(D522="",E522=""),"",IF(IFERROR(INDEX(①出口报关!$I$4:$I$303,MATCH(E522,①出口报关!$A$4:$A$303,0)),"")=D522,"一致","SKU与报关单不符"))</f>
        <v/>
      </c>
      <c r="G522" s="45"/>
      <c r="H522" s="45"/>
      <c r="I522" s="31" t="str">
        <f aca="false">IF(AND(G522="",H522=""),"",N(G522)-N(H522))</f>
        <v/>
      </c>
      <c r="J522" s="46"/>
      <c r="K522" s="46"/>
      <c r="L522" s="34" t="str">
        <f aca="false">IF(AND(J522="",K522=""),"",N(J522)-N(K522))</f>
        <v/>
      </c>
      <c r="M522" s="35" t="str">
        <f aca="false">IF(B522="","",IF(COUNTIFS(③回款收汇!$A$4:$A$203,B522,③回款收汇!$R$4:$R$203,"&gt;0")&gt;0,"已收汇","待收汇"))</f>
        <v/>
      </c>
      <c r="N522" s="41"/>
      <c r="O522" s="41"/>
      <c r="P522" s="35" t="str">
        <f aca="true">IF(N522="","",IF(O522="",IF(TODAY()-N522&gt;15,"已超15天未留存","待留存"),IF(O522-N522&lt;=15,"及时","超期")))</f>
        <v/>
      </c>
      <c r="Q522" s="43"/>
    </row>
    <row r="523" customFormat="false" ht="21.75" hidden="false" customHeight="true" outlineLevel="0" collapsed="false">
      <c r="A523" s="49"/>
      <c r="B523" s="48"/>
      <c r="C523" s="43"/>
      <c r="D523" s="44"/>
      <c r="E523" s="44"/>
      <c r="F523" s="36" t="str">
        <f aca="false">IF(OR(D523="",E523=""),"",IF(IFERROR(INDEX(①出口报关!$I$4:$I$303,MATCH(E523,①出口报关!$A$4:$A$303,0)),"")=D523,"一致","SKU与报关单不符"))</f>
        <v/>
      </c>
      <c r="G523" s="45"/>
      <c r="H523" s="45"/>
      <c r="I523" s="31" t="str">
        <f aca="false">IF(AND(G523="",H523=""),"",N(G523)-N(H523))</f>
        <v/>
      </c>
      <c r="J523" s="46"/>
      <c r="K523" s="46"/>
      <c r="L523" s="34" t="str">
        <f aca="false">IF(AND(J523="",K523=""),"",N(J523)-N(K523))</f>
        <v/>
      </c>
      <c r="M523" s="35" t="str">
        <f aca="false">IF(B523="","",IF(COUNTIFS(③回款收汇!$A$4:$A$203,B523,③回款收汇!$R$4:$R$203,"&gt;0")&gt;0,"已收汇","待收汇"))</f>
        <v/>
      </c>
      <c r="N523" s="41"/>
      <c r="O523" s="41"/>
      <c r="P523" s="35" t="str">
        <f aca="true">IF(N523="","",IF(O523="",IF(TODAY()-N523&gt;15,"已超15天未留存","待留存"),IF(O523-N523&lt;=15,"及时","超期")))</f>
        <v/>
      </c>
      <c r="Q523" s="43"/>
    </row>
    <row r="524" customFormat="false" ht="21.75" hidden="false" customHeight="true" outlineLevel="0" collapsed="false">
      <c r="A524" s="49"/>
      <c r="B524" s="48"/>
      <c r="C524" s="43"/>
      <c r="D524" s="44"/>
      <c r="E524" s="44"/>
      <c r="F524" s="36" t="str">
        <f aca="false">IF(OR(D524="",E524=""),"",IF(IFERROR(INDEX(①出口报关!$I$4:$I$303,MATCH(E524,①出口报关!$A$4:$A$303,0)),"")=D524,"一致","SKU与报关单不符"))</f>
        <v/>
      </c>
      <c r="G524" s="45"/>
      <c r="H524" s="45"/>
      <c r="I524" s="31" t="str">
        <f aca="false">IF(AND(G524="",H524=""),"",N(G524)-N(H524))</f>
        <v/>
      </c>
      <c r="J524" s="46"/>
      <c r="K524" s="46"/>
      <c r="L524" s="34" t="str">
        <f aca="false">IF(AND(J524="",K524=""),"",N(J524)-N(K524))</f>
        <v/>
      </c>
      <c r="M524" s="35" t="str">
        <f aca="false">IF(B524="","",IF(COUNTIFS(③回款收汇!$A$4:$A$203,B524,③回款收汇!$R$4:$R$203,"&gt;0")&gt;0,"已收汇","待收汇"))</f>
        <v/>
      </c>
      <c r="N524" s="41"/>
      <c r="O524" s="41"/>
      <c r="P524" s="35" t="str">
        <f aca="true">IF(N524="","",IF(O524="",IF(TODAY()-N524&gt;15,"已超15天未留存","待留存"),IF(O524-N524&lt;=15,"及时","超期")))</f>
        <v/>
      </c>
      <c r="Q524" s="43"/>
    </row>
    <row r="525" customFormat="false" ht="21.75" hidden="false" customHeight="true" outlineLevel="0" collapsed="false">
      <c r="A525" s="49"/>
      <c r="B525" s="48"/>
      <c r="C525" s="43"/>
      <c r="D525" s="44"/>
      <c r="E525" s="44"/>
      <c r="F525" s="36" t="str">
        <f aca="false">IF(OR(D525="",E525=""),"",IF(IFERROR(INDEX(①出口报关!$I$4:$I$303,MATCH(E525,①出口报关!$A$4:$A$303,0)),"")=D525,"一致","SKU与报关单不符"))</f>
        <v/>
      </c>
      <c r="G525" s="45"/>
      <c r="H525" s="45"/>
      <c r="I525" s="31" t="str">
        <f aca="false">IF(AND(G525="",H525=""),"",N(G525)-N(H525))</f>
        <v/>
      </c>
      <c r="J525" s="46"/>
      <c r="K525" s="46"/>
      <c r="L525" s="34" t="str">
        <f aca="false">IF(AND(J525="",K525=""),"",N(J525)-N(K525))</f>
        <v/>
      </c>
      <c r="M525" s="35" t="str">
        <f aca="false">IF(B525="","",IF(COUNTIFS(③回款收汇!$A$4:$A$203,B525,③回款收汇!$R$4:$R$203,"&gt;0")&gt;0,"已收汇","待收汇"))</f>
        <v/>
      </c>
      <c r="N525" s="41"/>
      <c r="O525" s="41"/>
      <c r="P525" s="35" t="str">
        <f aca="true">IF(N525="","",IF(O525="",IF(TODAY()-N525&gt;15,"已超15天未留存","待留存"),IF(O525-N525&lt;=15,"及时","超期")))</f>
        <v/>
      </c>
      <c r="Q525" s="43"/>
    </row>
    <row r="526" customFormat="false" ht="21.75" hidden="false" customHeight="true" outlineLevel="0" collapsed="false">
      <c r="A526" s="49"/>
      <c r="B526" s="48"/>
      <c r="C526" s="43"/>
      <c r="D526" s="44"/>
      <c r="E526" s="44"/>
      <c r="F526" s="36" t="str">
        <f aca="false">IF(OR(D526="",E526=""),"",IF(IFERROR(INDEX(①出口报关!$I$4:$I$303,MATCH(E526,①出口报关!$A$4:$A$303,0)),"")=D526,"一致","SKU与报关单不符"))</f>
        <v/>
      </c>
      <c r="G526" s="45"/>
      <c r="H526" s="45"/>
      <c r="I526" s="31" t="str">
        <f aca="false">IF(AND(G526="",H526=""),"",N(G526)-N(H526))</f>
        <v/>
      </c>
      <c r="J526" s="46"/>
      <c r="K526" s="46"/>
      <c r="L526" s="34" t="str">
        <f aca="false">IF(AND(J526="",K526=""),"",N(J526)-N(K526))</f>
        <v/>
      </c>
      <c r="M526" s="35" t="str">
        <f aca="false">IF(B526="","",IF(COUNTIFS(③回款收汇!$A$4:$A$203,B526,③回款收汇!$R$4:$R$203,"&gt;0")&gt;0,"已收汇","待收汇"))</f>
        <v/>
      </c>
      <c r="N526" s="41"/>
      <c r="O526" s="41"/>
      <c r="P526" s="35" t="str">
        <f aca="true">IF(N526="","",IF(O526="",IF(TODAY()-N526&gt;15,"已超15天未留存","待留存"),IF(O526-N526&lt;=15,"及时","超期")))</f>
        <v/>
      </c>
      <c r="Q526" s="43"/>
    </row>
    <row r="527" customFormat="false" ht="21.75" hidden="false" customHeight="true" outlineLevel="0" collapsed="false">
      <c r="A527" s="49"/>
      <c r="B527" s="48"/>
      <c r="C527" s="43"/>
      <c r="D527" s="44"/>
      <c r="E527" s="44"/>
      <c r="F527" s="36" t="str">
        <f aca="false">IF(OR(D527="",E527=""),"",IF(IFERROR(INDEX(①出口报关!$I$4:$I$303,MATCH(E527,①出口报关!$A$4:$A$303,0)),"")=D527,"一致","SKU与报关单不符"))</f>
        <v/>
      </c>
      <c r="G527" s="45"/>
      <c r="H527" s="45"/>
      <c r="I527" s="31" t="str">
        <f aca="false">IF(AND(G527="",H527=""),"",N(G527)-N(H527))</f>
        <v/>
      </c>
      <c r="J527" s="46"/>
      <c r="K527" s="46"/>
      <c r="L527" s="34" t="str">
        <f aca="false">IF(AND(J527="",K527=""),"",N(J527)-N(K527))</f>
        <v/>
      </c>
      <c r="M527" s="35" t="str">
        <f aca="false">IF(B527="","",IF(COUNTIFS(③回款收汇!$A$4:$A$203,B527,③回款收汇!$R$4:$R$203,"&gt;0")&gt;0,"已收汇","待收汇"))</f>
        <v/>
      </c>
      <c r="N527" s="41"/>
      <c r="O527" s="41"/>
      <c r="P527" s="35" t="str">
        <f aca="true">IF(N527="","",IF(O527="",IF(TODAY()-N527&gt;15,"已超15天未留存","待留存"),IF(O527-N527&lt;=15,"及时","超期")))</f>
        <v/>
      </c>
      <c r="Q527" s="43"/>
    </row>
    <row r="528" customFormat="false" ht="21.75" hidden="false" customHeight="true" outlineLevel="0" collapsed="false">
      <c r="A528" s="49"/>
      <c r="B528" s="48"/>
      <c r="C528" s="43"/>
      <c r="D528" s="44"/>
      <c r="E528" s="44"/>
      <c r="F528" s="36" t="str">
        <f aca="false">IF(OR(D528="",E528=""),"",IF(IFERROR(INDEX(①出口报关!$I$4:$I$303,MATCH(E528,①出口报关!$A$4:$A$303,0)),"")=D528,"一致","SKU与报关单不符"))</f>
        <v/>
      </c>
      <c r="G528" s="45"/>
      <c r="H528" s="45"/>
      <c r="I528" s="31" t="str">
        <f aca="false">IF(AND(G528="",H528=""),"",N(G528)-N(H528))</f>
        <v/>
      </c>
      <c r="J528" s="46"/>
      <c r="K528" s="46"/>
      <c r="L528" s="34" t="str">
        <f aca="false">IF(AND(J528="",K528=""),"",N(J528)-N(K528))</f>
        <v/>
      </c>
      <c r="M528" s="35" t="str">
        <f aca="false">IF(B528="","",IF(COUNTIFS(③回款收汇!$A$4:$A$203,B528,③回款收汇!$R$4:$R$203,"&gt;0")&gt;0,"已收汇","待收汇"))</f>
        <v/>
      </c>
      <c r="N528" s="41"/>
      <c r="O528" s="41"/>
      <c r="P528" s="35" t="str">
        <f aca="true">IF(N528="","",IF(O528="",IF(TODAY()-N528&gt;15,"已超15天未留存","待留存"),IF(O528-N528&lt;=15,"及时","超期")))</f>
        <v/>
      </c>
      <c r="Q528" s="43"/>
    </row>
    <row r="529" customFormat="false" ht="21.75" hidden="false" customHeight="true" outlineLevel="0" collapsed="false">
      <c r="A529" s="49"/>
      <c r="B529" s="48"/>
      <c r="C529" s="43"/>
      <c r="D529" s="44"/>
      <c r="E529" s="44"/>
      <c r="F529" s="36" t="str">
        <f aca="false">IF(OR(D529="",E529=""),"",IF(IFERROR(INDEX(①出口报关!$I$4:$I$303,MATCH(E529,①出口报关!$A$4:$A$303,0)),"")=D529,"一致","SKU与报关单不符"))</f>
        <v/>
      </c>
      <c r="G529" s="45"/>
      <c r="H529" s="45"/>
      <c r="I529" s="31" t="str">
        <f aca="false">IF(AND(G529="",H529=""),"",N(G529)-N(H529))</f>
        <v/>
      </c>
      <c r="J529" s="46"/>
      <c r="K529" s="46"/>
      <c r="L529" s="34" t="str">
        <f aca="false">IF(AND(J529="",K529=""),"",N(J529)-N(K529))</f>
        <v/>
      </c>
      <c r="M529" s="35" t="str">
        <f aca="false">IF(B529="","",IF(COUNTIFS(③回款收汇!$A$4:$A$203,B529,③回款收汇!$R$4:$R$203,"&gt;0")&gt;0,"已收汇","待收汇"))</f>
        <v/>
      </c>
      <c r="N529" s="41"/>
      <c r="O529" s="41"/>
      <c r="P529" s="35" t="str">
        <f aca="true">IF(N529="","",IF(O529="",IF(TODAY()-N529&gt;15,"已超15天未留存","待留存"),IF(O529-N529&lt;=15,"及时","超期")))</f>
        <v/>
      </c>
      <c r="Q529" s="43"/>
    </row>
    <row r="530" customFormat="false" ht="21.75" hidden="false" customHeight="true" outlineLevel="0" collapsed="false">
      <c r="A530" s="49"/>
      <c r="B530" s="48"/>
      <c r="C530" s="43"/>
      <c r="D530" s="44"/>
      <c r="E530" s="44"/>
      <c r="F530" s="36" t="str">
        <f aca="false">IF(OR(D530="",E530=""),"",IF(IFERROR(INDEX(①出口报关!$I$4:$I$303,MATCH(E530,①出口报关!$A$4:$A$303,0)),"")=D530,"一致","SKU与报关单不符"))</f>
        <v/>
      </c>
      <c r="G530" s="45"/>
      <c r="H530" s="45"/>
      <c r="I530" s="31" t="str">
        <f aca="false">IF(AND(G530="",H530=""),"",N(G530)-N(H530))</f>
        <v/>
      </c>
      <c r="J530" s="46"/>
      <c r="K530" s="46"/>
      <c r="L530" s="34" t="str">
        <f aca="false">IF(AND(J530="",K530=""),"",N(J530)-N(K530))</f>
        <v/>
      </c>
      <c r="M530" s="35" t="str">
        <f aca="false">IF(B530="","",IF(COUNTIFS(③回款收汇!$A$4:$A$203,B530,③回款收汇!$R$4:$R$203,"&gt;0")&gt;0,"已收汇","待收汇"))</f>
        <v/>
      </c>
      <c r="N530" s="41"/>
      <c r="O530" s="41"/>
      <c r="P530" s="35" t="str">
        <f aca="true">IF(N530="","",IF(O530="",IF(TODAY()-N530&gt;15,"已超15天未留存","待留存"),IF(O530-N530&lt;=15,"及时","超期")))</f>
        <v/>
      </c>
      <c r="Q530" s="43"/>
    </row>
    <row r="531" customFormat="false" ht="21.75" hidden="false" customHeight="true" outlineLevel="0" collapsed="false">
      <c r="A531" s="49"/>
      <c r="B531" s="48"/>
      <c r="C531" s="43"/>
      <c r="D531" s="44"/>
      <c r="E531" s="44"/>
      <c r="F531" s="36" t="str">
        <f aca="false">IF(OR(D531="",E531=""),"",IF(IFERROR(INDEX(①出口报关!$I$4:$I$303,MATCH(E531,①出口报关!$A$4:$A$303,0)),"")=D531,"一致","SKU与报关单不符"))</f>
        <v/>
      </c>
      <c r="G531" s="45"/>
      <c r="H531" s="45"/>
      <c r="I531" s="31" t="str">
        <f aca="false">IF(AND(G531="",H531=""),"",N(G531)-N(H531))</f>
        <v/>
      </c>
      <c r="J531" s="46"/>
      <c r="K531" s="46"/>
      <c r="L531" s="34" t="str">
        <f aca="false">IF(AND(J531="",K531=""),"",N(J531)-N(K531))</f>
        <v/>
      </c>
      <c r="M531" s="35" t="str">
        <f aca="false">IF(B531="","",IF(COUNTIFS(③回款收汇!$A$4:$A$203,B531,③回款收汇!$R$4:$R$203,"&gt;0")&gt;0,"已收汇","待收汇"))</f>
        <v/>
      </c>
      <c r="N531" s="41"/>
      <c r="O531" s="41"/>
      <c r="P531" s="35" t="str">
        <f aca="true">IF(N531="","",IF(O531="",IF(TODAY()-N531&gt;15,"已超15天未留存","待留存"),IF(O531-N531&lt;=15,"及时","超期")))</f>
        <v/>
      </c>
      <c r="Q531" s="43"/>
    </row>
    <row r="532" customFormat="false" ht="21.75" hidden="false" customHeight="true" outlineLevel="0" collapsed="false">
      <c r="A532" s="49"/>
      <c r="B532" s="48"/>
      <c r="C532" s="43"/>
      <c r="D532" s="44"/>
      <c r="E532" s="44"/>
      <c r="F532" s="36" t="str">
        <f aca="false">IF(OR(D532="",E532=""),"",IF(IFERROR(INDEX(①出口报关!$I$4:$I$303,MATCH(E532,①出口报关!$A$4:$A$303,0)),"")=D532,"一致","SKU与报关单不符"))</f>
        <v/>
      </c>
      <c r="G532" s="45"/>
      <c r="H532" s="45"/>
      <c r="I532" s="31" t="str">
        <f aca="false">IF(AND(G532="",H532=""),"",N(G532)-N(H532))</f>
        <v/>
      </c>
      <c r="J532" s="46"/>
      <c r="K532" s="46"/>
      <c r="L532" s="34" t="str">
        <f aca="false">IF(AND(J532="",K532=""),"",N(J532)-N(K532))</f>
        <v/>
      </c>
      <c r="M532" s="35" t="str">
        <f aca="false">IF(B532="","",IF(COUNTIFS(③回款收汇!$A$4:$A$203,B532,③回款收汇!$R$4:$R$203,"&gt;0")&gt;0,"已收汇","待收汇"))</f>
        <v/>
      </c>
      <c r="N532" s="41"/>
      <c r="O532" s="41"/>
      <c r="P532" s="35" t="str">
        <f aca="true">IF(N532="","",IF(O532="",IF(TODAY()-N532&gt;15,"已超15天未留存","待留存"),IF(O532-N532&lt;=15,"及时","超期")))</f>
        <v/>
      </c>
      <c r="Q532" s="43"/>
    </row>
    <row r="533" customFormat="false" ht="21.75" hidden="false" customHeight="true" outlineLevel="0" collapsed="false">
      <c r="A533" s="49"/>
      <c r="B533" s="48"/>
      <c r="C533" s="43"/>
      <c r="D533" s="44"/>
      <c r="E533" s="44"/>
      <c r="F533" s="36" t="str">
        <f aca="false">IF(OR(D533="",E533=""),"",IF(IFERROR(INDEX(①出口报关!$I$4:$I$303,MATCH(E533,①出口报关!$A$4:$A$303,0)),"")=D533,"一致","SKU与报关单不符"))</f>
        <v/>
      </c>
      <c r="G533" s="45"/>
      <c r="H533" s="45"/>
      <c r="I533" s="31" t="str">
        <f aca="false">IF(AND(G533="",H533=""),"",N(G533)-N(H533))</f>
        <v/>
      </c>
      <c r="J533" s="46"/>
      <c r="K533" s="46"/>
      <c r="L533" s="34" t="str">
        <f aca="false">IF(AND(J533="",K533=""),"",N(J533)-N(K533))</f>
        <v/>
      </c>
      <c r="M533" s="35" t="str">
        <f aca="false">IF(B533="","",IF(COUNTIFS(③回款收汇!$A$4:$A$203,B533,③回款收汇!$R$4:$R$203,"&gt;0")&gt;0,"已收汇","待收汇"))</f>
        <v/>
      </c>
      <c r="N533" s="41"/>
      <c r="O533" s="41"/>
      <c r="P533" s="35" t="str">
        <f aca="true">IF(N533="","",IF(O533="",IF(TODAY()-N533&gt;15,"已超15天未留存","待留存"),IF(O533-N533&lt;=15,"及时","超期")))</f>
        <v/>
      </c>
      <c r="Q533" s="43"/>
    </row>
    <row r="534" customFormat="false" ht="21.75" hidden="false" customHeight="true" outlineLevel="0" collapsed="false">
      <c r="A534" s="49"/>
      <c r="B534" s="48"/>
      <c r="C534" s="43"/>
      <c r="D534" s="44"/>
      <c r="E534" s="44"/>
      <c r="F534" s="36" t="str">
        <f aca="false">IF(OR(D534="",E534=""),"",IF(IFERROR(INDEX(①出口报关!$I$4:$I$303,MATCH(E534,①出口报关!$A$4:$A$303,0)),"")=D534,"一致","SKU与报关单不符"))</f>
        <v/>
      </c>
      <c r="G534" s="45"/>
      <c r="H534" s="45"/>
      <c r="I534" s="31" t="str">
        <f aca="false">IF(AND(G534="",H534=""),"",N(G534)-N(H534))</f>
        <v/>
      </c>
      <c r="J534" s="46"/>
      <c r="K534" s="46"/>
      <c r="L534" s="34" t="str">
        <f aca="false">IF(AND(J534="",K534=""),"",N(J534)-N(K534))</f>
        <v/>
      </c>
      <c r="M534" s="35" t="str">
        <f aca="false">IF(B534="","",IF(COUNTIFS(③回款收汇!$A$4:$A$203,B534,③回款收汇!$R$4:$R$203,"&gt;0")&gt;0,"已收汇","待收汇"))</f>
        <v/>
      </c>
      <c r="N534" s="41"/>
      <c r="O534" s="41"/>
      <c r="P534" s="35" t="str">
        <f aca="true">IF(N534="","",IF(O534="",IF(TODAY()-N534&gt;15,"已超15天未留存","待留存"),IF(O534-N534&lt;=15,"及时","超期")))</f>
        <v/>
      </c>
      <c r="Q534" s="43"/>
    </row>
    <row r="535" customFormat="false" ht="21.75" hidden="false" customHeight="true" outlineLevel="0" collapsed="false">
      <c r="A535" s="49"/>
      <c r="B535" s="48"/>
      <c r="C535" s="43"/>
      <c r="D535" s="44"/>
      <c r="E535" s="44"/>
      <c r="F535" s="36" t="str">
        <f aca="false">IF(OR(D535="",E535=""),"",IF(IFERROR(INDEX(①出口报关!$I$4:$I$303,MATCH(E535,①出口报关!$A$4:$A$303,0)),"")=D535,"一致","SKU与报关单不符"))</f>
        <v/>
      </c>
      <c r="G535" s="45"/>
      <c r="H535" s="45"/>
      <c r="I535" s="31" t="str">
        <f aca="false">IF(AND(G535="",H535=""),"",N(G535)-N(H535))</f>
        <v/>
      </c>
      <c r="J535" s="46"/>
      <c r="K535" s="46"/>
      <c r="L535" s="34" t="str">
        <f aca="false">IF(AND(J535="",K535=""),"",N(J535)-N(K535))</f>
        <v/>
      </c>
      <c r="M535" s="35" t="str">
        <f aca="false">IF(B535="","",IF(COUNTIFS(③回款收汇!$A$4:$A$203,B535,③回款收汇!$R$4:$R$203,"&gt;0")&gt;0,"已收汇","待收汇"))</f>
        <v/>
      </c>
      <c r="N535" s="41"/>
      <c r="O535" s="41"/>
      <c r="P535" s="35" t="str">
        <f aca="true">IF(N535="","",IF(O535="",IF(TODAY()-N535&gt;15,"已超15天未留存","待留存"),IF(O535-N535&lt;=15,"及时","超期")))</f>
        <v/>
      </c>
      <c r="Q535" s="43"/>
    </row>
    <row r="536" customFormat="false" ht="21.75" hidden="false" customHeight="true" outlineLevel="0" collapsed="false">
      <c r="A536" s="49"/>
      <c r="B536" s="48"/>
      <c r="C536" s="43"/>
      <c r="D536" s="44"/>
      <c r="E536" s="44"/>
      <c r="F536" s="36" t="str">
        <f aca="false">IF(OR(D536="",E536=""),"",IF(IFERROR(INDEX(①出口报关!$I$4:$I$303,MATCH(E536,①出口报关!$A$4:$A$303,0)),"")=D536,"一致","SKU与报关单不符"))</f>
        <v/>
      </c>
      <c r="G536" s="45"/>
      <c r="H536" s="45"/>
      <c r="I536" s="31" t="str">
        <f aca="false">IF(AND(G536="",H536=""),"",N(G536)-N(H536))</f>
        <v/>
      </c>
      <c r="J536" s="46"/>
      <c r="K536" s="46"/>
      <c r="L536" s="34" t="str">
        <f aca="false">IF(AND(J536="",K536=""),"",N(J536)-N(K536))</f>
        <v/>
      </c>
      <c r="M536" s="35" t="str">
        <f aca="false">IF(B536="","",IF(COUNTIFS(③回款收汇!$A$4:$A$203,B536,③回款收汇!$R$4:$R$203,"&gt;0")&gt;0,"已收汇","待收汇"))</f>
        <v/>
      </c>
      <c r="N536" s="41"/>
      <c r="O536" s="41"/>
      <c r="P536" s="35" t="str">
        <f aca="true">IF(N536="","",IF(O536="",IF(TODAY()-N536&gt;15,"已超15天未留存","待留存"),IF(O536-N536&lt;=15,"及时","超期")))</f>
        <v/>
      </c>
      <c r="Q536" s="43"/>
    </row>
    <row r="537" customFormat="false" ht="21.75" hidden="false" customHeight="true" outlineLevel="0" collapsed="false">
      <c r="A537" s="49"/>
      <c r="B537" s="48"/>
      <c r="C537" s="43"/>
      <c r="D537" s="44"/>
      <c r="E537" s="44"/>
      <c r="F537" s="36" t="str">
        <f aca="false">IF(OR(D537="",E537=""),"",IF(IFERROR(INDEX(①出口报关!$I$4:$I$303,MATCH(E537,①出口报关!$A$4:$A$303,0)),"")=D537,"一致","SKU与报关单不符"))</f>
        <v/>
      </c>
      <c r="G537" s="45"/>
      <c r="H537" s="45"/>
      <c r="I537" s="31" t="str">
        <f aca="false">IF(AND(G537="",H537=""),"",N(G537)-N(H537))</f>
        <v/>
      </c>
      <c r="J537" s="46"/>
      <c r="K537" s="46"/>
      <c r="L537" s="34" t="str">
        <f aca="false">IF(AND(J537="",K537=""),"",N(J537)-N(K537))</f>
        <v/>
      </c>
      <c r="M537" s="35" t="str">
        <f aca="false">IF(B537="","",IF(COUNTIFS(③回款收汇!$A$4:$A$203,B537,③回款收汇!$R$4:$R$203,"&gt;0")&gt;0,"已收汇","待收汇"))</f>
        <v/>
      </c>
      <c r="N537" s="41"/>
      <c r="O537" s="41"/>
      <c r="P537" s="35" t="str">
        <f aca="true">IF(N537="","",IF(O537="",IF(TODAY()-N537&gt;15,"已超15天未留存","待留存"),IF(O537-N537&lt;=15,"及时","超期")))</f>
        <v/>
      </c>
      <c r="Q537" s="43"/>
    </row>
    <row r="538" customFormat="false" ht="21.75" hidden="false" customHeight="true" outlineLevel="0" collapsed="false">
      <c r="A538" s="49"/>
      <c r="B538" s="48"/>
      <c r="C538" s="43"/>
      <c r="D538" s="44"/>
      <c r="E538" s="44"/>
      <c r="F538" s="36" t="str">
        <f aca="false">IF(OR(D538="",E538=""),"",IF(IFERROR(INDEX(①出口报关!$I$4:$I$303,MATCH(E538,①出口报关!$A$4:$A$303,0)),"")=D538,"一致","SKU与报关单不符"))</f>
        <v/>
      </c>
      <c r="G538" s="45"/>
      <c r="H538" s="45"/>
      <c r="I538" s="31" t="str">
        <f aca="false">IF(AND(G538="",H538=""),"",N(G538)-N(H538))</f>
        <v/>
      </c>
      <c r="J538" s="46"/>
      <c r="K538" s="46"/>
      <c r="L538" s="34" t="str">
        <f aca="false">IF(AND(J538="",K538=""),"",N(J538)-N(K538))</f>
        <v/>
      </c>
      <c r="M538" s="35" t="str">
        <f aca="false">IF(B538="","",IF(COUNTIFS(③回款收汇!$A$4:$A$203,B538,③回款收汇!$R$4:$R$203,"&gt;0")&gt;0,"已收汇","待收汇"))</f>
        <v/>
      </c>
      <c r="N538" s="41"/>
      <c r="O538" s="41"/>
      <c r="P538" s="35" t="str">
        <f aca="true">IF(N538="","",IF(O538="",IF(TODAY()-N538&gt;15,"已超15天未留存","待留存"),IF(O538-N538&lt;=15,"及时","超期")))</f>
        <v/>
      </c>
      <c r="Q538" s="43"/>
    </row>
    <row r="539" customFormat="false" ht="21.75" hidden="false" customHeight="true" outlineLevel="0" collapsed="false">
      <c r="A539" s="49"/>
      <c r="B539" s="48"/>
      <c r="C539" s="43"/>
      <c r="D539" s="44"/>
      <c r="E539" s="44"/>
      <c r="F539" s="36" t="str">
        <f aca="false">IF(OR(D539="",E539=""),"",IF(IFERROR(INDEX(①出口报关!$I$4:$I$303,MATCH(E539,①出口报关!$A$4:$A$303,0)),"")=D539,"一致","SKU与报关单不符"))</f>
        <v/>
      </c>
      <c r="G539" s="45"/>
      <c r="H539" s="45"/>
      <c r="I539" s="31" t="str">
        <f aca="false">IF(AND(G539="",H539=""),"",N(G539)-N(H539))</f>
        <v/>
      </c>
      <c r="J539" s="46"/>
      <c r="K539" s="46"/>
      <c r="L539" s="34" t="str">
        <f aca="false">IF(AND(J539="",K539=""),"",N(J539)-N(K539))</f>
        <v/>
      </c>
      <c r="M539" s="35" t="str">
        <f aca="false">IF(B539="","",IF(COUNTIFS(③回款收汇!$A$4:$A$203,B539,③回款收汇!$R$4:$R$203,"&gt;0")&gt;0,"已收汇","待收汇"))</f>
        <v/>
      </c>
      <c r="N539" s="41"/>
      <c r="O539" s="41"/>
      <c r="P539" s="35" t="str">
        <f aca="true">IF(N539="","",IF(O539="",IF(TODAY()-N539&gt;15,"已超15天未留存","待留存"),IF(O539-N539&lt;=15,"及时","超期")))</f>
        <v/>
      </c>
      <c r="Q539" s="43"/>
    </row>
    <row r="540" customFormat="false" ht="21.75" hidden="false" customHeight="true" outlineLevel="0" collapsed="false">
      <c r="A540" s="49"/>
      <c r="B540" s="48"/>
      <c r="C540" s="43"/>
      <c r="D540" s="44"/>
      <c r="E540" s="44"/>
      <c r="F540" s="36" t="str">
        <f aca="false">IF(OR(D540="",E540=""),"",IF(IFERROR(INDEX(①出口报关!$I$4:$I$303,MATCH(E540,①出口报关!$A$4:$A$303,0)),"")=D540,"一致","SKU与报关单不符"))</f>
        <v/>
      </c>
      <c r="G540" s="45"/>
      <c r="H540" s="45"/>
      <c r="I540" s="31" t="str">
        <f aca="false">IF(AND(G540="",H540=""),"",N(G540)-N(H540))</f>
        <v/>
      </c>
      <c r="J540" s="46"/>
      <c r="K540" s="46"/>
      <c r="L540" s="34" t="str">
        <f aca="false">IF(AND(J540="",K540=""),"",N(J540)-N(K540))</f>
        <v/>
      </c>
      <c r="M540" s="35" t="str">
        <f aca="false">IF(B540="","",IF(COUNTIFS(③回款收汇!$A$4:$A$203,B540,③回款收汇!$R$4:$R$203,"&gt;0")&gt;0,"已收汇","待收汇"))</f>
        <v/>
      </c>
      <c r="N540" s="41"/>
      <c r="O540" s="41"/>
      <c r="P540" s="35" t="str">
        <f aca="true">IF(N540="","",IF(O540="",IF(TODAY()-N540&gt;15,"已超15天未留存","待留存"),IF(O540-N540&lt;=15,"及时","超期")))</f>
        <v/>
      </c>
      <c r="Q540" s="43"/>
    </row>
    <row r="541" customFormat="false" ht="21.75" hidden="false" customHeight="true" outlineLevel="0" collapsed="false">
      <c r="A541" s="49"/>
      <c r="B541" s="48"/>
      <c r="C541" s="43"/>
      <c r="D541" s="44"/>
      <c r="E541" s="44"/>
      <c r="F541" s="36" t="str">
        <f aca="false">IF(OR(D541="",E541=""),"",IF(IFERROR(INDEX(①出口报关!$I$4:$I$303,MATCH(E541,①出口报关!$A$4:$A$303,0)),"")=D541,"一致","SKU与报关单不符"))</f>
        <v/>
      </c>
      <c r="G541" s="45"/>
      <c r="H541" s="45"/>
      <c r="I541" s="31" t="str">
        <f aca="false">IF(AND(G541="",H541=""),"",N(G541)-N(H541))</f>
        <v/>
      </c>
      <c r="J541" s="46"/>
      <c r="K541" s="46"/>
      <c r="L541" s="34" t="str">
        <f aca="false">IF(AND(J541="",K541=""),"",N(J541)-N(K541))</f>
        <v/>
      </c>
      <c r="M541" s="35" t="str">
        <f aca="false">IF(B541="","",IF(COUNTIFS(③回款收汇!$A$4:$A$203,B541,③回款收汇!$R$4:$R$203,"&gt;0")&gt;0,"已收汇","待收汇"))</f>
        <v/>
      </c>
      <c r="N541" s="41"/>
      <c r="O541" s="41"/>
      <c r="P541" s="35" t="str">
        <f aca="true">IF(N541="","",IF(O541="",IF(TODAY()-N541&gt;15,"已超15天未留存","待留存"),IF(O541-N541&lt;=15,"及时","超期")))</f>
        <v/>
      </c>
      <c r="Q541" s="43"/>
    </row>
    <row r="542" customFormat="false" ht="21.75" hidden="false" customHeight="true" outlineLevel="0" collapsed="false">
      <c r="A542" s="49"/>
      <c r="B542" s="48"/>
      <c r="C542" s="43"/>
      <c r="D542" s="44"/>
      <c r="E542" s="44"/>
      <c r="F542" s="36" t="str">
        <f aca="false">IF(OR(D542="",E542=""),"",IF(IFERROR(INDEX(①出口报关!$I$4:$I$303,MATCH(E542,①出口报关!$A$4:$A$303,0)),"")=D542,"一致","SKU与报关单不符"))</f>
        <v/>
      </c>
      <c r="G542" s="45"/>
      <c r="H542" s="45"/>
      <c r="I542" s="31" t="str">
        <f aca="false">IF(AND(G542="",H542=""),"",N(G542)-N(H542))</f>
        <v/>
      </c>
      <c r="J542" s="46"/>
      <c r="K542" s="46"/>
      <c r="L542" s="34" t="str">
        <f aca="false">IF(AND(J542="",K542=""),"",N(J542)-N(K542))</f>
        <v/>
      </c>
      <c r="M542" s="35" t="str">
        <f aca="false">IF(B542="","",IF(COUNTIFS(③回款收汇!$A$4:$A$203,B542,③回款收汇!$R$4:$R$203,"&gt;0")&gt;0,"已收汇","待收汇"))</f>
        <v/>
      </c>
      <c r="N542" s="41"/>
      <c r="O542" s="41"/>
      <c r="P542" s="35" t="str">
        <f aca="true">IF(N542="","",IF(O542="",IF(TODAY()-N542&gt;15,"已超15天未留存","待留存"),IF(O542-N542&lt;=15,"及时","超期")))</f>
        <v/>
      </c>
      <c r="Q542" s="43"/>
    </row>
    <row r="543" customFormat="false" ht="21.75" hidden="false" customHeight="true" outlineLevel="0" collapsed="false">
      <c r="A543" s="49"/>
      <c r="B543" s="48"/>
      <c r="C543" s="43"/>
      <c r="D543" s="44"/>
      <c r="E543" s="44"/>
      <c r="F543" s="36" t="str">
        <f aca="false">IF(OR(D543="",E543=""),"",IF(IFERROR(INDEX(①出口报关!$I$4:$I$303,MATCH(E543,①出口报关!$A$4:$A$303,0)),"")=D543,"一致","SKU与报关单不符"))</f>
        <v/>
      </c>
      <c r="G543" s="45"/>
      <c r="H543" s="45"/>
      <c r="I543" s="31" t="str">
        <f aca="false">IF(AND(G543="",H543=""),"",N(G543)-N(H543))</f>
        <v/>
      </c>
      <c r="J543" s="46"/>
      <c r="K543" s="46"/>
      <c r="L543" s="34" t="str">
        <f aca="false">IF(AND(J543="",K543=""),"",N(J543)-N(K543))</f>
        <v/>
      </c>
      <c r="M543" s="35" t="str">
        <f aca="false">IF(B543="","",IF(COUNTIFS(③回款收汇!$A$4:$A$203,B543,③回款收汇!$R$4:$R$203,"&gt;0")&gt;0,"已收汇","待收汇"))</f>
        <v/>
      </c>
      <c r="N543" s="41"/>
      <c r="O543" s="41"/>
      <c r="P543" s="35" t="str">
        <f aca="true">IF(N543="","",IF(O543="",IF(TODAY()-N543&gt;15,"已超15天未留存","待留存"),IF(O543-N543&lt;=15,"及时","超期")))</f>
        <v/>
      </c>
      <c r="Q543" s="43"/>
    </row>
    <row r="544" customFormat="false" ht="21.75" hidden="false" customHeight="true" outlineLevel="0" collapsed="false">
      <c r="A544" s="49"/>
      <c r="B544" s="48"/>
      <c r="C544" s="43"/>
      <c r="D544" s="44"/>
      <c r="E544" s="44"/>
      <c r="F544" s="36" t="str">
        <f aca="false">IF(OR(D544="",E544=""),"",IF(IFERROR(INDEX(①出口报关!$I$4:$I$303,MATCH(E544,①出口报关!$A$4:$A$303,0)),"")=D544,"一致","SKU与报关单不符"))</f>
        <v/>
      </c>
      <c r="G544" s="45"/>
      <c r="H544" s="45"/>
      <c r="I544" s="31" t="str">
        <f aca="false">IF(AND(G544="",H544=""),"",N(G544)-N(H544))</f>
        <v/>
      </c>
      <c r="J544" s="46"/>
      <c r="K544" s="46"/>
      <c r="L544" s="34" t="str">
        <f aca="false">IF(AND(J544="",K544=""),"",N(J544)-N(K544))</f>
        <v/>
      </c>
      <c r="M544" s="35" t="str">
        <f aca="false">IF(B544="","",IF(COUNTIFS(③回款收汇!$A$4:$A$203,B544,③回款收汇!$R$4:$R$203,"&gt;0")&gt;0,"已收汇","待收汇"))</f>
        <v/>
      </c>
      <c r="N544" s="41"/>
      <c r="O544" s="41"/>
      <c r="P544" s="35" t="str">
        <f aca="true">IF(N544="","",IF(O544="",IF(TODAY()-N544&gt;15,"已超15天未留存","待留存"),IF(O544-N544&lt;=15,"及时","超期")))</f>
        <v/>
      </c>
      <c r="Q544" s="43"/>
    </row>
    <row r="545" customFormat="false" ht="21.75" hidden="false" customHeight="true" outlineLevel="0" collapsed="false">
      <c r="A545" s="49"/>
      <c r="B545" s="48"/>
      <c r="C545" s="43"/>
      <c r="D545" s="44"/>
      <c r="E545" s="44"/>
      <c r="F545" s="36" t="str">
        <f aca="false">IF(OR(D545="",E545=""),"",IF(IFERROR(INDEX(①出口报关!$I$4:$I$303,MATCH(E545,①出口报关!$A$4:$A$303,0)),"")=D545,"一致","SKU与报关单不符"))</f>
        <v/>
      </c>
      <c r="G545" s="45"/>
      <c r="H545" s="45"/>
      <c r="I545" s="31" t="str">
        <f aca="false">IF(AND(G545="",H545=""),"",N(G545)-N(H545))</f>
        <v/>
      </c>
      <c r="J545" s="46"/>
      <c r="K545" s="46"/>
      <c r="L545" s="34" t="str">
        <f aca="false">IF(AND(J545="",K545=""),"",N(J545)-N(K545))</f>
        <v/>
      </c>
      <c r="M545" s="35" t="str">
        <f aca="false">IF(B545="","",IF(COUNTIFS(③回款收汇!$A$4:$A$203,B545,③回款收汇!$R$4:$R$203,"&gt;0")&gt;0,"已收汇","待收汇"))</f>
        <v/>
      </c>
      <c r="N545" s="41"/>
      <c r="O545" s="41"/>
      <c r="P545" s="35" t="str">
        <f aca="true">IF(N545="","",IF(O545="",IF(TODAY()-N545&gt;15,"已超15天未留存","待留存"),IF(O545-N545&lt;=15,"及时","超期")))</f>
        <v/>
      </c>
      <c r="Q545" s="43"/>
    </row>
    <row r="546" customFormat="false" ht="21.75" hidden="false" customHeight="true" outlineLevel="0" collapsed="false">
      <c r="A546" s="49"/>
      <c r="B546" s="48"/>
      <c r="C546" s="43"/>
      <c r="D546" s="44"/>
      <c r="E546" s="44"/>
      <c r="F546" s="36" t="str">
        <f aca="false">IF(OR(D546="",E546=""),"",IF(IFERROR(INDEX(①出口报关!$I$4:$I$303,MATCH(E546,①出口报关!$A$4:$A$303,0)),"")=D546,"一致","SKU与报关单不符"))</f>
        <v/>
      </c>
      <c r="G546" s="45"/>
      <c r="H546" s="45"/>
      <c r="I546" s="31" t="str">
        <f aca="false">IF(AND(G546="",H546=""),"",N(G546)-N(H546))</f>
        <v/>
      </c>
      <c r="J546" s="46"/>
      <c r="K546" s="46"/>
      <c r="L546" s="34" t="str">
        <f aca="false">IF(AND(J546="",K546=""),"",N(J546)-N(K546))</f>
        <v/>
      </c>
      <c r="M546" s="35" t="str">
        <f aca="false">IF(B546="","",IF(COUNTIFS(③回款收汇!$A$4:$A$203,B546,③回款收汇!$R$4:$R$203,"&gt;0")&gt;0,"已收汇","待收汇"))</f>
        <v/>
      </c>
      <c r="N546" s="41"/>
      <c r="O546" s="41"/>
      <c r="P546" s="35" t="str">
        <f aca="true">IF(N546="","",IF(O546="",IF(TODAY()-N546&gt;15,"已超15天未留存","待留存"),IF(O546-N546&lt;=15,"及时","超期")))</f>
        <v/>
      </c>
      <c r="Q546" s="43"/>
    </row>
    <row r="547" customFormat="false" ht="21.75" hidden="false" customHeight="true" outlineLevel="0" collapsed="false">
      <c r="A547" s="49"/>
      <c r="B547" s="48"/>
      <c r="C547" s="43"/>
      <c r="D547" s="44"/>
      <c r="E547" s="44"/>
      <c r="F547" s="36" t="str">
        <f aca="false">IF(OR(D547="",E547=""),"",IF(IFERROR(INDEX(①出口报关!$I$4:$I$303,MATCH(E547,①出口报关!$A$4:$A$303,0)),"")=D547,"一致","SKU与报关单不符"))</f>
        <v/>
      </c>
      <c r="G547" s="45"/>
      <c r="H547" s="45"/>
      <c r="I547" s="31" t="str">
        <f aca="false">IF(AND(G547="",H547=""),"",N(G547)-N(H547))</f>
        <v/>
      </c>
      <c r="J547" s="46"/>
      <c r="K547" s="46"/>
      <c r="L547" s="34" t="str">
        <f aca="false">IF(AND(J547="",K547=""),"",N(J547)-N(K547))</f>
        <v/>
      </c>
      <c r="M547" s="35" t="str">
        <f aca="false">IF(B547="","",IF(COUNTIFS(③回款收汇!$A$4:$A$203,B547,③回款收汇!$R$4:$R$203,"&gt;0")&gt;0,"已收汇","待收汇"))</f>
        <v/>
      </c>
      <c r="N547" s="41"/>
      <c r="O547" s="41"/>
      <c r="P547" s="35" t="str">
        <f aca="true">IF(N547="","",IF(O547="",IF(TODAY()-N547&gt;15,"已超15天未留存","待留存"),IF(O547-N547&lt;=15,"及时","超期")))</f>
        <v/>
      </c>
      <c r="Q547" s="43"/>
    </row>
    <row r="548" customFormat="false" ht="21.75" hidden="false" customHeight="true" outlineLevel="0" collapsed="false">
      <c r="A548" s="49"/>
      <c r="B548" s="48"/>
      <c r="C548" s="43"/>
      <c r="D548" s="44"/>
      <c r="E548" s="44"/>
      <c r="F548" s="36" t="str">
        <f aca="false">IF(OR(D548="",E548=""),"",IF(IFERROR(INDEX(①出口报关!$I$4:$I$303,MATCH(E548,①出口报关!$A$4:$A$303,0)),"")=D548,"一致","SKU与报关单不符"))</f>
        <v/>
      </c>
      <c r="G548" s="45"/>
      <c r="H548" s="45"/>
      <c r="I548" s="31" t="str">
        <f aca="false">IF(AND(G548="",H548=""),"",N(G548)-N(H548))</f>
        <v/>
      </c>
      <c r="J548" s="46"/>
      <c r="K548" s="46"/>
      <c r="L548" s="34" t="str">
        <f aca="false">IF(AND(J548="",K548=""),"",N(J548)-N(K548))</f>
        <v/>
      </c>
      <c r="M548" s="35" t="str">
        <f aca="false">IF(B548="","",IF(COUNTIFS(③回款收汇!$A$4:$A$203,B548,③回款收汇!$R$4:$R$203,"&gt;0")&gt;0,"已收汇","待收汇"))</f>
        <v/>
      </c>
      <c r="N548" s="41"/>
      <c r="O548" s="41"/>
      <c r="P548" s="35" t="str">
        <f aca="true">IF(N548="","",IF(O548="",IF(TODAY()-N548&gt;15,"已超15天未留存","待留存"),IF(O548-N548&lt;=15,"及时","超期")))</f>
        <v/>
      </c>
      <c r="Q548" s="43"/>
    </row>
    <row r="549" customFormat="false" ht="21.75" hidden="false" customHeight="true" outlineLevel="0" collapsed="false">
      <c r="A549" s="49"/>
      <c r="B549" s="48"/>
      <c r="C549" s="43"/>
      <c r="D549" s="44"/>
      <c r="E549" s="44"/>
      <c r="F549" s="36" t="str">
        <f aca="false">IF(OR(D549="",E549=""),"",IF(IFERROR(INDEX(①出口报关!$I$4:$I$303,MATCH(E549,①出口报关!$A$4:$A$303,0)),"")=D549,"一致","SKU与报关单不符"))</f>
        <v/>
      </c>
      <c r="G549" s="45"/>
      <c r="H549" s="45"/>
      <c r="I549" s="31" t="str">
        <f aca="false">IF(AND(G549="",H549=""),"",N(G549)-N(H549))</f>
        <v/>
      </c>
      <c r="J549" s="46"/>
      <c r="K549" s="46"/>
      <c r="L549" s="34" t="str">
        <f aca="false">IF(AND(J549="",K549=""),"",N(J549)-N(K549))</f>
        <v/>
      </c>
      <c r="M549" s="35" t="str">
        <f aca="false">IF(B549="","",IF(COUNTIFS(③回款收汇!$A$4:$A$203,B549,③回款收汇!$R$4:$R$203,"&gt;0")&gt;0,"已收汇","待收汇"))</f>
        <v/>
      </c>
      <c r="N549" s="41"/>
      <c r="O549" s="41"/>
      <c r="P549" s="35" t="str">
        <f aca="true">IF(N549="","",IF(O549="",IF(TODAY()-N549&gt;15,"已超15天未留存","待留存"),IF(O549-N549&lt;=15,"及时","超期")))</f>
        <v/>
      </c>
      <c r="Q549" s="43"/>
    </row>
    <row r="550" customFormat="false" ht="21.75" hidden="false" customHeight="true" outlineLevel="0" collapsed="false">
      <c r="A550" s="49"/>
      <c r="B550" s="48"/>
      <c r="C550" s="43"/>
      <c r="D550" s="44"/>
      <c r="E550" s="44"/>
      <c r="F550" s="36" t="str">
        <f aca="false">IF(OR(D550="",E550=""),"",IF(IFERROR(INDEX(①出口报关!$I$4:$I$303,MATCH(E550,①出口报关!$A$4:$A$303,0)),"")=D550,"一致","SKU与报关单不符"))</f>
        <v/>
      </c>
      <c r="G550" s="45"/>
      <c r="H550" s="45"/>
      <c r="I550" s="31" t="str">
        <f aca="false">IF(AND(G550="",H550=""),"",N(G550)-N(H550))</f>
        <v/>
      </c>
      <c r="J550" s="46"/>
      <c r="K550" s="46"/>
      <c r="L550" s="34" t="str">
        <f aca="false">IF(AND(J550="",K550=""),"",N(J550)-N(K550))</f>
        <v/>
      </c>
      <c r="M550" s="35" t="str">
        <f aca="false">IF(B550="","",IF(COUNTIFS(③回款收汇!$A$4:$A$203,B550,③回款收汇!$R$4:$R$203,"&gt;0")&gt;0,"已收汇","待收汇"))</f>
        <v/>
      </c>
      <c r="N550" s="41"/>
      <c r="O550" s="41"/>
      <c r="P550" s="35" t="str">
        <f aca="true">IF(N550="","",IF(O550="",IF(TODAY()-N550&gt;15,"已超15天未留存","待留存"),IF(O550-N550&lt;=15,"及时","超期")))</f>
        <v/>
      </c>
      <c r="Q550" s="43"/>
    </row>
    <row r="551" customFormat="false" ht="21.75" hidden="false" customHeight="true" outlineLevel="0" collapsed="false">
      <c r="A551" s="49"/>
      <c r="B551" s="48"/>
      <c r="C551" s="43"/>
      <c r="D551" s="44"/>
      <c r="E551" s="44"/>
      <c r="F551" s="36" t="str">
        <f aca="false">IF(OR(D551="",E551=""),"",IF(IFERROR(INDEX(①出口报关!$I$4:$I$303,MATCH(E551,①出口报关!$A$4:$A$303,0)),"")=D551,"一致","SKU与报关单不符"))</f>
        <v/>
      </c>
      <c r="G551" s="45"/>
      <c r="H551" s="45"/>
      <c r="I551" s="31" t="str">
        <f aca="false">IF(AND(G551="",H551=""),"",N(G551)-N(H551))</f>
        <v/>
      </c>
      <c r="J551" s="46"/>
      <c r="K551" s="46"/>
      <c r="L551" s="34" t="str">
        <f aca="false">IF(AND(J551="",K551=""),"",N(J551)-N(K551))</f>
        <v/>
      </c>
      <c r="M551" s="35" t="str">
        <f aca="false">IF(B551="","",IF(COUNTIFS(③回款收汇!$A$4:$A$203,B551,③回款收汇!$R$4:$R$203,"&gt;0")&gt;0,"已收汇","待收汇"))</f>
        <v/>
      </c>
      <c r="N551" s="41"/>
      <c r="O551" s="41"/>
      <c r="P551" s="35" t="str">
        <f aca="true">IF(N551="","",IF(O551="",IF(TODAY()-N551&gt;15,"已超15天未留存","待留存"),IF(O551-N551&lt;=15,"及时","超期")))</f>
        <v/>
      </c>
      <c r="Q551" s="43"/>
    </row>
    <row r="552" customFormat="false" ht="21.75" hidden="false" customHeight="true" outlineLevel="0" collapsed="false">
      <c r="A552" s="49"/>
      <c r="B552" s="48"/>
      <c r="C552" s="43"/>
      <c r="D552" s="44"/>
      <c r="E552" s="44"/>
      <c r="F552" s="36" t="str">
        <f aca="false">IF(OR(D552="",E552=""),"",IF(IFERROR(INDEX(①出口报关!$I$4:$I$303,MATCH(E552,①出口报关!$A$4:$A$303,0)),"")=D552,"一致","SKU与报关单不符"))</f>
        <v/>
      </c>
      <c r="G552" s="45"/>
      <c r="H552" s="45"/>
      <c r="I552" s="31" t="str">
        <f aca="false">IF(AND(G552="",H552=""),"",N(G552)-N(H552))</f>
        <v/>
      </c>
      <c r="J552" s="46"/>
      <c r="K552" s="46"/>
      <c r="L552" s="34" t="str">
        <f aca="false">IF(AND(J552="",K552=""),"",N(J552)-N(K552))</f>
        <v/>
      </c>
      <c r="M552" s="35" t="str">
        <f aca="false">IF(B552="","",IF(COUNTIFS(③回款收汇!$A$4:$A$203,B552,③回款收汇!$R$4:$R$203,"&gt;0")&gt;0,"已收汇","待收汇"))</f>
        <v/>
      </c>
      <c r="N552" s="41"/>
      <c r="O552" s="41"/>
      <c r="P552" s="35" t="str">
        <f aca="true">IF(N552="","",IF(O552="",IF(TODAY()-N552&gt;15,"已超15天未留存","待留存"),IF(O552-N552&lt;=15,"及时","超期")))</f>
        <v/>
      </c>
      <c r="Q552" s="43"/>
    </row>
    <row r="553" customFormat="false" ht="21.75" hidden="false" customHeight="true" outlineLevel="0" collapsed="false">
      <c r="A553" s="49"/>
      <c r="B553" s="48"/>
      <c r="C553" s="43"/>
      <c r="D553" s="44"/>
      <c r="E553" s="44"/>
      <c r="F553" s="36" t="str">
        <f aca="false">IF(OR(D553="",E553=""),"",IF(IFERROR(INDEX(①出口报关!$I$4:$I$303,MATCH(E553,①出口报关!$A$4:$A$303,0)),"")=D553,"一致","SKU与报关单不符"))</f>
        <v/>
      </c>
      <c r="G553" s="45"/>
      <c r="H553" s="45"/>
      <c r="I553" s="31" t="str">
        <f aca="false">IF(AND(G553="",H553=""),"",N(G553)-N(H553))</f>
        <v/>
      </c>
      <c r="J553" s="46"/>
      <c r="K553" s="46"/>
      <c r="L553" s="34" t="str">
        <f aca="false">IF(AND(J553="",K553=""),"",N(J553)-N(K553))</f>
        <v/>
      </c>
      <c r="M553" s="35" t="str">
        <f aca="false">IF(B553="","",IF(COUNTIFS(③回款收汇!$A$4:$A$203,B553,③回款收汇!$R$4:$R$203,"&gt;0")&gt;0,"已收汇","待收汇"))</f>
        <v/>
      </c>
      <c r="N553" s="41"/>
      <c r="O553" s="41"/>
      <c r="P553" s="35" t="str">
        <f aca="true">IF(N553="","",IF(O553="",IF(TODAY()-N553&gt;15,"已超15天未留存","待留存"),IF(O553-N553&lt;=15,"及时","超期")))</f>
        <v/>
      </c>
      <c r="Q553" s="43"/>
    </row>
    <row r="554" customFormat="false" ht="21.75" hidden="false" customHeight="true" outlineLevel="0" collapsed="false">
      <c r="A554" s="49"/>
      <c r="B554" s="48"/>
      <c r="C554" s="43"/>
      <c r="D554" s="44"/>
      <c r="E554" s="44"/>
      <c r="F554" s="36" t="str">
        <f aca="false">IF(OR(D554="",E554=""),"",IF(IFERROR(INDEX(①出口报关!$I$4:$I$303,MATCH(E554,①出口报关!$A$4:$A$303,0)),"")=D554,"一致","SKU与报关单不符"))</f>
        <v/>
      </c>
      <c r="G554" s="45"/>
      <c r="H554" s="45"/>
      <c r="I554" s="31" t="str">
        <f aca="false">IF(AND(G554="",H554=""),"",N(G554)-N(H554))</f>
        <v/>
      </c>
      <c r="J554" s="46"/>
      <c r="K554" s="46"/>
      <c r="L554" s="34" t="str">
        <f aca="false">IF(AND(J554="",K554=""),"",N(J554)-N(K554))</f>
        <v/>
      </c>
      <c r="M554" s="35" t="str">
        <f aca="false">IF(B554="","",IF(COUNTIFS(③回款收汇!$A$4:$A$203,B554,③回款收汇!$R$4:$R$203,"&gt;0")&gt;0,"已收汇","待收汇"))</f>
        <v/>
      </c>
      <c r="N554" s="41"/>
      <c r="O554" s="41"/>
      <c r="P554" s="35" t="str">
        <f aca="true">IF(N554="","",IF(O554="",IF(TODAY()-N554&gt;15,"已超15天未留存","待留存"),IF(O554-N554&lt;=15,"及时","超期")))</f>
        <v/>
      </c>
      <c r="Q554" s="43"/>
    </row>
    <row r="555" customFormat="false" ht="21.75" hidden="false" customHeight="true" outlineLevel="0" collapsed="false">
      <c r="A555" s="49"/>
      <c r="B555" s="48"/>
      <c r="C555" s="43"/>
      <c r="D555" s="44"/>
      <c r="E555" s="44"/>
      <c r="F555" s="36" t="str">
        <f aca="false">IF(OR(D555="",E555=""),"",IF(IFERROR(INDEX(①出口报关!$I$4:$I$303,MATCH(E555,①出口报关!$A$4:$A$303,0)),"")=D555,"一致","SKU与报关单不符"))</f>
        <v/>
      </c>
      <c r="G555" s="45"/>
      <c r="H555" s="45"/>
      <c r="I555" s="31" t="str">
        <f aca="false">IF(AND(G555="",H555=""),"",N(G555)-N(H555))</f>
        <v/>
      </c>
      <c r="J555" s="46"/>
      <c r="K555" s="46"/>
      <c r="L555" s="34" t="str">
        <f aca="false">IF(AND(J555="",K555=""),"",N(J555)-N(K555))</f>
        <v/>
      </c>
      <c r="M555" s="35" t="str">
        <f aca="false">IF(B555="","",IF(COUNTIFS(③回款收汇!$A$4:$A$203,B555,③回款收汇!$R$4:$R$203,"&gt;0")&gt;0,"已收汇","待收汇"))</f>
        <v/>
      </c>
      <c r="N555" s="41"/>
      <c r="O555" s="41"/>
      <c r="P555" s="35" t="str">
        <f aca="true">IF(N555="","",IF(O555="",IF(TODAY()-N555&gt;15,"已超15天未留存","待留存"),IF(O555-N555&lt;=15,"及时","超期")))</f>
        <v/>
      </c>
      <c r="Q555" s="43"/>
    </row>
    <row r="556" customFormat="false" ht="21.75" hidden="false" customHeight="true" outlineLevel="0" collapsed="false">
      <c r="A556" s="49"/>
      <c r="B556" s="48"/>
      <c r="C556" s="43"/>
      <c r="D556" s="44"/>
      <c r="E556" s="44"/>
      <c r="F556" s="36" t="str">
        <f aca="false">IF(OR(D556="",E556=""),"",IF(IFERROR(INDEX(①出口报关!$I$4:$I$303,MATCH(E556,①出口报关!$A$4:$A$303,0)),"")=D556,"一致","SKU与报关单不符"))</f>
        <v/>
      </c>
      <c r="G556" s="45"/>
      <c r="H556" s="45"/>
      <c r="I556" s="31" t="str">
        <f aca="false">IF(AND(G556="",H556=""),"",N(G556)-N(H556))</f>
        <v/>
      </c>
      <c r="J556" s="46"/>
      <c r="K556" s="46"/>
      <c r="L556" s="34" t="str">
        <f aca="false">IF(AND(J556="",K556=""),"",N(J556)-N(K556))</f>
        <v/>
      </c>
      <c r="M556" s="35" t="str">
        <f aca="false">IF(B556="","",IF(COUNTIFS(③回款收汇!$A$4:$A$203,B556,③回款收汇!$R$4:$R$203,"&gt;0")&gt;0,"已收汇","待收汇"))</f>
        <v/>
      </c>
      <c r="N556" s="41"/>
      <c r="O556" s="41"/>
      <c r="P556" s="35" t="str">
        <f aca="true">IF(N556="","",IF(O556="",IF(TODAY()-N556&gt;15,"已超15天未留存","待留存"),IF(O556-N556&lt;=15,"及时","超期")))</f>
        <v/>
      </c>
      <c r="Q556" s="43"/>
    </row>
    <row r="557" customFormat="false" ht="21.75" hidden="false" customHeight="true" outlineLevel="0" collapsed="false">
      <c r="A557" s="49"/>
      <c r="B557" s="48"/>
      <c r="C557" s="43"/>
      <c r="D557" s="44"/>
      <c r="E557" s="44"/>
      <c r="F557" s="36" t="str">
        <f aca="false">IF(OR(D557="",E557=""),"",IF(IFERROR(INDEX(①出口报关!$I$4:$I$303,MATCH(E557,①出口报关!$A$4:$A$303,0)),"")=D557,"一致","SKU与报关单不符"))</f>
        <v/>
      </c>
      <c r="G557" s="45"/>
      <c r="H557" s="45"/>
      <c r="I557" s="31" t="str">
        <f aca="false">IF(AND(G557="",H557=""),"",N(G557)-N(H557))</f>
        <v/>
      </c>
      <c r="J557" s="46"/>
      <c r="K557" s="46"/>
      <c r="L557" s="34" t="str">
        <f aca="false">IF(AND(J557="",K557=""),"",N(J557)-N(K557))</f>
        <v/>
      </c>
      <c r="M557" s="35" t="str">
        <f aca="false">IF(B557="","",IF(COUNTIFS(③回款收汇!$A$4:$A$203,B557,③回款收汇!$R$4:$R$203,"&gt;0")&gt;0,"已收汇","待收汇"))</f>
        <v/>
      </c>
      <c r="N557" s="41"/>
      <c r="O557" s="41"/>
      <c r="P557" s="35" t="str">
        <f aca="true">IF(N557="","",IF(O557="",IF(TODAY()-N557&gt;15,"已超15天未留存","待留存"),IF(O557-N557&lt;=15,"及时","超期")))</f>
        <v/>
      </c>
      <c r="Q557" s="43"/>
    </row>
    <row r="558" customFormat="false" ht="21.75" hidden="false" customHeight="true" outlineLevel="0" collapsed="false">
      <c r="A558" s="49"/>
      <c r="B558" s="48"/>
      <c r="C558" s="43"/>
      <c r="D558" s="44"/>
      <c r="E558" s="44"/>
      <c r="F558" s="36" t="str">
        <f aca="false">IF(OR(D558="",E558=""),"",IF(IFERROR(INDEX(①出口报关!$I$4:$I$303,MATCH(E558,①出口报关!$A$4:$A$303,0)),"")=D558,"一致","SKU与报关单不符"))</f>
        <v/>
      </c>
      <c r="G558" s="45"/>
      <c r="H558" s="45"/>
      <c r="I558" s="31" t="str">
        <f aca="false">IF(AND(G558="",H558=""),"",N(G558)-N(H558))</f>
        <v/>
      </c>
      <c r="J558" s="46"/>
      <c r="K558" s="46"/>
      <c r="L558" s="34" t="str">
        <f aca="false">IF(AND(J558="",K558=""),"",N(J558)-N(K558))</f>
        <v/>
      </c>
      <c r="M558" s="35" t="str">
        <f aca="false">IF(B558="","",IF(COUNTIFS(③回款收汇!$A$4:$A$203,B558,③回款收汇!$R$4:$R$203,"&gt;0")&gt;0,"已收汇","待收汇"))</f>
        <v/>
      </c>
      <c r="N558" s="41"/>
      <c r="O558" s="41"/>
      <c r="P558" s="35" t="str">
        <f aca="true">IF(N558="","",IF(O558="",IF(TODAY()-N558&gt;15,"已超15天未留存","待留存"),IF(O558-N558&lt;=15,"及时","超期")))</f>
        <v/>
      </c>
      <c r="Q558" s="43"/>
    </row>
    <row r="559" customFormat="false" ht="21.75" hidden="false" customHeight="true" outlineLevel="0" collapsed="false">
      <c r="A559" s="49"/>
      <c r="B559" s="48"/>
      <c r="C559" s="43"/>
      <c r="D559" s="44"/>
      <c r="E559" s="44"/>
      <c r="F559" s="36" t="str">
        <f aca="false">IF(OR(D559="",E559=""),"",IF(IFERROR(INDEX(①出口报关!$I$4:$I$303,MATCH(E559,①出口报关!$A$4:$A$303,0)),"")=D559,"一致","SKU与报关单不符"))</f>
        <v/>
      </c>
      <c r="G559" s="45"/>
      <c r="H559" s="45"/>
      <c r="I559" s="31" t="str">
        <f aca="false">IF(AND(G559="",H559=""),"",N(G559)-N(H559))</f>
        <v/>
      </c>
      <c r="J559" s="46"/>
      <c r="K559" s="46"/>
      <c r="L559" s="34" t="str">
        <f aca="false">IF(AND(J559="",K559=""),"",N(J559)-N(K559))</f>
        <v/>
      </c>
      <c r="M559" s="35" t="str">
        <f aca="false">IF(B559="","",IF(COUNTIFS(③回款收汇!$A$4:$A$203,B559,③回款收汇!$R$4:$R$203,"&gt;0")&gt;0,"已收汇","待收汇"))</f>
        <v/>
      </c>
      <c r="N559" s="41"/>
      <c r="O559" s="41"/>
      <c r="P559" s="35" t="str">
        <f aca="true">IF(N559="","",IF(O559="",IF(TODAY()-N559&gt;15,"已超15天未留存","待留存"),IF(O559-N559&lt;=15,"及时","超期")))</f>
        <v/>
      </c>
      <c r="Q559" s="43"/>
    </row>
    <row r="560" customFormat="false" ht="21.75" hidden="false" customHeight="true" outlineLevel="0" collapsed="false">
      <c r="A560" s="49"/>
      <c r="B560" s="48"/>
      <c r="C560" s="43"/>
      <c r="D560" s="44"/>
      <c r="E560" s="44"/>
      <c r="F560" s="36" t="str">
        <f aca="false">IF(OR(D560="",E560=""),"",IF(IFERROR(INDEX(①出口报关!$I$4:$I$303,MATCH(E560,①出口报关!$A$4:$A$303,0)),"")=D560,"一致","SKU与报关单不符"))</f>
        <v/>
      </c>
      <c r="G560" s="45"/>
      <c r="H560" s="45"/>
      <c r="I560" s="31" t="str">
        <f aca="false">IF(AND(G560="",H560=""),"",N(G560)-N(H560))</f>
        <v/>
      </c>
      <c r="J560" s="46"/>
      <c r="K560" s="46"/>
      <c r="L560" s="34" t="str">
        <f aca="false">IF(AND(J560="",K560=""),"",N(J560)-N(K560))</f>
        <v/>
      </c>
      <c r="M560" s="35" t="str">
        <f aca="false">IF(B560="","",IF(COUNTIFS(③回款收汇!$A$4:$A$203,B560,③回款收汇!$R$4:$R$203,"&gt;0")&gt;0,"已收汇","待收汇"))</f>
        <v/>
      </c>
      <c r="N560" s="41"/>
      <c r="O560" s="41"/>
      <c r="P560" s="35" t="str">
        <f aca="true">IF(N560="","",IF(O560="",IF(TODAY()-N560&gt;15,"已超15天未留存","待留存"),IF(O560-N560&lt;=15,"及时","超期")))</f>
        <v/>
      </c>
      <c r="Q560" s="43"/>
    </row>
    <row r="561" customFormat="false" ht="21.75" hidden="false" customHeight="true" outlineLevel="0" collapsed="false">
      <c r="A561" s="49"/>
      <c r="B561" s="48"/>
      <c r="C561" s="43"/>
      <c r="D561" s="44"/>
      <c r="E561" s="44"/>
      <c r="F561" s="36" t="str">
        <f aca="false">IF(OR(D561="",E561=""),"",IF(IFERROR(INDEX(①出口报关!$I$4:$I$303,MATCH(E561,①出口报关!$A$4:$A$303,0)),"")=D561,"一致","SKU与报关单不符"))</f>
        <v/>
      </c>
      <c r="G561" s="45"/>
      <c r="H561" s="45"/>
      <c r="I561" s="31" t="str">
        <f aca="false">IF(AND(G561="",H561=""),"",N(G561)-N(H561))</f>
        <v/>
      </c>
      <c r="J561" s="46"/>
      <c r="K561" s="46"/>
      <c r="L561" s="34" t="str">
        <f aca="false">IF(AND(J561="",K561=""),"",N(J561)-N(K561))</f>
        <v/>
      </c>
      <c r="M561" s="35" t="str">
        <f aca="false">IF(B561="","",IF(COUNTIFS(③回款收汇!$A$4:$A$203,B561,③回款收汇!$R$4:$R$203,"&gt;0")&gt;0,"已收汇","待收汇"))</f>
        <v/>
      </c>
      <c r="N561" s="41"/>
      <c r="O561" s="41"/>
      <c r="P561" s="35" t="str">
        <f aca="true">IF(N561="","",IF(O561="",IF(TODAY()-N561&gt;15,"已超15天未留存","待留存"),IF(O561-N561&lt;=15,"及时","超期")))</f>
        <v/>
      </c>
      <c r="Q561" s="43"/>
    </row>
    <row r="562" customFormat="false" ht="21.75" hidden="false" customHeight="true" outlineLevel="0" collapsed="false">
      <c r="A562" s="49"/>
      <c r="B562" s="48"/>
      <c r="C562" s="43"/>
      <c r="D562" s="44"/>
      <c r="E562" s="44"/>
      <c r="F562" s="36" t="str">
        <f aca="false">IF(OR(D562="",E562=""),"",IF(IFERROR(INDEX(①出口报关!$I$4:$I$303,MATCH(E562,①出口报关!$A$4:$A$303,0)),"")=D562,"一致","SKU与报关单不符"))</f>
        <v/>
      </c>
      <c r="G562" s="45"/>
      <c r="H562" s="45"/>
      <c r="I562" s="31" t="str">
        <f aca="false">IF(AND(G562="",H562=""),"",N(G562)-N(H562))</f>
        <v/>
      </c>
      <c r="J562" s="46"/>
      <c r="K562" s="46"/>
      <c r="L562" s="34" t="str">
        <f aca="false">IF(AND(J562="",K562=""),"",N(J562)-N(K562))</f>
        <v/>
      </c>
      <c r="M562" s="35" t="str">
        <f aca="false">IF(B562="","",IF(COUNTIFS(③回款收汇!$A$4:$A$203,B562,③回款收汇!$R$4:$R$203,"&gt;0")&gt;0,"已收汇","待收汇"))</f>
        <v/>
      </c>
      <c r="N562" s="41"/>
      <c r="O562" s="41"/>
      <c r="P562" s="35" t="str">
        <f aca="true">IF(N562="","",IF(O562="",IF(TODAY()-N562&gt;15,"已超15天未留存","待留存"),IF(O562-N562&lt;=15,"及时","超期")))</f>
        <v/>
      </c>
      <c r="Q562" s="43"/>
    </row>
    <row r="563" customFormat="false" ht="21.75" hidden="false" customHeight="true" outlineLevel="0" collapsed="false">
      <c r="A563" s="49"/>
      <c r="B563" s="48"/>
      <c r="C563" s="43"/>
      <c r="D563" s="44"/>
      <c r="E563" s="44"/>
      <c r="F563" s="36" t="str">
        <f aca="false">IF(OR(D563="",E563=""),"",IF(IFERROR(INDEX(①出口报关!$I$4:$I$303,MATCH(E563,①出口报关!$A$4:$A$303,0)),"")=D563,"一致","SKU与报关单不符"))</f>
        <v/>
      </c>
      <c r="G563" s="45"/>
      <c r="H563" s="45"/>
      <c r="I563" s="31" t="str">
        <f aca="false">IF(AND(G563="",H563=""),"",N(G563)-N(H563))</f>
        <v/>
      </c>
      <c r="J563" s="46"/>
      <c r="K563" s="46"/>
      <c r="L563" s="34" t="str">
        <f aca="false">IF(AND(J563="",K563=""),"",N(J563)-N(K563))</f>
        <v/>
      </c>
      <c r="M563" s="35" t="str">
        <f aca="false">IF(B563="","",IF(COUNTIFS(③回款收汇!$A$4:$A$203,B563,③回款收汇!$R$4:$R$203,"&gt;0")&gt;0,"已收汇","待收汇"))</f>
        <v/>
      </c>
      <c r="N563" s="41"/>
      <c r="O563" s="41"/>
      <c r="P563" s="35" t="str">
        <f aca="true">IF(N563="","",IF(O563="",IF(TODAY()-N563&gt;15,"已超15天未留存","待留存"),IF(O563-N563&lt;=15,"及时","超期")))</f>
        <v/>
      </c>
      <c r="Q563" s="43"/>
    </row>
    <row r="564" customFormat="false" ht="21.75" hidden="false" customHeight="true" outlineLevel="0" collapsed="false">
      <c r="A564" s="49"/>
      <c r="B564" s="48"/>
      <c r="C564" s="43"/>
      <c r="D564" s="44"/>
      <c r="E564" s="44"/>
      <c r="F564" s="36" t="str">
        <f aca="false">IF(OR(D564="",E564=""),"",IF(IFERROR(INDEX(①出口报关!$I$4:$I$303,MATCH(E564,①出口报关!$A$4:$A$303,0)),"")=D564,"一致","SKU与报关单不符"))</f>
        <v/>
      </c>
      <c r="G564" s="45"/>
      <c r="H564" s="45"/>
      <c r="I564" s="31" t="str">
        <f aca="false">IF(AND(G564="",H564=""),"",N(G564)-N(H564))</f>
        <v/>
      </c>
      <c r="J564" s="46"/>
      <c r="K564" s="46"/>
      <c r="L564" s="34" t="str">
        <f aca="false">IF(AND(J564="",K564=""),"",N(J564)-N(K564))</f>
        <v/>
      </c>
      <c r="M564" s="35" t="str">
        <f aca="false">IF(B564="","",IF(COUNTIFS(③回款收汇!$A$4:$A$203,B564,③回款收汇!$R$4:$R$203,"&gt;0")&gt;0,"已收汇","待收汇"))</f>
        <v/>
      </c>
      <c r="N564" s="41"/>
      <c r="O564" s="41"/>
      <c r="P564" s="35" t="str">
        <f aca="true">IF(N564="","",IF(O564="",IF(TODAY()-N564&gt;15,"已超15天未留存","待留存"),IF(O564-N564&lt;=15,"及时","超期")))</f>
        <v/>
      </c>
      <c r="Q564" s="43"/>
    </row>
    <row r="565" customFormat="false" ht="21.75" hidden="false" customHeight="true" outlineLevel="0" collapsed="false">
      <c r="A565" s="49"/>
      <c r="B565" s="48"/>
      <c r="C565" s="43"/>
      <c r="D565" s="44"/>
      <c r="E565" s="44"/>
      <c r="F565" s="36" t="str">
        <f aca="false">IF(OR(D565="",E565=""),"",IF(IFERROR(INDEX(①出口报关!$I$4:$I$303,MATCH(E565,①出口报关!$A$4:$A$303,0)),"")=D565,"一致","SKU与报关单不符"))</f>
        <v/>
      </c>
      <c r="G565" s="45"/>
      <c r="H565" s="45"/>
      <c r="I565" s="31" t="str">
        <f aca="false">IF(AND(G565="",H565=""),"",N(G565)-N(H565))</f>
        <v/>
      </c>
      <c r="J565" s="46"/>
      <c r="K565" s="46"/>
      <c r="L565" s="34" t="str">
        <f aca="false">IF(AND(J565="",K565=""),"",N(J565)-N(K565))</f>
        <v/>
      </c>
      <c r="M565" s="35" t="str">
        <f aca="false">IF(B565="","",IF(COUNTIFS(③回款收汇!$A$4:$A$203,B565,③回款收汇!$R$4:$R$203,"&gt;0")&gt;0,"已收汇","待收汇"))</f>
        <v/>
      </c>
      <c r="N565" s="41"/>
      <c r="O565" s="41"/>
      <c r="P565" s="35" t="str">
        <f aca="true">IF(N565="","",IF(O565="",IF(TODAY()-N565&gt;15,"已超15天未留存","待留存"),IF(O565-N565&lt;=15,"及时","超期")))</f>
        <v/>
      </c>
      <c r="Q565" s="43"/>
    </row>
    <row r="566" customFormat="false" ht="21.75" hidden="false" customHeight="true" outlineLevel="0" collapsed="false">
      <c r="A566" s="49"/>
      <c r="B566" s="48"/>
      <c r="C566" s="43"/>
      <c r="D566" s="44"/>
      <c r="E566" s="44"/>
      <c r="F566" s="36" t="str">
        <f aca="false">IF(OR(D566="",E566=""),"",IF(IFERROR(INDEX(①出口报关!$I$4:$I$303,MATCH(E566,①出口报关!$A$4:$A$303,0)),"")=D566,"一致","SKU与报关单不符"))</f>
        <v/>
      </c>
      <c r="G566" s="45"/>
      <c r="H566" s="45"/>
      <c r="I566" s="31" t="str">
        <f aca="false">IF(AND(G566="",H566=""),"",N(G566)-N(H566))</f>
        <v/>
      </c>
      <c r="J566" s="46"/>
      <c r="K566" s="46"/>
      <c r="L566" s="34" t="str">
        <f aca="false">IF(AND(J566="",K566=""),"",N(J566)-N(K566))</f>
        <v/>
      </c>
      <c r="M566" s="35" t="str">
        <f aca="false">IF(B566="","",IF(COUNTIFS(③回款收汇!$A$4:$A$203,B566,③回款收汇!$R$4:$R$203,"&gt;0")&gt;0,"已收汇","待收汇"))</f>
        <v/>
      </c>
      <c r="N566" s="41"/>
      <c r="O566" s="41"/>
      <c r="P566" s="35" t="str">
        <f aca="true">IF(N566="","",IF(O566="",IF(TODAY()-N566&gt;15,"已超15天未留存","待留存"),IF(O566-N566&lt;=15,"及时","超期")))</f>
        <v/>
      </c>
      <c r="Q566" s="43"/>
    </row>
    <row r="567" customFormat="false" ht="21.75" hidden="false" customHeight="true" outlineLevel="0" collapsed="false">
      <c r="A567" s="49"/>
      <c r="B567" s="48"/>
      <c r="C567" s="43"/>
      <c r="D567" s="44"/>
      <c r="E567" s="44"/>
      <c r="F567" s="36" t="str">
        <f aca="false">IF(OR(D567="",E567=""),"",IF(IFERROR(INDEX(①出口报关!$I$4:$I$303,MATCH(E567,①出口报关!$A$4:$A$303,0)),"")=D567,"一致","SKU与报关单不符"))</f>
        <v/>
      </c>
      <c r="G567" s="45"/>
      <c r="H567" s="45"/>
      <c r="I567" s="31" t="str">
        <f aca="false">IF(AND(G567="",H567=""),"",N(G567)-N(H567))</f>
        <v/>
      </c>
      <c r="J567" s="46"/>
      <c r="K567" s="46"/>
      <c r="L567" s="34" t="str">
        <f aca="false">IF(AND(J567="",K567=""),"",N(J567)-N(K567))</f>
        <v/>
      </c>
      <c r="M567" s="35" t="str">
        <f aca="false">IF(B567="","",IF(COUNTIFS(③回款收汇!$A$4:$A$203,B567,③回款收汇!$R$4:$R$203,"&gt;0")&gt;0,"已收汇","待收汇"))</f>
        <v/>
      </c>
      <c r="N567" s="41"/>
      <c r="O567" s="41"/>
      <c r="P567" s="35" t="str">
        <f aca="true">IF(N567="","",IF(O567="",IF(TODAY()-N567&gt;15,"已超15天未留存","待留存"),IF(O567-N567&lt;=15,"及时","超期")))</f>
        <v/>
      </c>
      <c r="Q567" s="43"/>
    </row>
    <row r="568" customFormat="false" ht="21.75" hidden="false" customHeight="true" outlineLevel="0" collapsed="false">
      <c r="A568" s="49"/>
      <c r="B568" s="48"/>
      <c r="C568" s="43"/>
      <c r="D568" s="44"/>
      <c r="E568" s="44"/>
      <c r="F568" s="36" t="str">
        <f aca="false">IF(OR(D568="",E568=""),"",IF(IFERROR(INDEX(①出口报关!$I$4:$I$303,MATCH(E568,①出口报关!$A$4:$A$303,0)),"")=D568,"一致","SKU与报关单不符"))</f>
        <v/>
      </c>
      <c r="G568" s="45"/>
      <c r="H568" s="45"/>
      <c r="I568" s="31" t="str">
        <f aca="false">IF(AND(G568="",H568=""),"",N(G568)-N(H568))</f>
        <v/>
      </c>
      <c r="J568" s="46"/>
      <c r="K568" s="46"/>
      <c r="L568" s="34" t="str">
        <f aca="false">IF(AND(J568="",K568=""),"",N(J568)-N(K568))</f>
        <v/>
      </c>
      <c r="M568" s="35" t="str">
        <f aca="false">IF(B568="","",IF(COUNTIFS(③回款收汇!$A$4:$A$203,B568,③回款收汇!$R$4:$R$203,"&gt;0")&gt;0,"已收汇","待收汇"))</f>
        <v/>
      </c>
      <c r="N568" s="41"/>
      <c r="O568" s="41"/>
      <c r="P568" s="35" t="str">
        <f aca="true">IF(N568="","",IF(O568="",IF(TODAY()-N568&gt;15,"已超15天未留存","待留存"),IF(O568-N568&lt;=15,"及时","超期")))</f>
        <v/>
      </c>
      <c r="Q568" s="43"/>
    </row>
    <row r="569" customFormat="false" ht="21.75" hidden="false" customHeight="true" outlineLevel="0" collapsed="false">
      <c r="A569" s="49"/>
      <c r="B569" s="48"/>
      <c r="C569" s="43"/>
      <c r="D569" s="44"/>
      <c r="E569" s="44"/>
      <c r="F569" s="36" t="str">
        <f aca="false">IF(OR(D569="",E569=""),"",IF(IFERROR(INDEX(①出口报关!$I$4:$I$303,MATCH(E569,①出口报关!$A$4:$A$303,0)),"")=D569,"一致","SKU与报关单不符"))</f>
        <v/>
      </c>
      <c r="G569" s="45"/>
      <c r="H569" s="45"/>
      <c r="I569" s="31" t="str">
        <f aca="false">IF(AND(G569="",H569=""),"",N(G569)-N(H569))</f>
        <v/>
      </c>
      <c r="J569" s="46"/>
      <c r="K569" s="46"/>
      <c r="L569" s="34" t="str">
        <f aca="false">IF(AND(J569="",K569=""),"",N(J569)-N(K569))</f>
        <v/>
      </c>
      <c r="M569" s="35" t="str">
        <f aca="false">IF(B569="","",IF(COUNTIFS(③回款收汇!$A$4:$A$203,B569,③回款收汇!$R$4:$R$203,"&gt;0")&gt;0,"已收汇","待收汇"))</f>
        <v/>
      </c>
      <c r="N569" s="41"/>
      <c r="O569" s="41"/>
      <c r="P569" s="35" t="str">
        <f aca="true">IF(N569="","",IF(O569="",IF(TODAY()-N569&gt;15,"已超15天未留存","待留存"),IF(O569-N569&lt;=15,"及时","超期")))</f>
        <v/>
      </c>
      <c r="Q569" s="43"/>
    </row>
    <row r="570" customFormat="false" ht="21.75" hidden="false" customHeight="true" outlineLevel="0" collapsed="false">
      <c r="A570" s="49"/>
      <c r="B570" s="48"/>
      <c r="C570" s="43"/>
      <c r="D570" s="44"/>
      <c r="E570" s="44"/>
      <c r="F570" s="36" t="str">
        <f aca="false">IF(OR(D570="",E570=""),"",IF(IFERROR(INDEX(①出口报关!$I$4:$I$303,MATCH(E570,①出口报关!$A$4:$A$303,0)),"")=D570,"一致","SKU与报关单不符"))</f>
        <v/>
      </c>
      <c r="G570" s="45"/>
      <c r="H570" s="45"/>
      <c r="I570" s="31" t="str">
        <f aca="false">IF(AND(G570="",H570=""),"",N(G570)-N(H570))</f>
        <v/>
      </c>
      <c r="J570" s="46"/>
      <c r="K570" s="46"/>
      <c r="L570" s="34" t="str">
        <f aca="false">IF(AND(J570="",K570=""),"",N(J570)-N(K570))</f>
        <v/>
      </c>
      <c r="M570" s="35" t="str">
        <f aca="false">IF(B570="","",IF(COUNTIFS(③回款收汇!$A$4:$A$203,B570,③回款收汇!$R$4:$R$203,"&gt;0")&gt;0,"已收汇","待收汇"))</f>
        <v/>
      </c>
      <c r="N570" s="41"/>
      <c r="O570" s="41"/>
      <c r="P570" s="35" t="str">
        <f aca="true">IF(N570="","",IF(O570="",IF(TODAY()-N570&gt;15,"已超15天未留存","待留存"),IF(O570-N570&lt;=15,"及时","超期")))</f>
        <v/>
      </c>
      <c r="Q570" s="43"/>
    </row>
    <row r="571" customFormat="false" ht="21.75" hidden="false" customHeight="true" outlineLevel="0" collapsed="false">
      <c r="A571" s="49"/>
      <c r="B571" s="48"/>
      <c r="C571" s="43"/>
      <c r="D571" s="44"/>
      <c r="E571" s="44"/>
      <c r="F571" s="36" t="str">
        <f aca="false">IF(OR(D571="",E571=""),"",IF(IFERROR(INDEX(①出口报关!$I$4:$I$303,MATCH(E571,①出口报关!$A$4:$A$303,0)),"")=D571,"一致","SKU与报关单不符"))</f>
        <v/>
      </c>
      <c r="G571" s="45"/>
      <c r="H571" s="45"/>
      <c r="I571" s="31" t="str">
        <f aca="false">IF(AND(G571="",H571=""),"",N(G571)-N(H571))</f>
        <v/>
      </c>
      <c r="J571" s="46"/>
      <c r="K571" s="46"/>
      <c r="L571" s="34" t="str">
        <f aca="false">IF(AND(J571="",K571=""),"",N(J571)-N(K571))</f>
        <v/>
      </c>
      <c r="M571" s="35" t="str">
        <f aca="false">IF(B571="","",IF(COUNTIFS(③回款收汇!$A$4:$A$203,B571,③回款收汇!$R$4:$R$203,"&gt;0")&gt;0,"已收汇","待收汇"))</f>
        <v/>
      </c>
      <c r="N571" s="41"/>
      <c r="O571" s="41"/>
      <c r="P571" s="35" t="str">
        <f aca="true">IF(N571="","",IF(O571="",IF(TODAY()-N571&gt;15,"已超15天未留存","待留存"),IF(O571-N571&lt;=15,"及时","超期")))</f>
        <v/>
      </c>
      <c r="Q571" s="43"/>
    </row>
    <row r="572" customFormat="false" ht="21.75" hidden="false" customHeight="true" outlineLevel="0" collapsed="false">
      <c r="A572" s="49"/>
      <c r="B572" s="48"/>
      <c r="C572" s="43"/>
      <c r="D572" s="44"/>
      <c r="E572" s="44"/>
      <c r="F572" s="36" t="str">
        <f aca="false">IF(OR(D572="",E572=""),"",IF(IFERROR(INDEX(①出口报关!$I$4:$I$303,MATCH(E572,①出口报关!$A$4:$A$303,0)),"")=D572,"一致","SKU与报关单不符"))</f>
        <v/>
      </c>
      <c r="G572" s="45"/>
      <c r="H572" s="45"/>
      <c r="I572" s="31" t="str">
        <f aca="false">IF(AND(G572="",H572=""),"",N(G572)-N(H572))</f>
        <v/>
      </c>
      <c r="J572" s="46"/>
      <c r="K572" s="46"/>
      <c r="L572" s="34" t="str">
        <f aca="false">IF(AND(J572="",K572=""),"",N(J572)-N(K572))</f>
        <v/>
      </c>
      <c r="M572" s="35" t="str">
        <f aca="false">IF(B572="","",IF(COUNTIFS(③回款收汇!$A$4:$A$203,B572,③回款收汇!$R$4:$R$203,"&gt;0")&gt;0,"已收汇","待收汇"))</f>
        <v/>
      </c>
      <c r="N572" s="41"/>
      <c r="O572" s="41"/>
      <c r="P572" s="35" t="str">
        <f aca="true">IF(N572="","",IF(O572="",IF(TODAY()-N572&gt;15,"已超15天未留存","待留存"),IF(O572-N572&lt;=15,"及时","超期")))</f>
        <v/>
      </c>
      <c r="Q572" s="43"/>
    </row>
    <row r="573" customFormat="false" ht="21.75" hidden="false" customHeight="true" outlineLevel="0" collapsed="false">
      <c r="A573" s="49"/>
      <c r="B573" s="48"/>
      <c r="C573" s="43"/>
      <c r="D573" s="44"/>
      <c r="E573" s="44"/>
      <c r="F573" s="36" t="str">
        <f aca="false">IF(OR(D573="",E573=""),"",IF(IFERROR(INDEX(①出口报关!$I$4:$I$303,MATCH(E573,①出口报关!$A$4:$A$303,0)),"")=D573,"一致","SKU与报关单不符"))</f>
        <v/>
      </c>
      <c r="G573" s="45"/>
      <c r="H573" s="45"/>
      <c r="I573" s="31" t="str">
        <f aca="false">IF(AND(G573="",H573=""),"",N(G573)-N(H573))</f>
        <v/>
      </c>
      <c r="J573" s="46"/>
      <c r="K573" s="46"/>
      <c r="L573" s="34" t="str">
        <f aca="false">IF(AND(J573="",K573=""),"",N(J573)-N(K573))</f>
        <v/>
      </c>
      <c r="M573" s="35" t="str">
        <f aca="false">IF(B573="","",IF(COUNTIFS(③回款收汇!$A$4:$A$203,B573,③回款收汇!$R$4:$R$203,"&gt;0")&gt;0,"已收汇","待收汇"))</f>
        <v/>
      </c>
      <c r="N573" s="41"/>
      <c r="O573" s="41"/>
      <c r="P573" s="35" t="str">
        <f aca="true">IF(N573="","",IF(O573="",IF(TODAY()-N573&gt;15,"已超15天未留存","待留存"),IF(O573-N573&lt;=15,"及时","超期")))</f>
        <v/>
      </c>
      <c r="Q573" s="43"/>
    </row>
    <row r="574" customFormat="false" ht="21.75" hidden="false" customHeight="true" outlineLevel="0" collapsed="false">
      <c r="A574" s="49"/>
      <c r="B574" s="48"/>
      <c r="C574" s="43"/>
      <c r="D574" s="44"/>
      <c r="E574" s="44"/>
      <c r="F574" s="36" t="str">
        <f aca="false">IF(OR(D574="",E574=""),"",IF(IFERROR(INDEX(①出口报关!$I$4:$I$303,MATCH(E574,①出口报关!$A$4:$A$303,0)),"")=D574,"一致","SKU与报关单不符"))</f>
        <v/>
      </c>
      <c r="G574" s="45"/>
      <c r="H574" s="45"/>
      <c r="I574" s="31" t="str">
        <f aca="false">IF(AND(G574="",H574=""),"",N(G574)-N(H574))</f>
        <v/>
      </c>
      <c r="J574" s="46"/>
      <c r="K574" s="46"/>
      <c r="L574" s="34" t="str">
        <f aca="false">IF(AND(J574="",K574=""),"",N(J574)-N(K574))</f>
        <v/>
      </c>
      <c r="M574" s="35" t="str">
        <f aca="false">IF(B574="","",IF(COUNTIFS(③回款收汇!$A$4:$A$203,B574,③回款收汇!$R$4:$R$203,"&gt;0")&gt;0,"已收汇","待收汇"))</f>
        <v/>
      </c>
      <c r="N574" s="41"/>
      <c r="O574" s="41"/>
      <c r="P574" s="35" t="str">
        <f aca="true">IF(N574="","",IF(O574="",IF(TODAY()-N574&gt;15,"已超15天未留存","待留存"),IF(O574-N574&lt;=15,"及时","超期")))</f>
        <v/>
      </c>
      <c r="Q574" s="43"/>
    </row>
    <row r="575" customFormat="false" ht="21.75" hidden="false" customHeight="true" outlineLevel="0" collapsed="false">
      <c r="A575" s="49"/>
      <c r="B575" s="48"/>
      <c r="C575" s="43"/>
      <c r="D575" s="44"/>
      <c r="E575" s="44"/>
      <c r="F575" s="36" t="str">
        <f aca="false">IF(OR(D575="",E575=""),"",IF(IFERROR(INDEX(①出口报关!$I$4:$I$303,MATCH(E575,①出口报关!$A$4:$A$303,0)),"")=D575,"一致","SKU与报关单不符"))</f>
        <v/>
      </c>
      <c r="G575" s="45"/>
      <c r="H575" s="45"/>
      <c r="I575" s="31" t="str">
        <f aca="false">IF(AND(G575="",H575=""),"",N(G575)-N(H575))</f>
        <v/>
      </c>
      <c r="J575" s="46"/>
      <c r="K575" s="46"/>
      <c r="L575" s="34" t="str">
        <f aca="false">IF(AND(J575="",K575=""),"",N(J575)-N(K575))</f>
        <v/>
      </c>
      <c r="M575" s="35" t="str">
        <f aca="false">IF(B575="","",IF(COUNTIFS(③回款收汇!$A$4:$A$203,B575,③回款收汇!$R$4:$R$203,"&gt;0")&gt;0,"已收汇","待收汇"))</f>
        <v/>
      </c>
      <c r="N575" s="41"/>
      <c r="O575" s="41"/>
      <c r="P575" s="35" t="str">
        <f aca="true">IF(N575="","",IF(O575="",IF(TODAY()-N575&gt;15,"已超15天未留存","待留存"),IF(O575-N575&lt;=15,"及时","超期")))</f>
        <v/>
      </c>
      <c r="Q575" s="43"/>
    </row>
    <row r="576" customFormat="false" ht="21.75" hidden="false" customHeight="true" outlineLevel="0" collapsed="false">
      <c r="A576" s="49"/>
      <c r="B576" s="48"/>
      <c r="C576" s="43"/>
      <c r="D576" s="44"/>
      <c r="E576" s="44"/>
      <c r="F576" s="36" t="str">
        <f aca="false">IF(OR(D576="",E576=""),"",IF(IFERROR(INDEX(①出口报关!$I$4:$I$303,MATCH(E576,①出口报关!$A$4:$A$303,0)),"")=D576,"一致","SKU与报关单不符"))</f>
        <v/>
      </c>
      <c r="G576" s="45"/>
      <c r="H576" s="45"/>
      <c r="I576" s="31" t="str">
        <f aca="false">IF(AND(G576="",H576=""),"",N(G576)-N(H576))</f>
        <v/>
      </c>
      <c r="J576" s="46"/>
      <c r="K576" s="46"/>
      <c r="L576" s="34" t="str">
        <f aca="false">IF(AND(J576="",K576=""),"",N(J576)-N(K576))</f>
        <v/>
      </c>
      <c r="M576" s="35" t="str">
        <f aca="false">IF(B576="","",IF(COUNTIFS(③回款收汇!$A$4:$A$203,B576,③回款收汇!$R$4:$R$203,"&gt;0")&gt;0,"已收汇","待收汇"))</f>
        <v/>
      </c>
      <c r="N576" s="41"/>
      <c r="O576" s="41"/>
      <c r="P576" s="35" t="str">
        <f aca="true">IF(N576="","",IF(O576="",IF(TODAY()-N576&gt;15,"已超15天未留存","待留存"),IF(O576-N576&lt;=15,"及时","超期")))</f>
        <v/>
      </c>
      <c r="Q576" s="43"/>
    </row>
    <row r="577" customFormat="false" ht="21.75" hidden="false" customHeight="true" outlineLevel="0" collapsed="false">
      <c r="A577" s="49"/>
      <c r="B577" s="48"/>
      <c r="C577" s="43"/>
      <c r="D577" s="44"/>
      <c r="E577" s="44"/>
      <c r="F577" s="36" t="str">
        <f aca="false">IF(OR(D577="",E577=""),"",IF(IFERROR(INDEX(①出口报关!$I$4:$I$303,MATCH(E577,①出口报关!$A$4:$A$303,0)),"")=D577,"一致","SKU与报关单不符"))</f>
        <v/>
      </c>
      <c r="G577" s="45"/>
      <c r="H577" s="45"/>
      <c r="I577" s="31" t="str">
        <f aca="false">IF(AND(G577="",H577=""),"",N(G577)-N(H577))</f>
        <v/>
      </c>
      <c r="J577" s="46"/>
      <c r="K577" s="46"/>
      <c r="L577" s="34" t="str">
        <f aca="false">IF(AND(J577="",K577=""),"",N(J577)-N(K577))</f>
        <v/>
      </c>
      <c r="M577" s="35" t="str">
        <f aca="false">IF(B577="","",IF(COUNTIFS(③回款收汇!$A$4:$A$203,B577,③回款收汇!$R$4:$R$203,"&gt;0")&gt;0,"已收汇","待收汇"))</f>
        <v/>
      </c>
      <c r="N577" s="41"/>
      <c r="O577" s="41"/>
      <c r="P577" s="35" t="str">
        <f aca="true">IF(N577="","",IF(O577="",IF(TODAY()-N577&gt;15,"已超15天未留存","待留存"),IF(O577-N577&lt;=15,"及时","超期")))</f>
        <v/>
      </c>
      <c r="Q577" s="43"/>
    </row>
    <row r="578" customFormat="false" ht="21.75" hidden="false" customHeight="true" outlineLevel="0" collapsed="false">
      <c r="A578" s="49"/>
      <c r="B578" s="48"/>
      <c r="C578" s="43"/>
      <c r="D578" s="44"/>
      <c r="E578" s="44"/>
      <c r="F578" s="36" t="str">
        <f aca="false">IF(OR(D578="",E578=""),"",IF(IFERROR(INDEX(①出口报关!$I$4:$I$303,MATCH(E578,①出口报关!$A$4:$A$303,0)),"")=D578,"一致","SKU与报关单不符"))</f>
        <v/>
      </c>
      <c r="G578" s="45"/>
      <c r="H578" s="45"/>
      <c r="I578" s="31" t="str">
        <f aca="false">IF(AND(G578="",H578=""),"",N(G578)-N(H578))</f>
        <v/>
      </c>
      <c r="J578" s="46"/>
      <c r="K578" s="46"/>
      <c r="L578" s="34" t="str">
        <f aca="false">IF(AND(J578="",K578=""),"",N(J578)-N(K578))</f>
        <v/>
      </c>
      <c r="M578" s="35" t="str">
        <f aca="false">IF(B578="","",IF(COUNTIFS(③回款收汇!$A$4:$A$203,B578,③回款收汇!$R$4:$R$203,"&gt;0")&gt;0,"已收汇","待收汇"))</f>
        <v/>
      </c>
      <c r="N578" s="41"/>
      <c r="O578" s="41"/>
      <c r="P578" s="35" t="str">
        <f aca="true">IF(N578="","",IF(O578="",IF(TODAY()-N578&gt;15,"已超15天未留存","待留存"),IF(O578-N578&lt;=15,"及时","超期")))</f>
        <v/>
      </c>
      <c r="Q578" s="43"/>
    </row>
    <row r="579" customFormat="false" ht="21.75" hidden="false" customHeight="true" outlineLevel="0" collapsed="false">
      <c r="A579" s="49"/>
      <c r="B579" s="48"/>
      <c r="C579" s="43"/>
      <c r="D579" s="44"/>
      <c r="E579" s="44"/>
      <c r="F579" s="36" t="str">
        <f aca="false">IF(OR(D579="",E579=""),"",IF(IFERROR(INDEX(①出口报关!$I$4:$I$303,MATCH(E579,①出口报关!$A$4:$A$303,0)),"")=D579,"一致","SKU与报关单不符"))</f>
        <v/>
      </c>
      <c r="G579" s="45"/>
      <c r="H579" s="45"/>
      <c r="I579" s="31" t="str">
        <f aca="false">IF(AND(G579="",H579=""),"",N(G579)-N(H579))</f>
        <v/>
      </c>
      <c r="J579" s="46"/>
      <c r="K579" s="46"/>
      <c r="L579" s="34" t="str">
        <f aca="false">IF(AND(J579="",K579=""),"",N(J579)-N(K579))</f>
        <v/>
      </c>
      <c r="M579" s="35" t="str">
        <f aca="false">IF(B579="","",IF(COUNTIFS(③回款收汇!$A$4:$A$203,B579,③回款收汇!$R$4:$R$203,"&gt;0")&gt;0,"已收汇","待收汇"))</f>
        <v/>
      </c>
      <c r="N579" s="41"/>
      <c r="O579" s="41"/>
      <c r="P579" s="35" t="str">
        <f aca="true">IF(N579="","",IF(O579="",IF(TODAY()-N579&gt;15,"已超15天未留存","待留存"),IF(O579-N579&lt;=15,"及时","超期")))</f>
        <v/>
      </c>
      <c r="Q579" s="43"/>
    </row>
    <row r="580" customFormat="false" ht="21.75" hidden="false" customHeight="true" outlineLevel="0" collapsed="false">
      <c r="A580" s="49"/>
      <c r="B580" s="48"/>
      <c r="C580" s="43"/>
      <c r="D580" s="44"/>
      <c r="E580" s="44"/>
      <c r="F580" s="36" t="str">
        <f aca="false">IF(OR(D580="",E580=""),"",IF(IFERROR(INDEX(①出口报关!$I$4:$I$303,MATCH(E580,①出口报关!$A$4:$A$303,0)),"")=D580,"一致","SKU与报关单不符"))</f>
        <v/>
      </c>
      <c r="G580" s="45"/>
      <c r="H580" s="45"/>
      <c r="I580" s="31" t="str">
        <f aca="false">IF(AND(G580="",H580=""),"",N(G580)-N(H580))</f>
        <v/>
      </c>
      <c r="J580" s="46"/>
      <c r="K580" s="46"/>
      <c r="L580" s="34" t="str">
        <f aca="false">IF(AND(J580="",K580=""),"",N(J580)-N(K580))</f>
        <v/>
      </c>
      <c r="M580" s="35" t="str">
        <f aca="false">IF(B580="","",IF(COUNTIFS(③回款收汇!$A$4:$A$203,B580,③回款收汇!$R$4:$R$203,"&gt;0")&gt;0,"已收汇","待收汇"))</f>
        <v/>
      </c>
      <c r="N580" s="41"/>
      <c r="O580" s="41"/>
      <c r="P580" s="35" t="str">
        <f aca="true">IF(N580="","",IF(O580="",IF(TODAY()-N580&gt;15,"已超15天未留存","待留存"),IF(O580-N580&lt;=15,"及时","超期")))</f>
        <v/>
      </c>
      <c r="Q580" s="43"/>
    </row>
    <row r="581" customFormat="false" ht="21.75" hidden="false" customHeight="true" outlineLevel="0" collapsed="false">
      <c r="A581" s="49"/>
      <c r="B581" s="48"/>
      <c r="C581" s="43"/>
      <c r="D581" s="44"/>
      <c r="E581" s="44"/>
      <c r="F581" s="36" t="str">
        <f aca="false">IF(OR(D581="",E581=""),"",IF(IFERROR(INDEX(①出口报关!$I$4:$I$303,MATCH(E581,①出口报关!$A$4:$A$303,0)),"")=D581,"一致","SKU与报关单不符"))</f>
        <v/>
      </c>
      <c r="G581" s="45"/>
      <c r="H581" s="45"/>
      <c r="I581" s="31" t="str">
        <f aca="false">IF(AND(G581="",H581=""),"",N(G581)-N(H581))</f>
        <v/>
      </c>
      <c r="J581" s="46"/>
      <c r="K581" s="46"/>
      <c r="L581" s="34" t="str">
        <f aca="false">IF(AND(J581="",K581=""),"",N(J581)-N(K581))</f>
        <v/>
      </c>
      <c r="M581" s="35" t="str">
        <f aca="false">IF(B581="","",IF(COUNTIFS(③回款收汇!$A$4:$A$203,B581,③回款收汇!$R$4:$R$203,"&gt;0")&gt;0,"已收汇","待收汇"))</f>
        <v/>
      </c>
      <c r="N581" s="41"/>
      <c r="O581" s="41"/>
      <c r="P581" s="35" t="str">
        <f aca="true">IF(N581="","",IF(O581="",IF(TODAY()-N581&gt;15,"已超15天未留存","待留存"),IF(O581-N581&lt;=15,"及时","超期")))</f>
        <v/>
      </c>
      <c r="Q581" s="43"/>
    </row>
    <row r="582" customFormat="false" ht="21.75" hidden="false" customHeight="true" outlineLevel="0" collapsed="false">
      <c r="A582" s="49"/>
      <c r="B582" s="48"/>
      <c r="C582" s="43"/>
      <c r="D582" s="44"/>
      <c r="E582" s="44"/>
      <c r="F582" s="36" t="str">
        <f aca="false">IF(OR(D582="",E582=""),"",IF(IFERROR(INDEX(①出口报关!$I$4:$I$303,MATCH(E582,①出口报关!$A$4:$A$303,0)),"")=D582,"一致","SKU与报关单不符"))</f>
        <v/>
      </c>
      <c r="G582" s="45"/>
      <c r="H582" s="45"/>
      <c r="I582" s="31" t="str">
        <f aca="false">IF(AND(G582="",H582=""),"",N(G582)-N(H582))</f>
        <v/>
      </c>
      <c r="J582" s="46"/>
      <c r="K582" s="46"/>
      <c r="L582" s="34" t="str">
        <f aca="false">IF(AND(J582="",K582=""),"",N(J582)-N(K582))</f>
        <v/>
      </c>
      <c r="M582" s="35" t="str">
        <f aca="false">IF(B582="","",IF(COUNTIFS(③回款收汇!$A$4:$A$203,B582,③回款收汇!$R$4:$R$203,"&gt;0")&gt;0,"已收汇","待收汇"))</f>
        <v/>
      </c>
      <c r="N582" s="41"/>
      <c r="O582" s="41"/>
      <c r="P582" s="35" t="str">
        <f aca="true">IF(N582="","",IF(O582="",IF(TODAY()-N582&gt;15,"已超15天未留存","待留存"),IF(O582-N582&lt;=15,"及时","超期")))</f>
        <v/>
      </c>
      <c r="Q582" s="43"/>
    </row>
    <row r="583" customFormat="false" ht="21.75" hidden="false" customHeight="true" outlineLevel="0" collapsed="false">
      <c r="A583" s="49"/>
      <c r="B583" s="48"/>
      <c r="C583" s="43"/>
      <c r="D583" s="44"/>
      <c r="E583" s="44"/>
      <c r="F583" s="36" t="str">
        <f aca="false">IF(OR(D583="",E583=""),"",IF(IFERROR(INDEX(①出口报关!$I$4:$I$303,MATCH(E583,①出口报关!$A$4:$A$303,0)),"")=D583,"一致","SKU与报关单不符"))</f>
        <v/>
      </c>
      <c r="G583" s="45"/>
      <c r="H583" s="45"/>
      <c r="I583" s="31" t="str">
        <f aca="false">IF(AND(G583="",H583=""),"",N(G583)-N(H583))</f>
        <v/>
      </c>
      <c r="J583" s="46"/>
      <c r="K583" s="46"/>
      <c r="L583" s="34" t="str">
        <f aca="false">IF(AND(J583="",K583=""),"",N(J583)-N(K583))</f>
        <v/>
      </c>
      <c r="M583" s="35" t="str">
        <f aca="false">IF(B583="","",IF(COUNTIFS(③回款收汇!$A$4:$A$203,B583,③回款收汇!$R$4:$R$203,"&gt;0")&gt;0,"已收汇","待收汇"))</f>
        <v/>
      </c>
      <c r="N583" s="41"/>
      <c r="O583" s="41"/>
      <c r="P583" s="35" t="str">
        <f aca="true">IF(N583="","",IF(O583="",IF(TODAY()-N583&gt;15,"已超15天未留存","待留存"),IF(O583-N583&lt;=15,"及时","超期")))</f>
        <v/>
      </c>
      <c r="Q583" s="43"/>
    </row>
    <row r="584" customFormat="false" ht="21.75" hidden="false" customHeight="true" outlineLevel="0" collapsed="false">
      <c r="A584" s="49"/>
      <c r="B584" s="48"/>
      <c r="C584" s="43"/>
      <c r="D584" s="44"/>
      <c r="E584" s="44"/>
      <c r="F584" s="36" t="str">
        <f aca="false">IF(OR(D584="",E584=""),"",IF(IFERROR(INDEX(①出口报关!$I$4:$I$303,MATCH(E584,①出口报关!$A$4:$A$303,0)),"")=D584,"一致","SKU与报关单不符"))</f>
        <v/>
      </c>
      <c r="G584" s="45"/>
      <c r="H584" s="45"/>
      <c r="I584" s="31" t="str">
        <f aca="false">IF(AND(G584="",H584=""),"",N(G584)-N(H584))</f>
        <v/>
      </c>
      <c r="J584" s="46"/>
      <c r="K584" s="46"/>
      <c r="L584" s="34" t="str">
        <f aca="false">IF(AND(J584="",K584=""),"",N(J584)-N(K584))</f>
        <v/>
      </c>
      <c r="M584" s="35" t="str">
        <f aca="false">IF(B584="","",IF(COUNTIFS(③回款收汇!$A$4:$A$203,B584,③回款收汇!$R$4:$R$203,"&gt;0")&gt;0,"已收汇","待收汇"))</f>
        <v/>
      </c>
      <c r="N584" s="41"/>
      <c r="O584" s="41"/>
      <c r="P584" s="35" t="str">
        <f aca="true">IF(N584="","",IF(O584="",IF(TODAY()-N584&gt;15,"已超15天未留存","待留存"),IF(O584-N584&lt;=15,"及时","超期")))</f>
        <v/>
      </c>
      <c r="Q584" s="43"/>
    </row>
    <row r="585" customFormat="false" ht="21.75" hidden="false" customHeight="true" outlineLevel="0" collapsed="false">
      <c r="A585" s="49"/>
      <c r="B585" s="48"/>
      <c r="C585" s="43"/>
      <c r="D585" s="44"/>
      <c r="E585" s="44"/>
      <c r="F585" s="36" t="str">
        <f aca="false">IF(OR(D585="",E585=""),"",IF(IFERROR(INDEX(①出口报关!$I$4:$I$303,MATCH(E585,①出口报关!$A$4:$A$303,0)),"")=D585,"一致","SKU与报关单不符"))</f>
        <v/>
      </c>
      <c r="G585" s="45"/>
      <c r="H585" s="45"/>
      <c r="I585" s="31" t="str">
        <f aca="false">IF(AND(G585="",H585=""),"",N(G585)-N(H585))</f>
        <v/>
      </c>
      <c r="J585" s="46"/>
      <c r="K585" s="46"/>
      <c r="L585" s="34" t="str">
        <f aca="false">IF(AND(J585="",K585=""),"",N(J585)-N(K585))</f>
        <v/>
      </c>
      <c r="M585" s="35" t="str">
        <f aca="false">IF(B585="","",IF(COUNTIFS(③回款收汇!$A$4:$A$203,B585,③回款收汇!$R$4:$R$203,"&gt;0")&gt;0,"已收汇","待收汇"))</f>
        <v/>
      </c>
      <c r="N585" s="41"/>
      <c r="O585" s="41"/>
      <c r="P585" s="35" t="str">
        <f aca="true">IF(N585="","",IF(O585="",IF(TODAY()-N585&gt;15,"已超15天未留存","待留存"),IF(O585-N585&lt;=15,"及时","超期")))</f>
        <v/>
      </c>
      <c r="Q585" s="43"/>
    </row>
    <row r="586" customFormat="false" ht="21.75" hidden="false" customHeight="true" outlineLevel="0" collapsed="false">
      <c r="A586" s="49"/>
      <c r="B586" s="48"/>
      <c r="C586" s="43"/>
      <c r="D586" s="44"/>
      <c r="E586" s="44"/>
      <c r="F586" s="36" t="str">
        <f aca="false">IF(OR(D586="",E586=""),"",IF(IFERROR(INDEX(①出口报关!$I$4:$I$303,MATCH(E586,①出口报关!$A$4:$A$303,0)),"")=D586,"一致","SKU与报关单不符"))</f>
        <v/>
      </c>
      <c r="G586" s="45"/>
      <c r="H586" s="45"/>
      <c r="I586" s="31" t="str">
        <f aca="false">IF(AND(G586="",H586=""),"",N(G586)-N(H586))</f>
        <v/>
      </c>
      <c r="J586" s="46"/>
      <c r="K586" s="46"/>
      <c r="L586" s="34" t="str">
        <f aca="false">IF(AND(J586="",K586=""),"",N(J586)-N(K586))</f>
        <v/>
      </c>
      <c r="M586" s="35" t="str">
        <f aca="false">IF(B586="","",IF(COUNTIFS(③回款收汇!$A$4:$A$203,B586,③回款收汇!$R$4:$R$203,"&gt;0")&gt;0,"已收汇","待收汇"))</f>
        <v/>
      </c>
      <c r="N586" s="41"/>
      <c r="O586" s="41"/>
      <c r="P586" s="35" t="str">
        <f aca="true">IF(N586="","",IF(O586="",IF(TODAY()-N586&gt;15,"已超15天未留存","待留存"),IF(O586-N586&lt;=15,"及时","超期")))</f>
        <v/>
      </c>
      <c r="Q586" s="43"/>
    </row>
    <row r="587" customFormat="false" ht="21.75" hidden="false" customHeight="true" outlineLevel="0" collapsed="false">
      <c r="A587" s="49"/>
      <c r="B587" s="48"/>
      <c r="C587" s="43"/>
      <c r="D587" s="44"/>
      <c r="E587" s="44"/>
      <c r="F587" s="36" t="str">
        <f aca="false">IF(OR(D587="",E587=""),"",IF(IFERROR(INDEX(①出口报关!$I$4:$I$303,MATCH(E587,①出口报关!$A$4:$A$303,0)),"")=D587,"一致","SKU与报关单不符"))</f>
        <v/>
      </c>
      <c r="G587" s="45"/>
      <c r="H587" s="45"/>
      <c r="I587" s="31" t="str">
        <f aca="false">IF(AND(G587="",H587=""),"",N(G587)-N(H587))</f>
        <v/>
      </c>
      <c r="J587" s="46"/>
      <c r="K587" s="46"/>
      <c r="L587" s="34" t="str">
        <f aca="false">IF(AND(J587="",K587=""),"",N(J587)-N(K587))</f>
        <v/>
      </c>
      <c r="M587" s="35" t="str">
        <f aca="false">IF(B587="","",IF(COUNTIFS(③回款收汇!$A$4:$A$203,B587,③回款收汇!$R$4:$R$203,"&gt;0")&gt;0,"已收汇","待收汇"))</f>
        <v/>
      </c>
      <c r="N587" s="41"/>
      <c r="O587" s="41"/>
      <c r="P587" s="35" t="str">
        <f aca="true">IF(N587="","",IF(O587="",IF(TODAY()-N587&gt;15,"已超15天未留存","待留存"),IF(O587-N587&lt;=15,"及时","超期")))</f>
        <v/>
      </c>
      <c r="Q587" s="43"/>
    </row>
    <row r="588" customFormat="false" ht="21.75" hidden="false" customHeight="true" outlineLevel="0" collapsed="false">
      <c r="A588" s="49"/>
      <c r="B588" s="48"/>
      <c r="C588" s="43"/>
      <c r="D588" s="44"/>
      <c r="E588" s="44"/>
      <c r="F588" s="36" t="str">
        <f aca="false">IF(OR(D588="",E588=""),"",IF(IFERROR(INDEX(①出口报关!$I$4:$I$303,MATCH(E588,①出口报关!$A$4:$A$303,0)),"")=D588,"一致","SKU与报关单不符"))</f>
        <v/>
      </c>
      <c r="G588" s="45"/>
      <c r="H588" s="45"/>
      <c r="I588" s="31" t="str">
        <f aca="false">IF(AND(G588="",H588=""),"",N(G588)-N(H588))</f>
        <v/>
      </c>
      <c r="J588" s="46"/>
      <c r="K588" s="46"/>
      <c r="L588" s="34" t="str">
        <f aca="false">IF(AND(J588="",K588=""),"",N(J588)-N(K588))</f>
        <v/>
      </c>
      <c r="M588" s="35" t="str">
        <f aca="false">IF(B588="","",IF(COUNTIFS(③回款收汇!$A$4:$A$203,B588,③回款收汇!$R$4:$R$203,"&gt;0")&gt;0,"已收汇","待收汇"))</f>
        <v/>
      </c>
      <c r="N588" s="41"/>
      <c r="O588" s="41"/>
      <c r="P588" s="35" t="str">
        <f aca="true">IF(N588="","",IF(O588="",IF(TODAY()-N588&gt;15,"已超15天未留存","待留存"),IF(O588-N588&lt;=15,"及时","超期")))</f>
        <v/>
      </c>
      <c r="Q588" s="43"/>
    </row>
    <row r="589" customFormat="false" ht="21.75" hidden="false" customHeight="true" outlineLevel="0" collapsed="false">
      <c r="A589" s="49"/>
      <c r="B589" s="48"/>
      <c r="C589" s="43"/>
      <c r="D589" s="44"/>
      <c r="E589" s="44"/>
      <c r="F589" s="36" t="str">
        <f aca="false">IF(OR(D589="",E589=""),"",IF(IFERROR(INDEX(①出口报关!$I$4:$I$303,MATCH(E589,①出口报关!$A$4:$A$303,0)),"")=D589,"一致","SKU与报关单不符"))</f>
        <v/>
      </c>
      <c r="G589" s="45"/>
      <c r="H589" s="45"/>
      <c r="I589" s="31" t="str">
        <f aca="false">IF(AND(G589="",H589=""),"",N(G589)-N(H589))</f>
        <v/>
      </c>
      <c r="J589" s="46"/>
      <c r="K589" s="46"/>
      <c r="L589" s="34" t="str">
        <f aca="false">IF(AND(J589="",K589=""),"",N(J589)-N(K589))</f>
        <v/>
      </c>
      <c r="M589" s="35" t="str">
        <f aca="false">IF(B589="","",IF(COUNTIFS(③回款收汇!$A$4:$A$203,B589,③回款收汇!$R$4:$R$203,"&gt;0")&gt;0,"已收汇","待收汇"))</f>
        <v/>
      </c>
      <c r="N589" s="41"/>
      <c r="O589" s="41"/>
      <c r="P589" s="35" t="str">
        <f aca="true">IF(N589="","",IF(O589="",IF(TODAY()-N589&gt;15,"已超15天未留存","待留存"),IF(O589-N589&lt;=15,"及时","超期")))</f>
        <v/>
      </c>
      <c r="Q589" s="43"/>
    </row>
    <row r="590" customFormat="false" ht="21.75" hidden="false" customHeight="true" outlineLevel="0" collapsed="false">
      <c r="A590" s="49"/>
      <c r="B590" s="48"/>
      <c r="C590" s="43"/>
      <c r="D590" s="44"/>
      <c r="E590" s="44"/>
      <c r="F590" s="36" t="str">
        <f aca="false">IF(OR(D590="",E590=""),"",IF(IFERROR(INDEX(①出口报关!$I$4:$I$303,MATCH(E590,①出口报关!$A$4:$A$303,0)),"")=D590,"一致","SKU与报关单不符"))</f>
        <v/>
      </c>
      <c r="G590" s="45"/>
      <c r="H590" s="45"/>
      <c r="I590" s="31" t="str">
        <f aca="false">IF(AND(G590="",H590=""),"",N(G590)-N(H590))</f>
        <v/>
      </c>
      <c r="J590" s="46"/>
      <c r="K590" s="46"/>
      <c r="L590" s="34" t="str">
        <f aca="false">IF(AND(J590="",K590=""),"",N(J590)-N(K590))</f>
        <v/>
      </c>
      <c r="M590" s="35" t="str">
        <f aca="false">IF(B590="","",IF(COUNTIFS(③回款收汇!$A$4:$A$203,B590,③回款收汇!$R$4:$R$203,"&gt;0")&gt;0,"已收汇","待收汇"))</f>
        <v/>
      </c>
      <c r="N590" s="41"/>
      <c r="O590" s="41"/>
      <c r="P590" s="35" t="str">
        <f aca="true">IF(N590="","",IF(O590="",IF(TODAY()-N590&gt;15,"已超15天未留存","待留存"),IF(O590-N590&lt;=15,"及时","超期")))</f>
        <v/>
      </c>
      <c r="Q590" s="43"/>
    </row>
    <row r="591" customFormat="false" ht="21.75" hidden="false" customHeight="true" outlineLevel="0" collapsed="false">
      <c r="A591" s="49"/>
      <c r="B591" s="48"/>
      <c r="C591" s="43"/>
      <c r="D591" s="44"/>
      <c r="E591" s="44"/>
      <c r="F591" s="36" t="str">
        <f aca="false">IF(OR(D591="",E591=""),"",IF(IFERROR(INDEX(①出口报关!$I$4:$I$303,MATCH(E591,①出口报关!$A$4:$A$303,0)),"")=D591,"一致","SKU与报关单不符"))</f>
        <v/>
      </c>
      <c r="G591" s="45"/>
      <c r="H591" s="45"/>
      <c r="I591" s="31" t="str">
        <f aca="false">IF(AND(G591="",H591=""),"",N(G591)-N(H591))</f>
        <v/>
      </c>
      <c r="J591" s="46"/>
      <c r="K591" s="46"/>
      <c r="L591" s="34" t="str">
        <f aca="false">IF(AND(J591="",K591=""),"",N(J591)-N(K591))</f>
        <v/>
      </c>
      <c r="M591" s="35" t="str">
        <f aca="false">IF(B591="","",IF(COUNTIFS(③回款收汇!$A$4:$A$203,B591,③回款收汇!$R$4:$R$203,"&gt;0")&gt;0,"已收汇","待收汇"))</f>
        <v/>
      </c>
      <c r="N591" s="41"/>
      <c r="O591" s="41"/>
      <c r="P591" s="35" t="str">
        <f aca="true">IF(N591="","",IF(O591="",IF(TODAY()-N591&gt;15,"已超15天未留存","待留存"),IF(O591-N591&lt;=15,"及时","超期")))</f>
        <v/>
      </c>
      <c r="Q591" s="43"/>
    </row>
    <row r="592" customFormat="false" ht="21.75" hidden="false" customHeight="true" outlineLevel="0" collapsed="false">
      <c r="A592" s="49"/>
      <c r="B592" s="48"/>
      <c r="C592" s="43"/>
      <c r="D592" s="44"/>
      <c r="E592" s="44"/>
      <c r="F592" s="36" t="str">
        <f aca="false">IF(OR(D592="",E592=""),"",IF(IFERROR(INDEX(①出口报关!$I$4:$I$303,MATCH(E592,①出口报关!$A$4:$A$303,0)),"")=D592,"一致","SKU与报关单不符"))</f>
        <v/>
      </c>
      <c r="G592" s="45"/>
      <c r="H592" s="45"/>
      <c r="I592" s="31" t="str">
        <f aca="false">IF(AND(G592="",H592=""),"",N(G592)-N(H592))</f>
        <v/>
      </c>
      <c r="J592" s="46"/>
      <c r="K592" s="46"/>
      <c r="L592" s="34" t="str">
        <f aca="false">IF(AND(J592="",K592=""),"",N(J592)-N(K592))</f>
        <v/>
      </c>
      <c r="M592" s="35" t="str">
        <f aca="false">IF(B592="","",IF(COUNTIFS(③回款收汇!$A$4:$A$203,B592,③回款收汇!$R$4:$R$203,"&gt;0")&gt;0,"已收汇","待收汇"))</f>
        <v/>
      </c>
      <c r="N592" s="41"/>
      <c r="O592" s="41"/>
      <c r="P592" s="35" t="str">
        <f aca="true">IF(N592="","",IF(O592="",IF(TODAY()-N592&gt;15,"已超15天未留存","待留存"),IF(O592-N592&lt;=15,"及时","超期")))</f>
        <v/>
      </c>
      <c r="Q592" s="43"/>
    </row>
    <row r="593" customFormat="false" ht="21.75" hidden="false" customHeight="true" outlineLevel="0" collapsed="false">
      <c r="A593" s="49"/>
      <c r="B593" s="48"/>
      <c r="C593" s="43"/>
      <c r="D593" s="44"/>
      <c r="E593" s="44"/>
      <c r="F593" s="36" t="str">
        <f aca="false">IF(OR(D593="",E593=""),"",IF(IFERROR(INDEX(①出口报关!$I$4:$I$303,MATCH(E593,①出口报关!$A$4:$A$303,0)),"")=D593,"一致","SKU与报关单不符"))</f>
        <v/>
      </c>
      <c r="G593" s="45"/>
      <c r="H593" s="45"/>
      <c r="I593" s="31" t="str">
        <f aca="false">IF(AND(G593="",H593=""),"",N(G593)-N(H593))</f>
        <v/>
      </c>
      <c r="J593" s="46"/>
      <c r="K593" s="46"/>
      <c r="L593" s="34" t="str">
        <f aca="false">IF(AND(J593="",K593=""),"",N(J593)-N(K593))</f>
        <v/>
      </c>
      <c r="M593" s="35" t="str">
        <f aca="false">IF(B593="","",IF(COUNTIFS(③回款收汇!$A$4:$A$203,B593,③回款收汇!$R$4:$R$203,"&gt;0")&gt;0,"已收汇","待收汇"))</f>
        <v/>
      </c>
      <c r="N593" s="41"/>
      <c r="O593" s="41"/>
      <c r="P593" s="35" t="str">
        <f aca="true">IF(N593="","",IF(O593="",IF(TODAY()-N593&gt;15,"已超15天未留存","待留存"),IF(O593-N593&lt;=15,"及时","超期")))</f>
        <v/>
      </c>
      <c r="Q593" s="43"/>
    </row>
    <row r="594" customFormat="false" ht="21.75" hidden="false" customHeight="true" outlineLevel="0" collapsed="false">
      <c r="A594" s="49"/>
      <c r="B594" s="48"/>
      <c r="C594" s="43"/>
      <c r="D594" s="44"/>
      <c r="E594" s="44"/>
      <c r="F594" s="36" t="str">
        <f aca="false">IF(OR(D594="",E594=""),"",IF(IFERROR(INDEX(①出口报关!$I$4:$I$303,MATCH(E594,①出口报关!$A$4:$A$303,0)),"")=D594,"一致","SKU与报关单不符"))</f>
        <v/>
      </c>
      <c r="G594" s="45"/>
      <c r="H594" s="45"/>
      <c r="I594" s="31" t="str">
        <f aca="false">IF(AND(G594="",H594=""),"",N(G594)-N(H594))</f>
        <v/>
      </c>
      <c r="J594" s="46"/>
      <c r="K594" s="46"/>
      <c r="L594" s="34" t="str">
        <f aca="false">IF(AND(J594="",K594=""),"",N(J594)-N(K594))</f>
        <v/>
      </c>
      <c r="M594" s="35" t="str">
        <f aca="false">IF(B594="","",IF(COUNTIFS(③回款收汇!$A$4:$A$203,B594,③回款收汇!$R$4:$R$203,"&gt;0")&gt;0,"已收汇","待收汇"))</f>
        <v/>
      </c>
      <c r="N594" s="41"/>
      <c r="O594" s="41"/>
      <c r="P594" s="35" t="str">
        <f aca="true">IF(N594="","",IF(O594="",IF(TODAY()-N594&gt;15,"已超15天未留存","待留存"),IF(O594-N594&lt;=15,"及时","超期")))</f>
        <v/>
      </c>
      <c r="Q594" s="43"/>
    </row>
    <row r="595" customFormat="false" ht="21.75" hidden="false" customHeight="true" outlineLevel="0" collapsed="false">
      <c r="A595" s="49"/>
      <c r="B595" s="48"/>
      <c r="C595" s="43"/>
      <c r="D595" s="44"/>
      <c r="E595" s="44"/>
      <c r="F595" s="36" t="str">
        <f aca="false">IF(OR(D595="",E595=""),"",IF(IFERROR(INDEX(①出口报关!$I$4:$I$303,MATCH(E595,①出口报关!$A$4:$A$303,0)),"")=D595,"一致","SKU与报关单不符"))</f>
        <v/>
      </c>
      <c r="G595" s="45"/>
      <c r="H595" s="45"/>
      <c r="I595" s="31" t="str">
        <f aca="false">IF(AND(G595="",H595=""),"",N(G595)-N(H595))</f>
        <v/>
      </c>
      <c r="J595" s="46"/>
      <c r="K595" s="46"/>
      <c r="L595" s="34" t="str">
        <f aca="false">IF(AND(J595="",K595=""),"",N(J595)-N(K595))</f>
        <v/>
      </c>
      <c r="M595" s="35" t="str">
        <f aca="false">IF(B595="","",IF(COUNTIFS(③回款收汇!$A$4:$A$203,B595,③回款收汇!$R$4:$R$203,"&gt;0")&gt;0,"已收汇","待收汇"))</f>
        <v/>
      </c>
      <c r="N595" s="41"/>
      <c r="O595" s="41"/>
      <c r="P595" s="35" t="str">
        <f aca="true">IF(N595="","",IF(O595="",IF(TODAY()-N595&gt;15,"已超15天未留存","待留存"),IF(O595-N595&lt;=15,"及时","超期")))</f>
        <v/>
      </c>
      <c r="Q595" s="43"/>
    </row>
    <row r="596" customFormat="false" ht="21.75" hidden="false" customHeight="true" outlineLevel="0" collapsed="false">
      <c r="A596" s="49"/>
      <c r="B596" s="48"/>
      <c r="C596" s="43"/>
      <c r="D596" s="44"/>
      <c r="E596" s="44"/>
      <c r="F596" s="36" t="str">
        <f aca="false">IF(OR(D596="",E596=""),"",IF(IFERROR(INDEX(①出口报关!$I$4:$I$303,MATCH(E596,①出口报关!$A$4:$A$303,0)),"")=D596,"一致","SKU与报关单不符"))</f>
        <v/>
      </c>
      <c r="G596" s="45"/>
      <c r="H596" s="45"/>
      <c r="I596" s="31" t="str">
        <f aca="false">IF(AND(G596="",H596=""),"",N(G596)-N(H596))</f>
        <v/>
      </c>
      <c r="J596" s="46"/>
      <c r="K596" s="46"/>
      <c r="L596" s="34" t="str">
        <f aca="false">IF(AND(J596="",K596=""),"",N(J596)-N(K596))</f>
        <v/>
      </c>
      <c r="M596" s="35" t="str">
        <f aca="false">IF(B596="","",IF(COUNTIFS(③回款收汇!$A$4:$A$203,B596,③回款收汇!$R$4:$R$203,"&gt;0")&gt;0,"已收汇","待收汇"))</f>
        <v/>
      </c>
      <c r="N596" s="41"/>
      <c r="O596" s="41"/>
      <c r="P596" s="35" t="str">
        <f aca="true">IF(N596="","",IF(O596="",IF(TODAY()-N596&gt;15,"已超15天未留存","待留存"),IF(O596-N596&lt;=15,"及时","超期")))</f>
        <v/>
      </c>
      <c r="Q596" s="43"/>
    </row>
    <row r="597" customFormat="false" ht="21.75" hidden="false" customHeight="true" outlineLevel="0" collapsed="false">
      <c r="A597" s="49"/>
      <c r="B597" s="48"/>
      <c r="C597" s="43"/>
      <c r="D597" s="44"/>
      <c r="E597" s="44"/>
      <c r="F597" s="36" t="str">
        <f aca="false">IF(OR(D597="",E597=""),"",IF(IFERROR(INDEX(①出口报关!$I$4:$I$303,MATCH(E597,①出口报关!$A$4:$A$303,0)),"")=D597,"一致","SKU与报关单不符"))</f>
        <v/>
      </c>
      <c r="G597" s="45"/>
      <c r="H597" s="45"/>
      <c r="I597" s="31" t="str">
        <f aca="false">IF(AND(G597="",H597=""),"",N(G597)-N(H597))</f>
        <v/>
      </c>
      <c r="J597" s="46"/>
      <c r="K597" s="46"/>
      <c r="L597" s="34" t="str">
        <f aca="false">IF(AND(J597="",K597=""),"",N(J597)-N(K597))</f>
        <v/>
      </c>
      <c r="M597" s="35" t="str">
        <f aca="false">IF(B597="","",IF(COUNTIFS(③回款收汇!$A$4:$A$203,B597,③回款收汇!$R$4:$R$203,"&gt;0")&gt;0,"已收汇","待收汇"))</f>
        <v/>
      </c>
      <c r="N597" s="41"/>
      <c r="O597" s="41"/>
      <c r="P597" s="35" t="str">
        <f aca="true">IF(N597="","",IF(O597="",IF(TODAY()-N597&gt;15,"已超15天未留存","待留存"),IF(O597-N597&lt;=15,"及时","超期")))</f>
        <v/>
      </c>
      <c r="Q597" s="43"/>
    </row>
    <row r="598" customFormat="false" ht="21.75" hidden="false" customHeight="true" outlineLevel="0" collapsed="false">
      <c r="A598" s="49"/>
      <c r="B598" s="48"/>
      <c r="C598" s="43"/>
      <c r="D598" s="44"/>
      <c r="E598" s="44"/>
      <c r="F598" s="36" t="str">
        <f aca="false">IF(OR(D598="",E598=""),"",IF(IFERROR(INDEX(①出口报关!$I$4:$I$303,MATCH(E598,①出口报关!$A$4:$A$303,0)),"")=D598,"一致","SKU与报关单不符"))</f>
        <v/>
      </c>
      <c r="G598" s="45"/>
      <c r="H598" s="45"/>
      <c r="I598" s="31" t="str">
        <f aca="false">IF(AND(G598="",H598=""),"",N(G598)-N(H598))</f>
        <v/>
      </c>
      <c r="J598" s="46"/>
      <c r="K598" s="46"/>
      <c r="L598" s="34" t="str">
        <f aca="false">IF(AND(J598="",K598=""),"",N(J598)-N(K598))</f>
        <v/>
      </c>
      <c r="M598" s="35" t="str">
        <f aca="false">IF(B598="","",IF(COUNTIFS(③回款收汇!$A$4:$A$203,B598,③回款收汇!$R$4:$R$203,"&gt;0")&gt;0,"已收汇","待收汇"))</f>
        <v/>
      </c>
      <c r="N598" s="41"/>
      <c r="O598" s="41"/>
      <c r="P598" s="35" t="str">
        <f aca="true">IF(N598="","",IF(O598="",IF(TODAY()-N598&gt;15,"已超15天未留存","待留存"),IF(O598-N598&lt;=15,"及时","超期")))</f>
        <v/>
      </c>
      <c r="Q598" s="43"/>
    </row>
    <row r="599" customFormat="false" ht="21.75" hidden="false" customHeight="true" outlineLevel="0" collapsed="false">
      <c r="A599" s="49"/>
      <c r="B599" s="48"/>
      <c r="C599" s="43"/>
      <c r="D599" s="44"/>
      <c r="E599" s="44"/>
      <c r="F599" s="36" t="str">
        <f aca="false">IF(OR(D599="",E599=""),"",IF(IFERROR(INDEX(①出口报关!$I$4:$I$303,MATCH(E599,①出口报关!$A$4:$A$303,0)),"")=D599,"一致","SKU与报关单不符"))</f>
        <v/>
      </c>
      <c r="G599" s="45"/>
      <c r="H599" s="45"/>
      <c r="I599" s="31" t="str">
        <f aca="false">IF(AND(G599="",H599=""),"",N(G599)-N(H599))</f>
        <v/>
      </c>
      <c r="J599" s="46"/>
      <c r="K599" s="46"/>
      <c r="L599" s="34" t="str">
        <f aca="false">IF(AND(J599="",K599=""),"",N(J599)-N(K599))</f>
        <v/>
      </c>
      <c r="M599" s="35" t="str">
        <f aca="false">IF(B599="","",IF(COUNTIFS(③回款收汇!$A$4:$A$203,B599,③回款收汇!$R$4:$R$203,"&gt;0")&gt;0,"已收汇","待收汇"))</f>
        <v/>
      </c>
      <c r="N599" s="41"/>
      <c r="O599" s="41"/>
      <c r="P599" s="35" t="str">
        <f aca="true">IF(N599="","",IF(O599="",IF(TODAY()-N599&gt;15,"已超15天未留存","待留存"),IF(O599-N599&lt;=15,"及时","超期")))</f>
        <v/>
      </c>
      <c r="Q599" s="43"/>
    </row>
    <row r="600" customFormat="false" ht="21.75" hidden="false" customHeight="true" outlineLevel="0" collapsed="false">
      <c r="A600" s="49"/>
      <c r="B600" s="48"/>
      <c r="C600" s="43"/>
      <c r="D600" s="44"/>
      <c r="E600" s="44"/>
      <c r="F600" s="36" t="str">
        <f aca="false">IF(OR(D600="",E600=""),"",IF(IFERROR(INDEX(①出口报关!$I$4:$I$303,MATCH(E600,①出口报关!$A$4:$A$303,0)),"")=D600,"一致","SKU与报关单不符"))</f>
        <v/>
      </c>
      <c r="G600" s="45"/>
      <c r="H600" s="45"/>
      <c r="I600" s="31" t="str">
        <f aca="false">IF(AND(G600="",H600=""),"",N(G600)-N(H600))</f>
        <v/>
      </c>
      <c r="J600" s="46"/>
      <c r="K600" s="46"/>
      <c r="L600" s="34" t="str">
        <f aca="false">IF(AND(J600="",K600=""),"",N(J600)-N(K600))</f>
        <v/>
      </c>
      <c r="M600" s="35" t="str">
        <f aca="false">IF(B600="","",IF(COUNTIFS(③回款收汇!$A$4:$A$203,B600,③回款收汇!$R$4:$R$203,"&gt;0")&gt;0,"已收汇","待收汇"))</f>
        <v/>
      </c>
      <c r="N600" s="41"/>
      <c r="O600" s="41"/>
      <c r="P600" s="35" t="str">
        <f aca="true">IF(N600="","",IF(O600="",IF(TODAY()-N600&gt;15,"已超15天未留存","待留存"),IF(O600-N600&lt;=15,"及时","超期")))</f>
        <v/>
      </c>
      <c r="Q600" s="43"/>
    </row>
    <row r="601" customFormat="false" ht="21.75" hidden="false" customHeight="true" outlineLevel="0" collapsed="false">
      <c r="A601" s="49"/>
      <c r="B601" s="48"/>
      <c r="C601" s="43"/>
      <c r="D601" s="44"/>
      <c r="E601" s="44"/>
      <c r="F601" s="36" t="str">
        <f aca="false">IF(OR(D601="",E601=""),"",IF(IFERROR(INDEX(①出口报关!$I$4:$I$303,MATCH(E601,①出口报关!$A$4:$A$303,0)),"")=D601,"一致","SKU与报关单不符"))</f>
        <v/>
      </c>
      <c r="G601" s="45"/>
      <c r="H601" s="45"/>
      <c r="I601" s="31" t="str">
        <f aca="false">IF(AND(G601="",H601=""),"",N(G601)-N(H601))</f>
        <v/>
      </c>
      <c r="J601" s="46"/>
      <c r="K601" s="46"/>
      <c r="L601" s="34" t="str">
        <f aca="false">IF(AND(J601="",K601=""),"",N(J601)-N(K601))</f>
        <v/>
      </c>
      <c r="M601" s="35" t="str">
        <f aca="false">IF(B601="","",IF(COUNTIFS(③回款收汇!$A$4:$A$203,B601,③回款收汇!$R$4:$R$203,"&gt;0")&gt;0,"已收汇","待收汇"))</f>
        <v/>
      </c>
      <c r="N601" s="41"/>
      <c r="O601" s="41"/>
      <c r="P601" s="35" t="str">
        <f aca="true">IF(N601="","",IF(O601="",IF(TODAY()-N601&gt;15,"已超15天未留存","待留存"),IF(O601-N601&lt;=15,"及时","超期")))</f>
        <v/>
      </c>
      <c r="Q601" s="43"/>
    </row>
    <row r="602" customFormat="false" ht="21.75" hidden="false" customHeight="true" outlineLevel="0" collapsed="false">
      <c r="A602" s="49"/>
      <c r="B602" s="48"/>
      <c r="C602" s="43"/>
      <c r="D602" s="44"/>
      <c r="E602" s="44"/>
      <c r="F602" s="36" t="str">
        <f aca="false">IF(OR(D602="",E602=""),"",IF(IFERROR(INDEX(①出口报关!$I$4:$I$303,MATCH(E602,①出口报关!$A$4:$A$303,0)),"")=D602,"一致","SKU与报关单不符"))</f>
        <v/>
      </c>
      <c r="G602" s="45"/>
      <c r="H602" s="45"/>
      <c r="I602" s="31" t="str">
        <f aca="false">IF(AND(G602="",H602=""),"",N(G602)-N(H602))</f>
        <v/>
      </c>
      <c r="J602" s="46"/>
      <c r="K602" s="46"/>
      <c r="L602" s="34" t="str">
        <f aca="false">IF(AND(J602="",K602=""),"",N(J602)-N(K602))</f>
        <v/>
      </c>
      <c r="M602" s="35" t="str">
        <f aca="false">IF(B602="","",IF(COUNTIFS(③回款收汇!$A$4:$A$203,B602,③回款收汇!$R$4:$R$203,"&gt;0")&gt;0,"已收汇","待收汇"))</f>
        <v/>
      </c>
      <c r="N602" s="41"/>
      <c r="O602" s="41"/>
      <c r="P602" s="35" t="str">
        <f aca="true">IF(N602="","",IF(O602="",IF(TODAY()-N602&gt;15,"已超15天未留存","待留存"),IF(O602-N602&lt;=15,"及时","超期")))</f>
        <v/>
      </c>
      <c r="Q602" s="43"/>
    </row>
    <row r="603" customFormat="false" ht="21.75" hidden="false" customHeight="true" outlineLevel="0" collapsed="false">
      <c r="A603" s="49"/>
      <c r="B603" s="48"/>
      <c r="C603" s="43"/>
      <c r="D603" s="44"/>
      <c r="E603" s="44"/>
      <c r="F603" s="36" t="str">
        <f aca="false">IF(OR(D603="",E603=""),"",IF(IFERROR(INDEX(①出口报关!$I$4:$I$303,MATCH(E603,①出口报关!$A$4:$A$303,0)),"")=D603,"一致","SKU与报关单不符"))</f>
        <v/>
      </c>
      <c r="G603" s="45"/>
      <c r="H603" s="45"/>
      <c r="I603" s="31" t="str">
        <f aca="false">IF(AND(G603="",H603=""),"",N(G603)-N(H603))</f>
        <v/>
      </c>
      <c r="J603" s="46"/>
      <c r="K603" s="46"/>
      <c r="L603" s="34" t="str">
        <f aca="false">IF(AND(J603="",K603=""),"",N(J603)-N(K603))</f>
        <v/>
      </c>
      <c r="M603" s="35" t="str">
        <f aca="false">IF(B603="","",IF(COUNTIFS(③回款收汇!$A$4:$A$203,B603,③回款收汇!$R$4:$R$203,"&gt;0")&gt;0,"已收汇","待收汇"))</f>
        <v/>
      </c>
      <c r="N603" s="41"/>
      <c r="O603" s="41"/>
      <c r="P603" s="35" t="str">
        <f aca="true">IF(N603="","",IF(O603="",IF(TODAY()-N603&gt;15,"已超15天未留存","待留存"),IF(O603-N603&lt;=15,"及时","超期")))</f>
        <v/>
      </c>
      <c r="Q603" s="43"/>
    </row>
  </sheetData>
  <mergeCells count="1">
    <mergeCell ref="A2:Q2"/>
  </mergeCells>
  <conditionalFormatting sqref="F4:F603">
    <cfRule type="expression" priority="2" aboveAverage="0" equalAverage="0" bottom="0" percent="0" rank="0" text="" dxfId="0">
      <formula>OR(ISNUMBER(SEARCH("逾期",F4)),ISNUMBER(SEARCH("超期",F4)),ISNUMBER(SEARCH("缺",F4)),ISNUMBER(SEARCH("未收汇",F4)),ISNUMBER(SEARCH("不符",F4)),ISNUMBER(SEARCH("未建档",F4)),ISNUMBER(SEARCH("超过",F4)),ISNUMBER(SEARCH("未登记",F4)),ISNUMBER(SEARCH("不存在",F4)),ISNUMBER(SEARCH("差异",F4)))</formula>
    </cfRule>
    <cfRule type="expression" priority="3" aboveAverage="0" equalAverage="0" bottom="0" percent="0" rank="0" text="" dxfId="2">
      <formula>OR(ISNUMBER(SEARCH("临近",F4)),ISNUMBER(SEARCH("仍未销售",F4)),ISNUMBER(SEARCH("需要调整",F4)),ISNUMBER(SEARCH("待",F4)),ISNUMBER(SEARCH("尚未",F4)),ISNUMBER(SEARCH("请选择",F4)),ISNUMBER(SEARCH("未签收",F4)))</formula>
    </cfRule>
    <cfRule type="expression" priority="4" aboveAverage="0" equalAverage="0" bottom="0" percent="0" rank="0" text="" dxfId="3">
      <formula>OR(ISNUMBER(SEARCH("已收汇",F4)),ISNUMBER(SEARCH("及时",F4)),ISNUMBER(SEARCH("按时",F4)),ISNUMBER(SEARCH("齐全",F4)),ISNUMBER(SEARCH("已核算",F4)),F4="正常",F4="一致",ISNUMBER(SEARCH("无需调整",F4)))</formula>
    </cfRule>
  </conditionalFormatting>
  <conditionalFormatting sqref="M4:M603">
    <cfRule type="expression" priority="5" aboveAverage="0" equalAverage="0" bottom="0" percent="0" rank="0" text="" dxfId="0">
      <formula>OR(ISNUMBER(SEARCH("逾期",M4)),ISNUMBER(SEARCH("超期",M4)),ISNUMBER(SEARCH("缺",M4)),ISNUMBER(SEARCH("未收汇",M4)),ISNUMBER(SEARCH("不符",M4)),ISNUMBER(SEARCH("未建档",M4)),ISNUMBER(SEARCH("超过",M4)),ISNUMBER(SEARCH("未登记",M4)),ISNUMBER(SEARCH("不存在",M4)),ISNUMBER(SEARCH("差异",M4)))</formula>
    </cfRule>
    <cfRule type="expression" priority="6" aboveAverage="0" equalAverage="0" bottom="0" percent="0" rank="0" text="" dxfId="2">
      <formula>OR(ISNUMBER(SEARCH("临近",M4)),ISNUMBER(SEARCH("仍未销售",M4)),ISNUMBER(SEARCH("需要调整",M4)),ISNUMBER(SEARCH("待",M4)),ISNUMBER(SEARCH("尚未",M4)),ISNUMBER(SEARCH("请选择",M4)),ISNUMBER(SEARCH("未签收",M4)))</formula>
    </cfRule>
    <cfRule type="expression" priority="7" aboveAverage="0" equalAverage="0" bottom="0" percent="0" rank="0" text="" dxfId="3">
      <formula>OR(ISNUMBER(SEARCH("已收汇",M4)),ISNUMBER(SEARCH("及时",M4)),ISNUMBER(SEARCH("按时",M4)),ISNUMBER(SEARCH("齐全",M4)),ISNUMBER(SEARCH("已核算",M4)),M4="正常",M4="一致",ISNUMBER(SEARCH("无需调整",M4)))</formula>
    </cfRule>
  </conditionalFormatting>
  <conditionalFormatting sqref="P4:P603">
    <cfRule type="expression" priority="8" aboveAverage="0" equalAverage="0" bottom="0" percent="0" rank="0" text="" dxfId="0">
      <formula>OR(ISNUMBER(SEARCH("逾期",P4)),ISNUMBER(SEARCH("超期",P4)),ISNUMBER(SEARCH("缺",P4)),ISNUMBER(SEARCH("未收汇",P4)),ISNUMBER(SEARCH("不符",P4)),ISNUMBER(SEARCH("未建档",P4)),ISNUMBER(SEARCH("超过",P4)),ISNUMBER(SEARCH("未登记",P4)),ISNUMBER(SEARCH("不存在",P4)),ISNUMBER(SEARCH("差异",P4)))</formula>
    </cfRule>
    <cfRule type="expression" priority="9" aboveAverage="0" equalAverage="0" bottom="0" percent="0" rank="0" text="" dxfId="2">
      <formula>OR(ISNUMBER(SEARCH("临近",P4)),ISNUMBER(SEARCH("仍未销售",P4)),ISNUMBER(SEARCH("需要调整",P4)),ISNUMBER(SEARCH("待",P4)),ISNUMBER(SEARCH("尚未",P4)),ISNUMBER(SEARCH("请选择",P4)),ISNUMBER(SEARCH("未签收",P4)))</formula>
    </cfRule>
    <cfRule type="expression" priority="10" aboveAverage="0" equalAverage="0" bottom="0" percent="0" rank="0" text="" dxfId="3">
      <formula>OR(ISNUMBER(SEARCH("已收汇",P4)),ISNUMBER(SEARCH("及时",P4)),ISNUMBER(SEARCH("按时",P4)),ISNUMBER(SEARCH("齐全",P4)),ISNUMBER(SEARCH("已核算",P4)),P4="正常",P4="一致",ISNUMBER(SEARCH("无需调整",P4)))</formula>
    </cfRule>
  </conditionalFormatting>
  <dataValidations count="3">
    <dataValidation allowBlank="true" errorStyle="stop" operator="between" showDropDown="false" showErrorMessage="false" showInputMessage="false" sqref="C4:C603" type="list">
      <formula1>参数表!$K$13:$K$40</formula1>
      <formula2>0</formula2>
    </dataValidation>
    <dataValidation allowBlank="true" error="请从下拉列表中选择，或先在参数表/出口报关中登记。" errorStyle="stop" errorTitle="请从下拉中选择" operator="between" showDropDown="false" showErrorMessage="true" showInputMessage="false" sqref="D4:D603" type="list">
      <formula1>参数表!$A$13:$A$212</formula1>
      <formula2>0</formula2>
    </dataValidation>
    <dataValidation allowBlank="true" error="请从下拉列表中选择，或先在参数表/出口报关中登记。" errorStyle="stop" errorTitle="请从下拉中选择" operator="between" showDropDown="false" showErrorMessage="true" showInputMessage="false" sqref="E4:E603" type="list">
      <formula1>①出口报关!$A$4:$A$303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6C8"/>
    <pageSetUpPr fitToPage="true"/>
  </sheetPr>
  <dimension ref="A1:Z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6" min="4" style="0" width="12"/>
    <col collapsed="false" customWidth="true" hidden="false" outlineLevel="0" max="8" min="7" style="0" width="11"/>
    <col collapsed="false" customWidth="true" hidden="false" outlineLevel="0" max="12" min="9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21" min="19" style="0" width="12"/>
    <col collapsed="false" customWidth="true" hidden="false" outlineLevel="0" max="22" min="22" style="0" width="9"/>
    <col collapsed="false" customWidth="true" hidden="false" outlineLevel="0" max="23" min="23" style="0" width="13"/>
    <col collapsed="false" customWidth="true" hidden="false" outlineLevel="0" max="24" min="24" style="0" width="11"/>
    <col collapsed="false" customWidth="true" hidden="false" outlineLevel="0" max="25" min="25" style="0" width="14"/>
    <col collapsed="false" customWidth="true" hidden="false" outlineLevel="0" max="26" min="26" style="0" width="12"/>
  </cols>
  <sheetData>
    <row r="1" customFormat="false" ht="36" hidden="false" customHeight="true" outlineLevel="0" collapsed="false">
      <c r="A1" s="23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3.75" hidden="false" customHeight="true" outlineLevel="0" collapsed="false">
      <c r="A2" s="22" t="s">
        <v>205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61.5" hidden="false" customHeight="true" outlineLevel="0" collapsed="false">
      <c r="A3" s="37" t="s">
        <v>186</v>
      </c>
      <c r="B3" s="37" t="s">
        <v>148</v>
      </c>
      <c r="C3" s="37" t="s">
        <v>153</v>
      </c>
      <c r="D3" s="37" t="s">
        <v>206</v>
      </c>
      <c r="E3" s="37" t="s">
        <v>207</v>
      </c>
      <c r="F3" s="37" t="s">
        <v>208</v>
      </c>
      <c r="G3" s="37" t="s">
        <v>209</v>
      </c>
      <c r="H3" s="38" t="s">
        <v>210</v>
      </c>
      <c r="I3" s="37" t="s">
        <v>211</v>
      </c>
      <c r="J3" s="37" t="s">
        <v>212</v>
      </c>
      <c r="K3" s="37" t="s">
        <v>213</v>
      </c>
      <c r="L3" s="37" t="s">
        <v>214</v>
      </c>
      <c r="M3" s="27" t="s">
        <v>215</v>
      </c>
      <c r="N3" s="27" t="s">
        <v>216</v>
      </c>
      <c r="O3" s="27" t="s">
        <v>217</v>
      </c>
      <c r="P3" s="37" t="s">
        <v>218</v>
      </c>
      <c r="Q3" s="37" t="s">
        <v>219</v>
      </c>
      <c r="R3" s="37" t="s">
        <v>220</v>
      </c>
      <c r="S3" s="37" t="s">
        <v>221</v>
      </c>
      <c r="T3" s="37" t="s">
        <v>222</v>
      </c>
      <c r="U3" s="37" t="s">
        <v>223</v>
      </c>
      <c r="V3" s="37" t="s">
        <v>224</v>
      </c>
      <c r="W3" s="27" t="s">
        <v>225</v>
      </c>
      <c r="X3" s="37" t="s">
        <v>226</v>
      </c>
      <c r="Y3" s="37" t="s">
        <v>227</v>
      </c>
      <c r="Z3" s="37" t="s">
        <v>168</v>
      </c>
    </row>
    <row r="4" customFormat="false" ht="21.75" hidden="false" customHeight="true" outlineLevel="0" collapsed="false">
      <c r="A4" s="48" t="s">
        <v>199</v>
      </c>
      <c r="B4" s="43" t="s">
        <v>172</v>
      </c>
      <c r="C4" s="40" t="s">
        <v>175</v>
      </c>
      <c r="D4" s="41" t="n">
        <v>46143</v>
      </c>
      <c r="E4" s="41" t="n">
        <v>46173</v>
      </c>
      <c r="F4" s="46" t="n">
        <v>16995</v>
      </c>
      <c r="G4" s="46" t="n">
        <v>2549.25</v>
      </c>
      <c r="H4" s="46" t="n">
        <v>3150</v>
      </c>
      <c r="I4" s="46" t="n">
        <v>300</v>
      </c>
      <c r="J4" s="46" t="n">
        <v>700</v>
      </c>
      <c r="K4" s="46" t="n">
        <v>0</v>
      </c>
      <c r="L4" s="46" t="n">
        <v>100.75</v>
      </c>
      <c r="M4" s="34" t="n">
        <f aca="false">IF(F4="","",F4-N(G4)-N(H4)-N(I4)-N(J4)-N(K4)-N(L4))</f>
        <v>10195</v>
      </c>
      <c r="N4" s="34" t="n">
        <f aca="false">IF(A4="","",SUMIFS(②销售核销!$L$4:$L$603,②销售核销!$B$4:$B$603,A4))</f>
        <v>10195</v>
      </c>
      <c r="O4" s="34" t="n">
        <f aca="false">IF(OR(M4="",N4=""),"",ROUND(M4-N4,2))</f>
        <v>0</v>
      </c>
      <c r="P4" s="43" t="s">
        <v>228</v>
      </c>
      <c r="Q4" s="41" t="n">
        <v>46176</v>
      </c>
      <c r="R4" s="41" t="n">
        <v>46178</v>
      </c>
      <c r="S4" s="43" t="s">
        <v>229</v>
      </c>
      <c r="T4" s="46" t="n">
        <v>10195</v>
      </c>
      <c r="U4" s="41" t="n">
        <v>46179</v>
      </c>
      <c r="V4" s="47" t="n">
        <v>7.12</v>
      </c>
      <c r="W4" s="34" t="n">
        <f aca="false">IF(OR(T4="",V4=""),"",ROUND(T4*V4,2))</f>
        <v>72588.4</v>
      </c>
      <c r="X4" s="50" t="s">
        <v>230</v>
      </c>
      <c r="Y4" s="48" t="s">
        <v>231</v>
      </c>
      <c r="Z4" s="43" t="s">
        <v>180</v>
      </c>
    </row>
    <row r="5" customFormat="false" ht="21.75" hidden="false" customHeight="true" outlineLevel="0" collapsed="false">
      <c r="A5" s="48" t="s">
        <v>202</v>
      </c>
      <c r="B5" s="43" t="s">
        <v>172</v>
      </c>
      <c r="C5" s="40" t="s">
        <v>175</v>
      </c>
      <c r="D5" s="41" t="n">
        <v>46174</v>
      </c>
      <c r="E5" s="41" t="n">
        <v>46203</v>
      </c>
      <c r="F5" s="46" t="n">
        <v>11996</v>
      </c>
      <c r="G5" s="46" t="n">
        <v>1799.4</v>
      </c>
      <c r="H5" s="46" t="n">
        <v>2200</v>
      </c>
      <c r="I5" s="46" t="n">
        <v>250</v>
      </c>
      <c r="J5" s="46" t="n">
        <v>450</v>
      </c>
      <c r="K5" s="46" t="n">
        <v>0</v>
      </c>
      <c r="L5" s="46" t="n">
        <v>100.6</v>
      </c>
      <c r="M5" s="34" t="n">
        <f aca="false">IF(F5="","",F5-N(G5)-N(H5)-N(I5)-N(J5)-N(K5)-N(L5))</f>
        <v>7196</v>
      </c>
      <c r="N5" s="34" t="n">
        <f aca="false">IF(A5="","",SUMIFS(②销售核销!$L$4:$L$603,②销售核销!$B$4:$B$603,A5))</f>
        <v>7196</v>
      </c>
      <c r="O5" s="34" t="n">
        <f aca="false">IF(OR(M5="",N5=""),"",ROUND(M5-N5,2))</f>
        <v>0</v>
      </c>
      <c r="P5" s="43" t="s">
        <v>228</v>
      </c>
      <c r="Q5" s="41" t="n">
        <v>46206</v>
      </c>
      <c r="R5" s="41"/>
      <c r="S5" s="43"/>
      <c r="T5" s="46"/>
      <c r="U5" s="41"/>
      <c r="V5" s="47"/>
      <c r="W5" s="34" t="str">
        <f aca="false">IF(OR(T5="",V5=""),"",ROUND(T5*V5,2))</f>
        <v/>
      </c>
      <c r="X5" s="50"/>
      <c r="Y5" s="48"/>
      <c r="Z5" s="43" t="s">
        <v>232</v>
      </c>
    </row>
    <row r="6" customFormat="false" ht="21.75" hidden="false" customHeight="true" outlineLevel="0" collapsed="false">
      <c r="A6" s="48"/>
      <c r="B6" s="43"/>
      <c r="C6" s="40"/>
      <c r="D6" s="41"/>
      <c r="E6" s="41"/>
      <c r="F6" s="46"/>
      <c r="G6" s="46"/>
      <c r="H6" s="46"/>
      <c r="I6" s="46"/>
      <c r="J6" s="46"/>
      <c r="K6" s="46"/>
      <c r="L6" s="46"/>
      <c r="M6" s="34" t="str">
        <f aca="false">IF(F6="","",F6-N(G6)-N(H6)-N(I6)-N(J6)-N(K6)-N(L6))</f>
        <v/>
      </c>
      <c r="N6" s="34" t="str">
        <f aca="false">IF(A6="","",SUMIFS(②销售核销!$L$4:$L$603,②销售核销!$B$4:$B$603,A6))</f>
        <v/>
      </c>
      <c r="O6" s="34" t="str">
        <f aca="false">IF(OR(M6="",N6=""),"",ROUND(M6-N6,2))</f>
        <v/>
      </c>
      <c r="P6" s="43"/>
      <c r="Q6" s="41"/>
      <c r="R6" s="41"/>
      <c r="S6" s="43"/>
      <c r="T6" s="46"/>
      <c r="U6" s="41"/>
      <c r="V6" s="47"/>
      <c r="W6" s="34" t="str">
        <f aca="false">IF(OR(T6="",V6=""),"",ROUND(T6*V6,2))</f>
        <v/>
      </c>
      <c r="X6" s="50"/>
      <c r="Y6" s="48"/>
      <c r="Z6" s="43"/>
    </row>
    <row r="7" customFormat="false" ht="21.75" hidden="false" customHeight="true" outlineLevel="0" collapsed="false">
      <c r="A7" s="48"/>
      <c r="B7" s="43"/>
      <c r="C7" s="40"/>
      <c r="D7" s="41"/>
      <c r="E7" s="41"/>
      <c r="F7" s="46"/>
      <c r="G7" s="46"/>
      <c r="H7" s="46"/>
      <c r="I7" s="46"/>
      <c r="J7" s="46"/>
      <c r="K7" s="46"/>
      <c r="L7" s="46"/>
      <c r="M7" s="34" t="str">
        <f aca="false">IF(F7="","",F7-N(G7)-N(H7)-N(I7)-N(J7)-N(K7)-N(L7))</f>
        <v/>
      </c>
      <c r="N7" s="34" t="str">
        <f aca="false">IF(A7="","",SUMIFS(②销售核销!$L$4:$L$603,②销售核销!$B$4:$B$603,A7))</f>
        <v/>
      </c>
      <c r="O7" s="34" t="str">
        <f aca="false">IF(OR(M7="",N7=""),"",ROUND(M7-N7,2))</f>
        <v/>
      </c>
      <c r="P7" s="43"/>
      <c r="Q7" s="41"/>
      <c r="R7" s="41"/>
      <c r="S7" s="43"/>
      <c r="T7" s="46"/>
      <c r="U7" s="41"/>
      <c r="V7" s="47"/>
      <c r="W7" s="34" t="str">
        <f aca="false">IF(OR(T7="",V7=""),"",ROUND(T7*V7,2))</f>
        <v/>
      </c>
      <c r="X7" s="50"/>
      <c r="Y7" s="48"/>
      <c r="Z7" s="43"/>
    </row>
    <row r="8" customFormat="false" ht="21.75" hidden="false" customHeight="true" outlineLevel="0" collapsed="false">
      <c r="A8" s="48"/>
      <c r="B8" s="43"/>
      <c r="C8" s="40"/>
      <c r="D8" s="41"/>
      <c r="E8" s="41"/>
      <c r="F8" s="46"/>
      <c r="G8" s="46"/>
      <c r="H8" s="46"/>
      <c r="I8" s="46"/>
      <c r="J8" s="46"/>
      <c r="K8" s="46"/>
      <c r="L8" s="46"/>
      <c r="M8" s="34" t="str">
        <f aca="false">IF(F8="","",F8-N(G8)-N(H8)-N(I8)-N(J8)-N(K8)-N(L8))</f>
        <v/>
      </c>
      <c r="N8" s="34" t="str">
        <f aca="false">IF(A8="","",SUMIFS(②销售核销!$L$4:$L$603,②销售核销!$B$4:$B$603,A8))</f>
        <v/>
      </c>
      <c r="O8" s="34" t="str">
        <f aca="false">IF(OR(M8="",N8=""),"",ROUND(M8-N8,2))</f>
        <v/>
      </c>
      <c r="P8" s="43"/>
      <c r="Q8" s="41"/>
      <c r="R8" s="41"/>
      <c r="S8" s="43"/>
      <c r="T8" s="46"/>
      <c r="U8" s="41"/>
      <c r="V8" s="47"/>
      <c r="W8" s="34" t="str">
        <f aca="false">IF(OR(T8="",V8=""),"",ROUND(T8*V8,2))</f>
        <v/>
      </c>
      <c r="X8" s="50"/>
      <c r="Y8" s="48"/>
      <c r="Z8" s="43"/>
    </row>
    <row r="9" customFormat="false" ht="21.75" hidden="false" customHeight="true" outlineLevel="0" collapsed="false">
      <c r="A9" s="48"/>
      <c r="B9" s="43"/>
      <c r="C9" s="40"/>
      <c r="D9" s="41"/>
      <c r="E9" s="41"/>
      <c r="F9" s="46"/>
      <c r="G9" s="46"/>
      <c r="H9" s="46"/>
      <c r="I9" s="46"/>
      <c r="J9" s="46"/>
      <c r="K9" s="46"/>
      <c r="L9" s="46"/>
      <c r="M9" s="34" t="str">
        <f aca="false">IF(F9="","",F9-N(G9)-N(H9)-N(I9)-N(J9)-N(K9)-N(L9))</f>
        <v/>
      </c>
      <c r="N9" s="34" t="str">
        <f aca="false">IF(A9="","",SUMIFS(②销售核销!$L$4:$L$603,②销售核销!$B$4:$B$603,A9))</f>
        <v/>
      </c>
      <c r="O9" s="34" t="str">
        <f aca="false">IF(OR(M9="",N9=""),"",ROUND(M9-N9,2))</f>
        <v/>
      </c>
      <c r="P9" s="43"/>
      <c r="Q9" s="41"/>
      <c r="R9" s="41"/>
      <c r="S9" s="43"/>
      <c r="T9" s="46"/>
      <c r="U9" s="41"/>
      <c r="V9" s="47"/>
      <c r="W9" s="34" t="str">
        <f aca="false">IF(OR(T9="",V9=""),"",ROUND(T9*V9,2))</f>
        <v/>
      </c>
      <c r="X9" s="50"/>
      <c r="Y9" s="48"/>
      <c r="Z9" s="43"/>
    </row>
    <row r="10" customFormat="false" ht="21.75" hidden="false" customHeight="true" outlineLevel="0" collapsed="false">
      <c r="A10" s="48"/>
      <c r="B10" s="43"/>
      <c r="C10" s="40"/>
      <c r="D10" s="41"/>
      <c r="E10" s="41"/>
      <c r="F10" s="46"/>
      <c r="G10" s="46"/>
      <c r="H10" s="46"/>
      <c r="I10" s="46"/>
      <c r="J10" s="46"/>
      <c r="K10" s="46"/>
      <c r="L10" s="46"/>
      <c r="M10" s="34" t="str">
        <f aca="false">IF(F10="","",F10-N(G10)-N(H10)-N(I10)-N(J10)-N(K10)-N(L10))</f>
        <v/>
      </c>
      <c r="N10" s="34" t="str">
        <f aca="false">IF(A10="","",SUMIFS(②销售核销!$L$4:$L$603,②销售核销!$B$4:$B$603,A10))</f>
        <v/>
      </c>
      <c r="O10" s="34" t="str">
        <f aca="false">IF(OR(M10="",N10=""),"",ROUND(M10-N10,2))</f>
        <v/>
      </c>
      <c r="P10" s="43"/>
      <c r="Q10" s="41"/>
      <c r="R10" s="41"/>
      <c r="S10" s="43"/>
      <c r="T10" s="46"/>
      <c r="U10" s="41"/>
      <c r="V10" s="47"/>
      <c r="W10" s="34" t="str">
        <f aca="false">IF(OR(T10="",V10=""),"",ROUND(T10*V10,2))</f>
        <v/>
      </c>
      <c r="X10" s="50"/>
      <c r="Y10" s="48"/>
      <c r="Z10" s="43"/>
    </row>
    <row r="11" customFormat="false" ht="21.75" hidden="false" customHeight="true" outlineLevel="0" collapsed="false">
      <c r="A11" s="48"/>
      <c r="B11" s="43"/>
      <c r="C11" s="40"/>
      <c r="D11" s="41"/>
      <c r="E11" s="41"/>
      <c r="F11" s="46"/>
      <c r="G11" s="46"/>
      <c r="H11" s="46"/>
      <c r="I11" s="46"/>
      <c r="J11" s="46"/>
      <c r="K11" s="46"/>
      <c r="L11" s="46"/>
      <c r="M11" s="34" t="str">
        <f aca="false">IF(F11="","",F11-N(G11)-N(H11)-N(I11)-N(J11)-N(K11)-N(L11))</f>
        <v/>
      </c>
      <c r="N11" s="34" t="str">
        <f aca="false">IF(A11="","",SUMIFS(②销售核销!$L$4:$L$603,②销售核销!$B$4:$B$603,A11))</f>
        <v/>
      </c>
      <c r="O11" s="34" t="str">
        <f aca="false">IF(OR(M11="",N11=""),"",ROUND(M11-N11,2))</f>
        <v/>
      </c>
      <c r="P11" s="43"/>
      <c r="Q11" s="41"/>
      <c r="R11" s="41"/>
      <c r="S11" s="43"/>
      <c r="T11" s="46"/>
      <c r="U11" s="41"/>
      <c r="V11" s="47"/>
      <c r="W11" s="34" t="str">
        <f aca="false">IF(OR(T11="",V11=""),"",ROUND(T11*V11,2))</f>
        <v/>
      </c>
      <c r="X11" s="50"/>
      <c r="Y11" s="48"/>
      <c r="Z11" s="43"/>
    </row>
    <row r="12" customFormat="false" ht="21.75" hidden="false" customHeight="true" outlineLevel="0" collapsed="false">
      <c r="A12" s="48"/>
      <c r="B12" s="43"/>
      <c r="C12" s="40"/>
      <c r="D12" s="41"/>
      <c r="E12" s="41"/>
      <c r="F12" s="46"/>
      <c r="G12" s="46"/>
      <c r="H12" s="46"/>
      <c r="I12" s="46"/>
      <c r="J12" s="46"/>
      <c r="K12" s="46"/>
      <c r="L12" s="46"/>
      <c r="M12" s="34" t="str">
        <f aca="false">IF(F12="","",F12-N(G12)-N(H12)-N(I12)-N(J12)-N(K12)-N(L12))</f>
        <v/>
      </c>
      <c r="N12" s="34" t="str">
        <f aca="false">IF(A12="","",SUMIFS(②销售核销!$L$4:$L$603,②销售核销!$B$4:$B$603,A12))</f>
        <v/>
      </c>
      <c r="O12" s="34" t="str">
        <f aca="false">IF(OR(M12="",N12=""),"",ROUND(M12-N12,2))</f>
        <v/>
      </c>
      <c r="P12" s="43"/>
      <c r="Q12" s="41"/>
      <c r="R12" s="41"/>
      <c r="S12" s="43"/>
      <c r="T12" s="46"/>
      <c r="U12" s="41"/>
      <c r="V12" s="47"/>
      <c r="W12" s="34" t="str">
        <f aca="false">IF(OR(T12="",V12=""),"",ROUND(T12*V12,2))</f>
        <v/>
      </c>
      <c r="X12" s="50"/>
      <c r="Y12" s="48"/>
      <c r="Z12" s="43"/>
    </row>
    <row r="13" customFormat="false" ht="21.75" hidden="false" customHeight="true" outlineLevel="0" collapsed="false">
      <c r="A13" s="48"/>
      <c r="B13" s="43"/>
      <c r="C13" s="40"/>
      <c r="D13" s="41"/>
      <c r="E13" s="41"/>
      <c r="F13" s="46"/>
      <c r="G13" s="46"/>
      <c r="H13" s="46"/>
      <c r="I13" s="46"/>
      <c r="J13" s="46"/>
      <c r="K13" s="46"/>
      <c r="L13" s="46"/>
      <c r="M13" s="34" t="str">
        <f aca="false">IF(F13="","",F13-N(G13)-N(H13)-N(I13)-N(J13)-N(K13)-N(L13))</f>
        <v/>
      </c>
      <c r="N13" s="34" t="str">
        <f aca="false">IF(A13="","",SUMIFS(②销售核销!$L$4:$L$603,②销售核销!$B$4:$B$603,A13))</f>
        <v/>
      </c>
      <c r="O13" s="34" t="str">
        <f aca="false">IF(OR(M13="",N13=""),"",ROUND(M13-N13,2))</f>
        <v/>
      </c>
      <c r="P13" s="43"/>
      <c r="Q13" s="41"/>
      <c r="R13" s="41"/>
      <c r="S13" s="43"/>
      <c r="T13" s="46"/>
      <c r="U13" s="41"/>
      <c r="V13" s="47"/>
      <c r="W13" s="34" t="str">
        <f aca="false">IF(OR(T13="",V13=""),"",ROUND(T13*V13,2))</f>
        <v/>
      </c>
      <c r="X13" s="50"/>
      <c r="Y13" s="48"/>
      <c r="Z13" s="43"/>
    </row>
    <row r="14" customFormat="false" ht="21.75" hidden="false" customHeight="true" outlineLevel="0" collapsed="false">
      <c r="A14" s="48"/>
      <c r="B14" s="43"/>
      <c r="C14" s="40"/>
      <c r="D14" s="41"/>
      <c r="E14" s="41"/>
      <c r="F14" s="46"/>
      <c r="G14" s="46"/>
      <c r="H14" s="46"/>
      <c r="I14" s="46"/>
      <c r="J14" s="46"/>
      <c r="K14" s="46"/>
      <c r="L14" s="46"/>
      <c r="M14" s="34" t="str">
        <f aca="false">IF(F14="","",F14-N(G14)-N(H14)-N(I14)-N(J14)-N(K14)-N(L14))</f>
        <v/>
      </c>
      <c r="N14" s="34" t="str">
        <f aca="false">IF(A14="","",SUMIFS(②销售核销!$L$4:$L$603,②销售核销!$B$4:$B$603,A14))</f>
        <v/>
      </c>
      <c r="O14" s="34" t="str">
        <f aca="false">IF(OR(M14="",N14=""),"",ROUND(M14-N14,2))</f>
        <v/>
      </c>
      <c r="P14" s="43"/>
      <c r="Q14" s="41"/>
      <c r="R14" s="41"/>
      <c r="S14" s="43"/>
      <c r="T14" s="46"/>
      <c r="U14" s="41"/>
      <c r="V14" s="47"/>
      <c r="W14" s="34" t="str">
        <f aca="false">IF(OR(T14="",V14=""),"",ROUND(T14*V14,2))</f>
        <v/>
      </c>
      <c r="X14" s="50"/>
      <c r="Y14" s="48"/>
      <c r="Z14" s="43"/>
    </row>
    <row r="15" customFormat="false" ht="21.75" hidden="false" customHeight="true" outlineLevel="0" collapsed="false">
      <c r="A15" s="48"/>
      <c r="B15" s="43"/>
      <c r="C15" s="40"/>
      <c r="D15" s="41"/>
      <c r="E15" s="41"/>
      <c r="F15" s="46"/>
      <c r="G15" s="46"/>
      <c r="H15" s="46"/>
      <c r="I15" s="46"/>
      <c r="J15" s="46"/>
      <c r="K15" s="46"/>
      <c r="L15" s="46"/>
      <c r="M15" s="34" t="str">
        <f aca="false">IF(F15="","",F15-N(G15)-N(H15)-N(I15)-N(J15)-N(K15)-N(L15))</f>
        <v/>
      </c>
      <c r="N15" s="34" t="str">
        <f aca="false">IF(A15="","",SUMIFS(②销售核销!$L$4:$L$603,②销售核销!$B$4:$B$603,A15))</f>
        <v/>
      </c>
      <c r="O15" s="34" t="str">
        <f aca="false">IF(OR(M15="",N15=""),"",ROUND(M15-N15,2))</f>
        <v/>
      </c>
      <c r="P15" s="43"/>
      <c r="Q15" s="41"/>
      <c r="R15" s="41"/>
      <c r="S15" s="43"/>
      <c r="T15" s="46"/>
      <c r="U15" s="41"/>
      <c r="V15" s="47"/>
      <c r="W15" s="34" t="str">
        <f aca="false">IF(OR(T15="",V15=""),"",ROUND(T15*V15,2))</f>
        <v/>
      </c>
      <c r="X15" s="50"/>
      <c r="Y15" s="48"/>
      <c r="Z15" s="43"/>
    </row>
    <row r="16" customFormat="false" ht="21.75" hidden="false" customHeight="true" outlineLevel="0" collapsed="false">
      <c r="A16" s="48"/>
      <c r="B16" s="43"/>
      <c r="C16" s="40"/>
      <c r="D16" s="41"/>
      <c r="E16" s="41"/>
      <c r="F16" s="46"/>
      <c r="G16" s="46"/>
      <c r="H16" s="46"/>
      <c r="I16" s="46"/>
      <c r="J16" s="46"/>
      <c r="K16" s="46"/>
      <c r="L16" s="46"/>
      <c r="M16" s="34" t="str">
        <f aca="false">IF(F16="","",F16-N(G16)-N(H16)-N(I16)-N(J16)-N(K16)-N(L16))</f>
        <v/>
      </c>
      <c r="N16" s="34" t="str">
        <f aca="false">IF(A16="","",SUMIFS(②销售核销!$L$4:$L$603,②销售核销!$B$4:$B$603,A16))</f>
        <v/>
      </c>
      <c r="O16" s="34" t="str">
        <f aca="false">IF(OR(M16="",N16=""),"",ROUND(M16-N16,2))</f>
        <v/>
      </c>
      <c r="P16" s="43"/>
      <c r="Q16" s="41"/>
      <c r="R16" s="41"/>
      <c r="S16" s="43"/>
      <c r="T16" s="46"/>
      <c r="U16" s="41"/>
      <c r="V16" s="47"/>
      <c r="W16" s="34" t="str">
        <f aca="false">IF(OR(T16="",V16=""),"",ROUND(T16*V16,2))</f>
        <v/>
      </c>
      <c r="X16" s="50"/>
      <c r="Y16" s="48"/>
      <c r="Z16" s="43"/>
    </row>
    <row r="17" customFormat="false" ht="21.75" hidden="false" customHeight="true" outlineLevel="0" collapsed="false">
      <c r="A17" s="48"/>
      <c r="B17" s="43"/>
      <c r="C17" s="40"/>
      <c r="D17" s="41"/>
      <c r="E17" s="41"/>
      <c r="F17" s="46"/>
      <c r="G17" s="46"/>
      <c r="H17" s="46"/>
      <c r="I17" s="46"/>
      <c r="J17" s="46"/>
      <c r="K17" s="46"/>
      <c r="L17" s="46"/>
      <c r="M17" s="34" t="str">
        <f aca="false">IF(F17="","",F17-N(G17)-N(H17)-N(I17)-N(J17)-N(K17)-N(L17))</f>
        <v/>
      </c>
      <c r="N17" s="34" t="str">
        <f aca="false">IF(A17="","",SUMIFS(②销售核销!$L$4:$L$603,②销售核销!$B$4:$B$603,A17))</f>
        <v/>
      </c>
      <c r="O17" s="34" t="str">
        <f aca="false">IF(OR(M17="",N17=""),"",ROUND(M17-N17,2))</f>
        <v/>
      </c>
      <c r="P17" s="43"/>
      <c r="Q17" s="41"/>
      <c r="R17" s="41"/>
      <c r="S17" s="43"/>
      <c r="T17" s="46"/>
      <c r="U17" s="41"/>
      <c r="V17" s="47"/>
      <c r="W17" s="34" t="str">
        <f aca="false">IF(OR(T17="",V17=""),"",ROUND(T17*V17,2))</f>
        <v/>
      </c>
      <c r="X17" s="50"/>
      <c r="Y17" s="48"/>
      <c r="Z17" s="43"/>
    </row>
    <row r="18" customFormat="false" ht="21.75" hidden="false" customHeight="true" outlineLevel="0" collapsed="false">
      <c r="A18" s="48"/>
      <c r="B18" s="43"/>
      <c r="C18" s="40"/>
      <c r="D18" s="41"/>
      <c r="E18" s="41"/>
      <c r="F18" s="46"/>
      <c r="G18" s="46"/>
      <c r="H18" s="46"/>
      <c r="I18" s="46"/>
      <c r="J18" s="46"/>
      <c r="K18" s="46"/>
      <c r="L18" s="46"/>
      <c r="M18" s="34" t="str">
        <f aca="false">IF(F18="","",F18-N(G18)-N(H18)-N(I18)-N(J18)-N(K18)-N(L18))</f>
        <v/>
      </c>
      <c r="N18" s="34" t="str">
        <f aca="false">IF(A18="","",SUMIFS(②销售核销!$L$4:$L$603,②销售核销!$B$4:$B$603,A18))</f>
        <v/>
      </c>
      <c r="O18" s="34" t="str">
        <f aca="false">IF(OR(M18="",N18=""),"",ROUND(M18-N18,2))</f>
        <v/>
      </c>
      <c r="P18" s="43"/>
      <c r="Q18" s="41"/>
      <c r="R18" s="41"/>
      <c r="S18" s="43"/>
      <c r="T18" s="46"/>
      <c r="U18" s="41"/>
      <c r="V18" s="47"/>
      <c r="W18" s="34" t="str">
        <f aca="false">IF(OR(T18="",V18=""),"",ROUND(T18*V18,2))</f>
        <v/>
      </c>
      <c r="X18" s="50"/>
      <c r="Y18" s="48"/>
      <c r="Z18" s="43"/>
    </row>
    <row r="19" customFormat="false" ht="21.75" hidden="false" customHeight="true" outlineLevel="0" collapsed="false">
      <c r="A19" s="48"/>
      <c r="B19" s="43"/>
      <c r="C19" s="40"/>
      <c r="D19" s="41"/>
      <c r="E19" s="41"/>
      <c r="F19" s="46"/>
      <c r="G19" s="46"/>
      <c r="H19" s="46"/>
      <c r="I19" s="46"/>
      <c r="J19" s="46"/>
      <c r="K19" s="46"/>
      <c r="L19" s="46"/>
      <c r="M19" s="34" t="str">
        <f aca="false">IF(F19="","",F19-N(G19)-N(H19)-N(I19)-N(J19)-N(K19)-N(L19))</f>
        <v/>
      </c>
      <c r="N19" s="34" t="str">
        <f aca="false">IF(A19="","",SUMIFS(②销售核销!$L$4:$L$603,②销售核销!$B$4:$B$603,A19))</f>
        <v/>
      </c>
      <c r="O19" s="34" t="str">
        <f aca="false">IF(OR(M19="",N19=""),"",ROUND(M19-N19,2))</f>
        <v/>
      </c>
      <c r="P19" s="43"/>
      <c r="Q19" s="41"/>
      <c r="R19" s="41"/>
      <c r="S19" s="43"/>
      <c r="T19" s="46"/>
      <c r="U19" s="41"/>
      <c r="V19" s="47"/>
      <c r="W19" s="34" t="str">
        <f aca="false">IF(OR(T19="",V19=""),"",ROUND(T19*V19,2))</f>
        <v/>
      </c>
      <c r="X19" s="50"/>
      <c r="Y19" s="48"/>
      <c r="Z19" s="43"/>
    </row>
    <row r="20" customFormat="false" ht="21.75" hidden="false" customHeight="true" outlineLevel="0" collapsed="false">
      <c r="A20" s="48"/>
      <c r="B20" s="43"/>
      <c r="C20" s="40"/>
      <c r="D20" s="41"/>
      <c r="E20" s="41"/>
      <c r="F20" s="46"/>
      <c r="G20" s="46"/>
      <c r="H20" s="46"/>
      <c r="I20" s="46"/>
      <c r="J20" s="46"/>
      <c r="K20" s="46"/>
      <c r="L20" s="46"/>
      <c r="M20" s="34" t="str">
        <f aca="false">IF(F20="","",F20-N(G20)-N(H20)-N(I20)-N(J20)-N(K20)-N(L20))</f>
        <v/>
      </c>
      <c r="N20" s="34" t="str">
        <f aca="false">IF(A20="","",SUMIFS(②销售核销!$L$4:$L$603,②销售核销!$B$4:$B$603,A20))</f>
        <v/>
      </c>
      <c r="O20" s="34" t="str">
        <f aca="false">IF(OR(M20="",N20=""),"",ROUND(M20-N20,2))</f>
        <v/>
      </c>
      <c r="P20" s="43"/>
      <c r="Q20" s="41"/>
      <c r="R20" s="41"/>
      <c r="S20" s="43"/>
      <c r="T20" s="46"/>
      <c r="U20" s="41"/>
      <c r="V20" s="47"/>
      <c r="W20" s="34" t="str">
        <f aca="false">IF(OR(T20="",V20=""),"",ROUND(T20*V20,2))</f>
        <v/>
      </c>
      <c r="X20" s="50"/>
      <c r="Y20" s="48"/>
      <c r="Z20" s="43"/>
    </row>
    <row r="21" customFormat="false" ht="21.75" hidden="false" customHeight="true" outlineLevel="0" collapsed="false">
      <c r="A21" s="48"/>
      <c r="B21" s="43"/>
      <c r="C21" s="40"/>
      <c r="D21" s="41"/>
      <c r="E21" s="41"/>
      <c r="F21" s="46"/>
      <c r="G21" s="46"/>
      <c r="H21" s="46"/>
      <c r="I21" s="46"/>
      <c r="J21" s="46"/>
      <c r="K21" s="46"/>
      <c r="L21" s="46"/>
      <c r="M21" s="34" t="str">
        <f aca="false">IF(F21="","",F21-N(G21)-N(H21)-N(I21)-N(J21)-N(K21)-N(L21))</f>
        <v/>
      </c>
      <c r="N21" s="34" t="str">
        <f aca="false">IF(A21="","",SUMIFS(②销售核销!$L$4:$L$603,②销售核销!$B$4:$B$603,A21))</f>
        <v/>
      </c>
      <c r="O21" s="34" t="str">
        <f aca="false">IF(OR(M21="",N21=""),"",ROUND(M21-N21,2))</f>
        <v/>
      </c>
      <c r="P21" s="43"/>
      <c r="Q21" s="41"/>
      <c r="R21" s="41"/>
      <c r="S21" s="43"/>
      <c r="T21" s="46"/>
      <c r="U21" s="41"/>
      <c r="V21" s="47"/>
      <c r="W21" s="34" t="str">
        <f aca="false">IF(OR(T21="",V21=""),"",ROUND(T21*V21,2))</f>
        <v/>
      </c>
      <c r="X21" s="50"/>
      <c r="Y21" s="48"/>
      <c r="Z21" s="43"/>
    </row>
    <row r="22" customFormat="false" ht="21.75" hidden="false" customHeight="true" outlineLevel="0" collapsed="false">
      <c r="A22" s="48"/>
      <c r="B22" s="43"/>
      <c r="C22" s="40"/>
      <c r="D22" s="41"/>
      <c r="E22" s="41"/>
      <c r="F22" s="46"/>
      <c r="G22" s="46"/>
      <c r="H22" s="46"/>
      <c r="I22" s="46"/>
      <c r="J22" s="46"/>
      <c r="K22" s="46"/>
      <c r="L22" s="46"/>
      <c r="M22" s="34" t="str">
        <f aca="false">IF(F22="","",F22-N(G22)-N(H22)-N(I22)-N(J22)-N(K22)-N(L22))</f>
        <v/>
      </c>
      <c r="N22" s="34" t="str">
        <f aca="false">IF(A22="","",SUMIFS(②销售核销!$L$4:$L$603,②销售核销!$B$4:$B$603,A22))</f>
        <v/>
      </c>
      <c r="O22" s="34" t="str">
        <f aca="false">IF(OR(M22="",N22=""),"",ROUND(M22-N22,2))</f>
        <v/>
      </c>
      <c r="P22" s="43"/>
      <c r="Q22" s="41"/>
      <c r="R22" s="41"/>
      <c r="S22" s="43"/>
      <c r="T22" s="46"/>
      <c r="U22" s="41"/>
      <c r="V22" s="47"/>
      <c r="W22" s="34" t="str">
        <f aca="false">IF(OR(T22="",V22=""),"",ROUND(T22*V22,2))</f>
        <v/>
      </c>
      <c r="X22" s="50"/>
      <c r="Y22" s="48"/>
      <c r="Z22" s="43"/>
    </row>
    <row r="23" customFormat="false" ht="21.75" hidden="false" customHeight="true" outlineLevel="0" collapsed="false">
      <c r="A23" s="48"/>
      <c r="B23" s="43"/>
      <c r="C23" s="40"/>
      <c r="D23" s="41"/>
      <c r="E23" s="41"/>
      <c r="F23" s="46"/>
      <c r="G23" s="46"/>
      <c r="H23" s="46"/>
      <c r="I23" s="46"/>
      <c r="J23" s="46"/>
      <c r="K23" s="46"/>
      <c r="L23" s="46"/>
      <c r="M23" s="34" t="str">
        <f aca="false">IF(F23="","",F23-N(G23)-N(H23)-N(I23)-N(J23)-N(K23)-N(L23))</f>
        <v/>
      </c>
      <c r="N23" s="34" t="str">
        <f aca="false">IF(A23="","",SUMIFS(②销售核销!$L$4:$L$603,②销售核销!$B$4:$B$603,A23))</f>
        <v/>
      </c>
      <c r="O23" s="34" t="str">
        <f aca="false">IF(OR(M23="",N23=""),"",ROUND(M23-N23,2))</f>
        <v/>
      </c>
      <c r="P23" s="43"/>
      <c r="Q23" s="41"/>
      <c r="R23" s="41"/>
      <c r="S23" s="43"/>
      <c r="T23" s="46"/>
      <c r="U23" s="41"/>
      <c r="V23" s="47"/>
      <c r="W23" s="34" t="str">
        <f aca="false">IF(OR(T23="",V23=""),"",ROUND(T23*V23,2))</f>
        <v/>
      </c>
      <c r="X23" s="50"/>
      <c r="Y23" s="48"/>
      <c r="Z23" s="43"/>
    </row>
    <row r="24" customFormat="false" ht="21.75" hidden="false" customHeight="true" outlineLevel="0" collapsed="false">
      <c r="A24" s="48"/>
      <c r="B24" s="43"/>
      <c r="C24" s="40"/>
      <c r="D24" s="41"/>
      <c r="E24" s="41"/>
      <c r="F24" s="46"/>
      <c r="G24" s="46"/>
      <c r="H24" s="46"/>
      <c r="I24" s="46"/>
      <c r="J24" s="46"/>
      <c r="K24" s="46"/>
      <c r="L24" s="46"/>
      <c r="M24" s="34" t="str">
        <f aca="false">IF(F24="","",F24-N(G24)-N(H24)-N(I24)-N(J24)-N(K24)-N(L24))</f>
        <v/>
      </c>
      <c r="N24" s="34" t="str">
        <f aca="false">IF(A24="","",SUMIFS(②销售核销!$L$4:$L$603,②销售核销!$B$4:$B$603,A24))</f>
        <v/>
      </c>
      <c r="O24" s="34" t="str">
        <f aca="false">IF(OR(M24="",N24=""),"",ROUND(M24-N24,2))</f>
        <v/>
      </c>
      <c r="P24" s="43"/>
      <c r="Q24" s="41"/>
      <c r="R24" s="41"/>
      <c r="S24" s="43"/>
      <c r="T24" s="46"/>
      <c r="U24" s="41"/>
      <c r="V24" s="47"/>
      <c r="W24" s="34" t="str">
        <f aca="false">IF(OR(T24="",V24=""),"",ROUND(T24*V24,2))</f>
        <v/>
      </c>
      <c r="X24" s="50"/>
      <c r="Y24" s="48"/>
      <c r="Z24" s="43"/>
    </row>
    <row r="25" customFormat="false" ht="21.75" hidden="false" customHeight="true" outlineLevel="0" collapsed="false">
      <c r="A25" s="48"/>
      <c r="B25" s="43"/>
      <c r="C25" s="40"/>
      <c r="D25" s="41"/>
      <c r="E25" s="41"/>
      <c r="F25" s="46"/>
      <c r="G25" s="46"/>
      <c r="H25" s="46"/>
      <c r="I25" s="46"/>
      <c r="J25" s="46"/>
      <c r="K25" s="46"/>
      <c r="L25" s="46"/>
      <c r="M25" s="34" t="str">
        <f aca="false">IF(F25="","",F25-N(G25)-N(H25)-N(I25)-N(J25)-N(K25)-N(L25))</f>
        <v/>
      </c>
      <c r="N25" s="34" t="str">
        <f aca="false">IF(A25="","",SUMIFS(②销售核销!$L$4:$L$603,②销售核销!$B$4:$B$603,A25))</f>
        <v/>
      </c>
      <c r="O25" s="34" t="str">
        <f aca="false">IF(OR(M25="",N25=""),"",ROUND(M25-N25,2))</f>
        <v/>
      </c>
      <c r="P25" s="43"/>
      <c r="Q25" s="41"/>
      <c r="R25" s="41"/>
      <c r="S25" s="43"/>
      <c r="T25" s="46"/>
      <c r="U25" s="41"/>
      <c r="V25" s="47"/>
      <c r="W25" s="34" t="str">
        <f aca="false">IF(OR(T25="",V25=""),"",ROUND(T25*V25,2))</f>
        <v/>
      </c>
      <c r="X25" s="50"/>
      <c r="Y25" s="48"/>
      <c r="Z25" s="43"/>
    </row>
    <row r="26" customFormat="false" ht="21.75" hidden="false" customHeight="true" outlineLevel="0" collapsed="false">
      <c r="A26" s="48"/>
      <c r="B26" s="43"/>
      <c r="C26" s="40"/>
      <c r="D26" s="41"/>
      <c r="E26" s="41"/>
      <c r="F26" s="46"/>
      <c r="G26" s="46"/>
      <c r="H26" s="46"/>
      <c r="I26" s="46"/>
      <c r="J26" s="46"/>
      <c r="K26" s="46"/>
      <c r="L26" s="46"/>
      <c r="M26" s="34" t="str">
        <f aca="false">IF(F26="","",F26-N(G26)-N(H26)-N(I26)-N(J26)-N(K26)-N(L26))</f>
        <v/>
      </c>
      <c r="N26" s="34" t="str">
        <f aca="false">IF(A26="","",SUMIFS(②销售核销!$L$4:$L$603,②销售核销!$B$4:$B$603,A26))</f>
        <v/>
      </c>
      <c r="O26" s="34" t="str">
        <f aca="false">IF(OR(M26="",N26=""),"",ROUND(M26-N26,2))</f>
        <v/>
      </c>
      <c r="P26" s="43"/>
      <c r="Q26" s="41"/>
      <c r="R26" s="41"/>
      <c r="S26" s="43"/>
      <c r="T26" s="46"/>
      <c r="U26" s="41"/>
      <c r="V26" s="47"/>
      <c r="W26" s="34" t="str">
        <f aca="false">IF(OR(T26="",V26=""),"",ROUND(T26*V26,2))</f>
        <v/>
      </c>
      <c r="X26" s="50"/>
      <c r="Y26" s="48"/>
      <c r="Z26" s="43"/>
    </row>
    <row r="27" customFormat="false" ht="21.75" hidden="false" customHeight="true" outlineLevel="0" collapsed="false">
      <c r="A27" s="48"/>
      <c r="B27" s="43"/>
      <c r="C27" s="40"/>
      <c r="D27" s="41"/>
      <c r="E27" s="41"/>
      <c r="F27" s="46"/>
      <c r="G27" s="46"/>
      <c r="H27" s="46"/>
      <c r="I27" s="46"/>
      <c r="J27" s="46"/>
      <c r="K27" s="46"/>
      <c r="L27" s="46"/>
      <c r="M27" s="34" t="str">
        <f aca="false">IF(F27="","",F27-N(G27)-N(H27)-N(I27)-N(J27)-N(K27)-N(L27))</f>
        <v/>
      </c>
      <c r="N27" s="34" t="str">
        <f aca="false">IF(A27="","",SUMIFS(②销售核销!$L$4:$L$603,②销售核销!$B$4:$B$603,A27))</f>
        <v/>
      </c>
      <c r="O27" s="34" t="str">
        <f aca="false">IF(OR(M27="",N27=""),"",ROUND(M27-N27,2))</f>
        <v/>
      </c>
      <c r="P27" s="43"/>
      <c r="Q27" s="41"/>
      <c r="R27" s="41"/>
      <c r="S27" s="43"/>
      <c r="T27" s="46"/>
      <c r="U27" s="41"/>
      <c r="V27" s="47"/>
      <c r="W27" s="34" t="str">
        <f aca="false">IF(OR(T27="",V27=""),"",ROUND(T27*V27,2))</f>
        <v/>
      </c>
      <c r="X27" s="50"/>
      <c r="Y27" s="48"/>
      <c r="Z27" s="43"/>
    </row>
    <row r="28" customFormat="false" ht="21.75" hidden="false" customHeight="true" outlineLevel="0" collapsed="false">
      <c r="A28" s="48"/>
      <c r="B28" s="43"/>
      <c r="C28" s="40"/>
      <c r="D28" s="41"/>
      <c r="E28" s="41"/>
      <c r="F28" s="46"/>
      <c r="G28" s="46"/>
      <c r="H28" s="46"/>
      <c r="I28" s="46"/>
      <c r="J28" s="46"/>
      <c r="K28" s="46"/>
      <c r="L28" s="46"/>
      <c r="M28" s="34" t="str">
        <f aca="false">IF(F28="","",F28-N(G28)-N(H28)-N(I28)-N(J28)-N(K28)-N(L28))</f>
        <v/>
      </c>
      <c r="N28" s="34" t="str">
        <f aca="false">IF(A28="","",SUMIFS(②销售核销!$L$4:$L$603,②销售核销!$B$4:$B$603,A28))</f>
        <v/>
      </c>
      <c r="O28" s="34" t="str">
        <f aca="false">IF(OR(M28="",N28=""),"",ROUND(M28-N28,2))</f>
        <v/>
      </c>
      <c r="P28" s="43"/>
      <c r="Q28" s="41"/>
      <c r="R28" s="41"/>
      <c r="S28" s="43"/>
      <c r="T28" s="46"/>
      <c r="U28" s="41"/>
      <c r="V28" s="47"/>
      <c r="W28" s="34" t="str">
        <f aca="false">IF(OR(T28="",V28=""),"",ROUND(T28*V28,2))</f>
        <v/>
      </c>
      <c r="X28" s="50"/>
      <c r="Y28" s="48"/>
      <c r="Z28" s="43"/>
    </row>
    <row r="29" customFormat="false" ht="21.75" hidden="false" customHeight="true" outlineLevel="0" collapsed="false">
      <c r="A29" s="48"/>
      <c r="B29" s="43"/>
      <c r="C29" s="40"/>
      <c r="D29" s="41"/>
      <c r="E29" s="41"/>
      <c r="F29" s="46"/>
      <c r="G29" s="46"/>
      <c r="H29" s="46"/>
      <c r="I29" s="46"/>
      <c r="J29" s="46"/>
      <c r="K29" s="46"/>
      <c r="L29" s="46"/>
      <c r="M29" s="34" t="str">
        <f aca="false">IF(F29="","",F29-N(G29)-N(H29)-N(I29)-N(J29)-N(K29)-N(L29))</f>
        <v/>
      </c>
      <c r="N29" s="34" t="str">
        <f aca="false">IF(A29="","",SUMIFS(②销售核销!$L$4:$L$603,②销售核销!$B$4:$B$603,A29))</f>
        <v/>
      </c>
      <c r="O29" s="34" t="str">
        <f aca="false">IF(OR(M29="",N29=""),"",ROUND(M29-N29,2))</f>
        <v/>
      </c>
      <c r="P29" s="43"/>
      <c r="Q29" s="41"/>
      <c r="R29" s="41"/>
      <c r="S29" s="43"/>
      <c r="T29" s="46"/>
      <c r="U29" s="41"/>
      <c r="V29" s="47"/>
      <c r="W29" s="34" t="str">
        <f aca="false">IF(OR(T29="",V29=""),"",ROUND(T29*V29,2))</f>
        <v/>
      </c>
      <c r="X29" s="50"/>
      <c r="Y29" s="48"/>
      <c r="Z29" s="43"/>
    </row>
    <row r="30" customFormat="false" ht="21.75" hidden="false" customHeight="true" outlineLevel="0" collapsed="false">
      <c r="A30" s="48"/>
      <c r="B30" s="43"/>
      <c r="C30" s="40"/>
      <c r="D30" s="41"/>
      <c r="E30" s="41"/>
      <c r="F30" s="46"/>
      <c r="G30" s="46"/>
      <c r="H30" s="46"/>
      <c r="I30" s="46"/>
      <c r="J30" s="46"/>
      <c r="K30" s="46"/>
      <c r="L30" s="46"/>
      <c r="M30" s="34" t="str">
        <f aca="false">IF(F30="","",F30-N(G30)-N(H30)-N(I30)-N(J30)-N(K30)-N(L30))</f>
        <v/>
      </c>
      <c r="N30" s="34" t="str">
        <f aca="false">IF(A30="","",SUMIFS(②销售核销!$L$4:$L$603,②销售核销!$B$4:$B$603,A30))</f>
        <v/>
      </c>
      <c r="O30" s="34" t="str">
        <f aca="false">IF(OR(M30="",N30=""),"",ROUND(M30-N30,2))</f>
        <v/>
      </c>
      <c r="P30" s="43"/>
      <c r="Q30" s="41"/>
      <c r="R30" s="41"/>
      <c r="S30" s="43"/>
      <c r="T30" s="46"/>
      <c r="U30" s="41"/>
      <c r="V30" s="47"/>
      <c r="W30" s="34" t="str">
        <f aca="false">IF(OR(T30="",V30=""),"",ROUND(T30*V30,2))</f>
        <v/>
      </c>
      <c r="X30" s="50"/>
      <c r="Y30" s="48"/>
      <c r="Z30" s="43"/>
    </row>
    <row r="31" customFormat="false" ht="21.75" hidden="false" customHeight="true" outlineLevel="0" collapsed="false">
      <c r="A31" s="48"/>
      <c r="B31" s="43"/>
      <c r="C31" s="40"/>
      <c r="D31" s="41"/>
      <c r="E31" s="41"/>
      <c r="F31" s="46"/>
      <c r="G31" s="46"/>
      <c r="H31" s="46"/>
      <c r="I31" s="46"/>
      <c r="J31" s="46"/>
      <c r="K31" s="46"/>
      <c r="L31" s="46"/>
      <c r="M31" s="34" t="str">
        <f aca="false">IF(F31="","",F31-N(G31)-N(H31)-N(I31)-N(J31)-N(K31)-N(L31))</f>
        <v/>
      </c>
      <c r="N31" s="34" t="str">
        <f aca="false">IF(A31="","",SUMIFS(②销售核销!$L$4:$L$603,②销售核销!$B$4:$B$603,A31))</f>
        <v/>
      </c>
      <c r="O31" s="34" t="str">
        <f aca="false">IF(OR(M31="",N31=""),"",ROUND(M31-N31,2))</f>
        <v/>
      </c>
      <c r="P31" s="43"/>
      <c r="Q31" s="41"/>
      <c r="R31" s="41"/>
      <c r="S31" s="43"/>
      <c r="T31" s="46"/>
      <c r="U31" s="41"/>
      <c r="V31" s="47"/>
      <c r="W31" s="34" t="str">
        <f aca="false">IF(OR(T31="",V31=""),"",ROUND(T31*V31,2))</f>
        <v/>
      </c>
      <c r="X31" s="50"/>
      <c r="Y31" s="48"/>
      <c r="Z31" s="43"/>
    </row>
    <row r="32" customFormat="false" ht="21.75" hidden="false" customHeight="true" outlineLevel="0" collapsed="false">
      <c r="A32" s="48"/>
      <c r="B32" s="43"/>
      <c r="C32" s="40"/>
      <c r="D32" s="41"/>
      <c r="E32" s="41"/>
      <c r="F32" s="46"/>
      <c r="G32" s="46"/>
      <c r="H32" s="46"/>
      <c r="I32" s="46"/>
      <c r="J32" s="46"/>
      <c r="K32" s="46"/>
      <c r="L32" s="46"/>
      <c r="M32" s="34" t="str">
        <f aca="false">IF(F32="","",F32-N(G32)-N(H32)-N(I32)-N(J32)-N(K32)-N(L32))</f>
        <v/>
      </c>
      <c r="N32" s="34" t="str">
        <f aca="false">IF(A32="","",SUMIFS(②销售核销!$L$4:$L$603,②销售核销!$B$4:$B$603,A32))</f>
        <v/>
      </c>
      <c r="O32" s="34" t="str">
        <f aca="false">IF(OR(M32="",N32=""),"",ROUND(M32-N32,2))</f>
        <v/>
      </c>
      <c r="P32" s="43"/>
      <c r="Q32" s="41"/>
      <c r="R32" s="41"/>
      <c r="S32" s="43"/>
      <c r="T32" s="46"/>
      <c r="U32" s="41"/>
      <c r="V32" s="47"/>
      <c r="W32" s="34" t="str">
        <f aca="false">IF(OR(T32="",V32=""),"",ROUND(T32*V32,2))</f>
        <v/>
      </c>
      <c r="X32" s="50"/>
      <c r="Y32" s="48"/>
      <c r="Z32" s="43"/>
    </row>
    <row r="33" customFormat="false" ht="21.75" hidden="false" customHeight="true" outlineLevel="0" collapsed="false">
      <c r="A33" s="48"/>
      <c r="B33" s="43"/>
      <c r="C33" s="40"/>
      <c r="D33" s="41"/>
      <c r="E33" s="41"/>
      <c r="F33" s="46"/>
      <c r="G33" s="46"/>
      <c r="H33" s="46"/>
      <c r="I33" s="46"/>
      <c r="J33" s="46"/>
      <c r="K33" s="46"/>
      <c r="L33" s="46"/>
      <c r="M33" s="34" t="str">
        <f aca="false">IF(F33="","",F33-N(G33)-N(H33)-N(I33)-N(J33)-N(K33)-N(L33))</f>
        <v/>
      </c>
      <c r="N33" s="34" t="str">
        <f aca="false">IF(A33="","",SUMIFS(②销售核销!$L$4:$L$603,②销售核销!$B$4:$B$603,A33))</f>
        <v/>
      </c>
      <c r="O33" s="34" t="str">
        <f aca="false">IF(OR(M33="",N33=""),"",ROUND(M33-N33,2))</f>
        <v/>
      </c>
      <c r="P33" s="43"/>
      <c r="Q33" s="41"/>
      <c r="R33" s="41"/>
      <c r="S33" s="43"/>
      <c r="T33" s="46"/>
      <c r="U33" s="41"/>
      <c r="V33" s="47"/>
      <c r="W33" s="34" t="str">
        <f aca="false">IF(OR(T33="",V33=""),"",ROUND(T33*V33,2))</f>
        <v/>
      </c>
      <c r="X33" s="50"/>
      <c r="Y33" s="48"/>
      <c r="Z33" s="43"/>
    </row>
    <row r="34" customFormat="false" ht="21.75" hidden="false" customHeight="true" outlineLevel="0" collapsed="false">
      <c r="A34" s="48"/>
      <c r="B34" s="43"/>
      <c r="C34" s="40"/>
      <c r="D34" s="41"/>
      <c r="E34" s="41"/>
      <c r="F34" s="46"/>
      <c r="G34" s="46"/>
      <c r="H34" s="46"/>
      <c r="I34" s="46"/>
      <c r="J34" s="46"/>
      <c r="K34" s="46"/>
      <c r="L34" s="46"/>
      <c r="M34" s="34" t="str">
        <f aca="false">IF(F34="","",F34-N(G34)-N(H34)-N(I34)-N(J34)-N(K34)-N(L34))</f>
        <v/>
      </c>
      <c r="N34" s="34" t="str">
        <f aca="false">IF(A34="","",SUMIFS(②销售核销!$L$4:$L$603,②销售核销!$B$4:$B$603,A34))</f>
        <v/>
      </c>
      <c r="O34" s="34" t="str">
        <f aca="false">IF(OR(M34="",N34=""),"",ROUND(M34-N34,2))</f>
        <v/>
      </c>
      <c r="P34" s="43"/>
      <c r="Q34" s="41"/>
      <c r="R34" s="41"/>
      <c r="S34" s="43"/>
      <c r="T34" s="46"/>
      <c r="U34" s="41"/>
      <c r="V34" s="47"/>
      <c r="W34" s="34" t="str">
        <f aca="false">IF(OR(T34="",V34=""),"",ROUND(T34*V34,2))</f>
        <v/>
      </c>
      <c r="X34" s="50"/>
      <c r="Y34" s="48"/>
      <c r="Z34" s="43"/>
    </row>
    <row r="35" customFormat="false" ht="21.75" hidden="false" customHeight="true" outlineLevel="0" collapsed="false">
      <c r="A35" s="48"/>
      <c r="B35" s="43"/>
      <c r="C35" s="40"/>
      <c r="D35" s="41"/>
      <c r="E35" s="41"/>
      <c r="F35" s="46"/>
      <c r="G35" s="46"/>
      <c r="H35" s="46"/>
      <c r="I35" s="46"/>
      <c r="J35" s="46"/>
      <c r="K35" s="46"/>
      <c r="L35" s="46"/>
      <c r="M35" s="34" t="str">
        <f aca="false">IF(F35="","",F35-N(G35)-N(H35)-N(I35)-N(J35)-N(K35)-N(L35))</f>
        <v/>
      </c>
      <c r="N35" s="34" t="str">
        <f aca="false">IF(A35="","",SUMIFS(②销售核销!$L$4:$L$603,②销售核销!$B$4:$B$603,A35))</f>
        <v/>
      </c>
      <c r="O35" s="34" t="str">
        <f aca="false">IF(OR(M35="",N35=""),"",ROUND(M35-N35,2))</f>
        <v/>
      </c>
      <c r="P35" s="43"/>
      <c r="Q35" s="41"/>
      <c r="R35" s="41"/>
      <c r="S35" s="43"/>
      <c r="T35" s="46"/>
      <c r="U35" s="41"/>
      <c r="V35" s="47"/>
      <c r="W35" s="34" t="str">
        <f aca="false">IF(OR(T35="",V35=""),"",ROUND(T35*V35,2))</f>
        <v/>
      </c>
      <c r="X35" s="50"/>
      <c r="Y35" s="48"/>
      <c r="Z35" s="43"/>
    </row>
    <row r="36" customFormat="false" ht="21.75" hidden="false" customHeight="true" outlineLevel="0" collapsed="false">
      <c r="A36" s="48"/>
      <c r="B36" s="43"/>
      <c r="C36" s="40"/>
      <c r="D36" s="41"/>
      <c r="E36" s="41"/>
      <c r="F36" s="46"/>
      <c r="G36" s="46"/>
      <c r="H36" s="46"/>
      <c r="I36" s="46"/>
      <c r="J36" s="46"/>
      <c r="K36" s="46"/>
      <c r="L36" s="46"/>
      <c r="M36" s="34" t="str">
        <f aca="false">IF(F36="","",F36-N(G36)-N(H36)-N(I36)-N(J36)-N(K36)-N(L36))</f>
        <v/>
      </c>
      <c r="N36" s="34" t="str">
        <f aca="false">IF(A36="","",SUMIFS(②销售核销!$L$4:$L$603,②销售核销!$B$4:$B$603,A36))</f>
        <v/>
      </c>
      <c r="O36" s="34" t="str">
        <f aca="false">IF(OR(M36="",N36=""),"",ROUND(M36-N36,2))</f>
        <v/>
      </c>
      <c r="P36" s="43"/>
      <c r="Q36" s="41"/>
      <c r="R36" s="41"/>
      <c r="S36" s="43"/>
      <c r="T36" s="46"/>
      <c r="U36" s="41"/>
      <c r="V36" s="47"/>
      <c r="W36" s="34" t="str">
        <f aca="false">IF(OR(T36="",V36=""),"",ROUND(T36*V36,2))</f>
        <v/>
      </c>
      <c r="X36" s="50"/>
      <c r="Y36" s="48"/>
      <c r="Z36" s="43"/>
    </row>
    <row r="37" customFormat="false" ht="21.75" hidden="false" customHeight="true" outlineLevel="0" collapsed="false">
      <c r="A37" s="48"/>
      <c r="B37" s="43"/>
      <c r="C37" s="40"/>
      <c r="D37" s="41"/>
      <c r="E37" s="41"/>
      <c r="F37" s="46"/>
      <c r="G37" s="46"/>
      <c r="H37" s="46"/>
      <c r="I37" s="46"/>
      <c r="J37" s="46"/>
      <c r="K37" s="46"/>
      <c r="L37" s="46"/>
      <c r="M37" s="34" t="str">
        <f aca="false">IF(F37="","",F37-N(G37)-N(H37)-N(I37)-N(J37)-N(K37)-N(L37))</f>
        <v/>
      </c>
      <c r="N37" s="34" t="str">
        <f aca="false">IF(A37="","",SUMIFS(②销售核销!$L$4:$L$603,②销售核销!$B$4:$B$603,A37))</f>
        <v/>
      </c>
      <c r="O37" s="34" t="str">
        <f aca="false">IF(OR(M37="",N37=""),"",ROUND(M37-N37,2))</f>
        <v/>
      </c>
      <c r="P37" s="43"/>
      <c r="Q37" s="41"/>
      <c r="R37" s="41"/>
      <c r="S37" s="43"/>
      <c r="T37" s="46"/>
      <c r="U37" s="41"/>
      <c r="V37" s="47"/>
      <c r="W37" s="34" t="str">
        <f aca="false">IF(OR(T37="",V37=""),"",ROUND(T37*V37,2))</f>
        <v/>
      </c>
      <c r="X37" s="50"/>
      <c r="Y37" s="48"/>
      <c r="Z37" s="43"/>
    </row>
    <row r="38" customFormat="false" ht="21.75" hidden="false" customHeight="true" outlineLevel="0" collapsed="false">
      <c r="A38" s="48"/>
      <c r="B38" s="43"/>
      <c r="C38" s="40"/>
      <c r="D38" s="41"/>
      <c r="E38" s="41"/>
      <c r="F38" s="46"/>
      <c r="G38" s="46"/>
      <c r="H38" s="46"/>
      <c r="I38" s="46"/>
      <c r="J38" s="46"/>
      <c r="K38" s="46"/>
      <c r="L38" s="46"/>
      <c r="M38" s="34" t="str">
        <f aca="false">IF(F38="","",F38-N(G38)-N(H38)-N(I38)-N(J38)-N(K38)-N(L38))</f>
        <v/>
      </c>
      <c r="N38" s="34" t="str">
        <f aca="false">IF(A38="","",SUMIFS(②销售核销!$L$4:$L$603,②销售核销!$B$4:$B$603,A38))</f>
        <v/>
      </c>
      <c r="O38" s="34" t="str">
        <f aca="false">IF(OR(M38="",N38=""),"",ROUND(M38-N38,2))</f>
        <v/>
      </c>
      <c r="P38" s="43"/>
      <c r="Q38" s="41"/>
      <c r="R38" s="41"/>
      <c r="S38" s="43"/>
      <c r="T38" s="46"/>
      <c r="U38" s="41"/>
      <c r="V38" s="47"/>
      <c r="W38" s="34" t="str">
        <f aca="false">IF(OR(T38="",V38=""),"",ROUND(T38*V38,2))</f>
        <v/>
      </c>
      <c r="X38" s="50"/>
      <c r="Y38" s="48"/>
      <c r="Z38" s="43"/>
    </row>
    <row r="39" customFormat="false" ht="21.75" hidden="false" customHeight="true" outlineLevel="0" collapsed="false">
      <c r="A39" s="48"/>
      <c r="B39" s="43"/>
      <c r="C39" s="40"/>
      <c r="D39" s="41"/>
      <c r="E39" s="41"/>
      <c r="F39" s="46"/>
      <c r="G39" s="46"/>
      <c r="H39" s="46"/>
      <c r="I39" s="46"/>
      <c r="J39" s="46"/>
      <c r="K39" s="46"/>
      <c r="L39" s="46"/>
      <c r="M39" s="34" t="str">
        <f aca="false">IF(F39="","",F39-N(G39)-N(H39)-N(I39)-N(J39)-N(K39)-N(L39))</f>
        <v/>
      </c>
      <c r="N39" s="34" t="str">
        <f aca="false">IF(A39="","",SUMIFS(②销售核销!$L$4:$L$603,②销售核销!$B$4:$B$603,A39))</f>
        <v/>
      </c>
      <c r="O39" s="34" t="str">
        <f aca="false">IF(OR(M39="",N39=""),"",ROUND(M39-N39,2))</f>
        <v/>
      </c>
      <c r="P39" s="43"/>
      <c r="Q39" s="41"/>
      <c r="R39" s="41"/>
      <c r="S39" s="43"/>
      <c r="T39" s="46"/>
      <c r="U39" s="41"/>
      <c r="V39" s="47"/>
      <c r="W39" s="34" t="str">
        <f aca="false">IF(OR(T39="",V39=""),"",ROUND(T39*V39,2))</f>
        <v/>
      </c>
      <c r="X39" s="50"/>
      <c r="Y39" s="48"/>
      <c r="Z39" s="43"/>
    </row>
    <row r="40" customFormat="false" ht="21.75" hidden="false" customHeight="true" outlineLevel="0" collapsed="false">
      <c r="A40" s="48"/>
      <c r="B40" s="43"/>
      <c r="C40" s="40"/>
      <c r="D40" s="41"/>
      <c r="E40" s="41"/>
      <c r="F40" s="46"/>
      <c r="G40" s="46"/>
      <c r="H40" s="46"/>
      <c r="I40" s="46"/>
      <c r="J40" s="46"/>
      <c r="K40" s="46"/>
      <c r="L40" s="46"/>
      <c r="M40" s="34" t="str">
        <f aca="false">IF(F40="","",F40-N(G40)-N(H40)-N(I40)-N(J40)-N(K40)-N(L40))</f>
        <v/>
      </c>
      <c r="N40" s="34" t="str">
        <f aca="false">IF(A40="","",SUMIFS(②销售核销!$L$4:$L$603,②销售核销!$B$4:$B$603,A40))</f>
        <v/>
      </c>
      <c r="O40" s="34" t="str">
        <f aca="false">IF(OR(M40="",N40=""),"",ROUND(M40-N40,2))</f>
        <v/>
      </c>
      <c r="P40" s="43"/>
      <c r="Q40" s="41"/>
      <c r="R40" s="41"/>
      <c r="S40" s="43"/>
      <c r="T40" s="46"/>
      <c r="U40" s="41"/>
      <c r="V40" s="47"/>
      <c r="W40" s="34" t="str">
        <f aca="false">IF(OR(T40="",V40=""),"",ROUND(T40*V40,2))</f>
        <v/>
      </c>
      <c r="X40" s="50"/>
      <c r="Y40" s="48"/>
      <c r="Z40" s="43"/>
    </row>
    <row r="41" customFormat="false" ht="21.75" hidden="false" customHeight="true" outlineLevel="0" collapsed="false">
      <c r="A41" s="48"/>
      <c r="B41" s="43"/>
      <c r="C41" s="40"/>
      <c r="D41" s="41"/>
      <c r="E41" s="41"/>
      <c r="F41" s="46"/>
      <c r="G41" s="46"/>
      <c r="H41" s="46"/>
      <c r="I41" s="46"/>
      <c r="J41" s="46"/>
      <c r="K41" s="46"/>
      <c r="L41" s="46"/>
      <c r="M41" s="34" t="str">
        <f aca="false">IF(F41="","",F41-N(G41)-N(H41)-N(I41)-N(J41)-N(K41)-N(L41))</f>
        <v/>
      </c>
      <c r="N41" s="34" t="str">
        <f aca="false">IF(A41="","",SUMIFS(②销售核销!$L$4:$L$603,②销售核销!$B$4:$B$603,A41))</f>
        <v/>
      </c>
      <c r="O41" s="34" t="str">
        <f aca="false">IF(OR(M41="",N41=""),"",ROUND(M41-N41,2))</f>
        <v/>
      </c>
      <c r="P41" s="43"/>
      <c r="Q41" s="41"/>
      <c r="R41" s="41"/>
      <c r="S41" s="43"/>
      <c r="T41" s="46"/>
      <c r="U41" s="41"/>
      <c r="V41" s="47"/>
      <c r="W41" s="34" t="str">
        <f aca="false">IF(OR(T41="",V41=""),"",ROUND(T41*V41,2))</f>
        <v/>
      </c>
      <c r="X41" s="50"/>
      <c r="Y41" s="48"/>
      <c r="Z41" s="43"/>
    </row>
    <row r="42" customFormat="false" ht="21.75" hidden="false" customHeight="true" outlineLevel="0" collapsed="false">
      <c r="A42" s="48"/>
      <c r="B42" s="43"/>
      <c r="C42" s="40"/>
      <c r="D42" s="41"/>
      <c r="E42" s="41"/>
      <c r="F42" s="46"/>
      <c r="G42" s="46"/>
      <c r="H42" s="46"/>
      <c r="I42" s="46"/>
      <c r="J42" s="46"/>
      <c r="K42" s="46"/>
      <c r="L42" s="46"/>
      <c r="M42" s="34" t="str">
        <f aca="false">IF(F42="","",F42-N(G42)-N(H42)-N(I42)-N(J42)-N(K42)-N(L42))</f>
        <v/>
      </c>
      <c r="N42" s="34" t="str">
        <f aca="false">IF(A42="","",SUMIFS(②销售核销!$L$4:$L$603,②销售核销!$B$4:$B$603,A42))</f>
        <v/>
      </c>
      <c r="O42" s="34" t="str">
        <f aca="false">IF(OR(M42="",N42=""),"",ROUND(M42-N42,2))</f>
        <v/>
      </c>
      <c r="P42" s="43"/>
      <c r="Q42" s="41"/>
      <c r="R42" s="41"/>
      <c r="S42" s="43"/>
      <c r="T42" s="46"/>
      <c r="U42" s="41"/>
      <c r="V42" s="47"/>
      <c r="W42" s="34" t="str">
        <f aca="false">IF(OR(T42="",V42=""),"",ROUND(T42*V42,2))</f>
        <v/>
      </c>
      <c r="X42" s="50"/>
      <c r="Y42" s="48"/>
      <c r="Z42" s="43"/>
    </row>
    <row r="43" customFormat="false" ht="21.75" hidden="false" customHeight="true" outlineLevel="0" collapsed="false">
      <c r="A43" s="48"/>
      <c r="B43" s="43"/>
      <c r="C43" s="40"/>
      <c r="D43" s="41"/>
      <c r="E43" s="41"/>
      <c r="F43" s="46"/>
      <c r="G43" s="46"/>
      <c r="H43" s="46"/>
      <c r="I43" s="46"/>
      <c r="J43" s="46"/>
      <c r="K43" s="46"/>
      <c r="L43" s="46"/>
      <c r="M43" s="34" t="str">
        <f aca="false">IF(F43="","",F43-N(G43)-N(H43)-N(I43)-N(J43)-N(K43)-N(L43))</f>
        <v/>
      </c>
      <c r="N43" s="34" t="str">
        <f aca="false">IF(A43="","",SUMIFS(②销售核销!$L$4:$L$603,②销售核销!$B$4:$B$603,A43))</f>
        <v/>
      </c>
      <c r="O43" s="34" t="str">
        <f aca="false">IF(OR(M43="",N43=""),"",ROUND(M43-N43,2))</f>
        <v/>
      </c>
      <c r="P43" s="43"/>
      <c r="Q43" s="41"/>
      <c r="R43" s="41"/>
      <c r="S43" s="43"/>
      <c r="T43" s="46"/>
      <c r="U43" s="41"/>
      <c r="V43" s="47"/>
      <c r="W43" s="34" t="str">
        <f aca="false">IF(OR(T43="",V43=""),"",ROUND(T43*V43,2))</f>
        <v/>
      </c>
      <c r="X43" s="50"/>
      <c r="Y43" s="48"/>
      <c r="Z43" s="43"/>
    </row>
    <row r="44" customFormat="false" ht="21.75" hidden="false" customHeight="true" outlineLevel="0" collapsed="false">
      <c r="A44" s="48"/>
      <c r="B44" s="43"/>
      <c r="C44" s="40"/>
      <c r="D44" s="41"/>
      <c r="E44" s="41"/>
      <c r="F44" s="46"/>
      <c r="G44" s="46"/>
      <c r="H44" s="46"/>
      <c r="I44" s="46"/>
      <c r="J44" s="46"/>
      <c r="K44" s="46"/>
      <c r="L44" s="46"/>
      <c r="M44" s="34" t="str">
        <f aca="false">IF(F44="","",F44-N(G44)-N(H44)-N(I44)-N(J44)-N(K44)-N(L44))</f>
        <v/>
      </c>
      <c r="N44" s="34" t="str">
        <f aca="false">IF(A44="","",SUMIFS(②销售核销!$L$4:$L$603,②销售核销!$B$4:$B$603,A44))</f>
        <v/>
      </c>
      <c r="O44" s="34" t="str">
        <f aca="false">IF(OR(M44="",N44=""),"",ROUND(M44-N44,2))</f>
        <v/>
      </c>
      <c r="P44" s="43"/>
      <c r="Q44" s="41"/>
      <c r="R44" s="41"/>
      <c r="S44" s="43"/>
      <c r="T44" s="46"/>
      <c r="U44" s="41"/>
      <c r="V44" s="47"/>
      <c r="W44" s="34" t="str">
        <f aca="false">IF(OR(T44="",V44=""),"",ROUND(T44*V44,2))</f>
        <v/>
      </c>
      <c r="X44" s="50"/>
      <c r="Y44" s="48"/>
      <c r="Z44" s="43"/>
    </row>
    <row r="45" customFormat="false" ht="21.75" hidden="false" customHeight="true" outlineLevel="0" collapsed="false">
      <c r="A45" s="48"/>
      <c r="B45" s="43"/>
      <c r="C45" s="40"/>
      <c r="D45" s="41"/>
      <c r="E45" s="41"/>
      <c r="F45" s="46"/>
      <c r="G45" s="46"/>
      <c r="H45" s="46"/>
      <c r="I45" s="46"/>
      <c r="J45" s="46"/>
      <c r="K45" s="46"/>
      <c r="L45" s="46"/>
      <c r="M45" s="34" t="str">
        <f aca="false">IF(F45="","",F45-N(G45)-N(H45)-N(I45)-N(J45)-N(K45)-N(L45))</f>
        <v/>
      </c>
      <c r="N45" s="34" t="str">
        <f aca="false">IF(A45="","",SUMIFS(②销售核销!$L$4:$L$603,②销售核销!$B$4:$B$603,A45))</f>
        <v/>
      </c>
      <c r="O45" s="34" t="str">
        <f aca="false">IF(OR(M45="",N45=""),"",ROUND(M45-N45,2))</f>
        <v/>
      </c>
      <c r="P45" s="43"/>
      <c r="Q45" s="41"/>
      <c r="R45" s="41"/>
      <c r="S45" s="43"/>
      <c r="T45" s="46"/>
      <c r="U45" s="41"/>
      <c r="V45" s="47"/>
      <c r="W45" s="34" t="str">
        <f aca="false">IF(OR(T45="",V45=""),"",ROUND(T45*V45,2))</f>
        <v/>
      </c>
      <c r="X45" s="50"/>
      <c r="Y45" s="48"/>
      <c r="Z45" s="43"/>
    </row>
    <row r="46" customFormat="false" ht="21.75" hidden="false" customHeight="true" outlineLevel="0" collapsed="false">
      <c r="A46" s="48"/>
      <c r="B46" s="43"/>
      <c r="C46" s="40"/>
      <c r="D46" s="41"/>
      <c r="E46" s="41"/>
      <c r="F46" s="46"/>
      <c r="G46" s="46"/>
      <c r="H46" s="46"/>
      <c r="I46" s="46"/>
      <c r="J46" s="46"/>
      <c r="K46" s="46"/>
      <c r="L46" s="46"/>
      <c r="M46" s="34" t="str">
        <f aca="false">IF(F46="","",F46-N(G46)-N(H46)-N(I46)-N(J46)-N(K46)-N(L46))</f>
        <v/>
      </c>
      <c r="N46" s="34" t="str">
        <f aca="false">IF(A46="","",SUMIFS(②销售核销!$L$4:$L$603,②销售核销!$B$4:$B$603,A46))</f>
        <v/>
      </c>
      <c r="O46" s="34" t="str">
        <f aca="false">IF(OR(M46="",N46=""),"",ROUND(M46-N46,2))</f>
        <v/>
      </c>
      <c r="P46" s="43"/>
      <c r="Q46" s="41"/>
      <c r="R46" s="41"/>
      <c r="S46" s="43"/>
      <c r="T46" s="46"/>
      <c r="U46" s="41"/>
      <c r="V46" s="47"/>
      <c r="W46" s="34" t="str">
        <f aca="false">IF(OR(T46="",V46=""),"",ROUND(T46*V46,2))</f>
        <v/>
      </c>
      <c r="X46" s="50"/>
      <c r="Y46" s="48"/>
      <c r="Z46" s="43"/>
    </row>
    <row r="47" customFormat="false" ht="21.75" hidden="false" customHeight="true" outlineLevel="0" collapsed="false">
      <c r="A47" s="48"/>
      <c r="B47" s="43"/>
      <c r="C47" s="40"/>
      <c r="D47" s="41"/>
      <c r="E47" s="41"/>
      <c r="F47" s="46"/>
      <c r="G47" s="46"/>
      <c r="H47" s="46"/>
      <c r="I47" s="46"/>
      <c r="J47" s="46"/>
      <c r="K47" s="46"/>
      <c r="L47" s="46"/>
      <c r="M47" s="34" t="str">
        <f aca="false">IF(F47="","",F47-N(G47)-N(H47)-N(I47)-N(J47)-N(K47)-N(L47))</f>
        <v/>
      </c>
      <c r="N47" s="34" t="str">
        <f aca="false">IF(A47="","",SUMIFS(②销售核销!$L$4:$L$603,②销售核销!$B$4:$B$603,A47))</f>
        <v/>
      </c>
      <c r="O47" s="34" t="str">
        <f aca="false">IF(OR(M47="",N47=""),"",ROUND(M47-N47,2))</f>
        <v/>
      </c>
      <c r="P47" s="43"/>
      <c r="Q47" s="41"/>
      <c r="R47" s="41"/>
      <c r="S47" s="43"/>
      <c r="T47" s="46"/>
      <c r="U47" s="41"/>
      <c r="V47" s="47"/>
      <c r="W47" s="34" t="str">
        <f aca="false">IF(OR(T47="",V47=""),"",ROUND(T47*V47,2))</f>
        <v/>
      </c>
      <c r="X47" s="50"/>
      <c r="Y47" s="48"/>
      <c r="Z47" s="43"/>
    </row>
    <row r="48" customFormat="false" ht="21.75" hidden="false" customHeight="true" outlineLevel="0" collapsed="false">
      <c r="A48" s="48"/>
      <c r="B48" s="43"/>
      <c r="C48" s="40"/>
      <c r="D48" s="41"/>
      <c r="E48" s="41"/>
      <c r="F48" s="46"/>
      <c r="G48" s="46"/>
      <c r="H48" s="46"/>
      <c r="I48" s="46"/>
      <c r="J48" s="46"/>
      <c r="K48" s="46"/>
      <c r="L48" s="46"/>
      <c r="M48" s="34" t="str">
        <f aca="false">IF(F48="","",F48-N(G48)-N(H48)-N(I48)-N(J48)-N(K48)-N(L48))</f>
        <v/>
      </c>
      <c r="N48" s="34" t="str">
        <f aca="false">IF(A48="","",SUMIFS(②销售核销!$L$4:$L$603,②销售核销!$B$4:$B$603,A48))</f>
        <v/>
      </c>
      <c r="O48" s="34" t="str">
        <f aca="false">IF(OR(M48="",N48=""),"",ROUND(M48-N48,2))</f>
        <v/>
      </c>
      <c r="P48" s="43"/>
      <c r="Q48" s="41"/>
      <c r="R48" s="41"/>
      <c r="S48" s="43"/>
      <c r="T48" s="46"/>
      <c r="U48" s="41"/>
      <c r="V48" s="47"/>
      <c r="W48" s="34" t="str">
        <f aca="false">IF(OR(T48="",V48=""),"",ROUND(T48*V48,2))</f>
        <v/>
      </c>
      <c r="X48" s="50"/>
      <c r="Y48" s="48"/>
      <c r="Z48" s="43"/>
    </row>
    <row r="49" customFormat="false" ht="21.75" hidden="false" customHeight="true" outlineLevel="0" collapsed="false">
      <c r="A49" s="48"/>
      <c r="B49" s="43"/>
      <c r="C49" s="40"/>
      <c r="D49" s="41"/>
      <c r="E49" s="41"/>
      <c r="F49" s="46"/>
      <c r="G49" s="46"/>
      <c r="H49" s="46"/>
      <c r="I49" s="46"/>
      <c r="J49" s="46"/>
      <c r="K49" s="46"/>
      <c r="L49" s="46"/>
      <c r="M49" s="34" t="str">
        <f aca="false">IF(F49="","",F49-N(G49)-N(H49)-N(I49)-N(J49)-N(K49)-N(L49))</f>
        <v/>
      </c>
      <c r="N49" s="34" t="str">
        <f aca="false">IF(A49="","",SUMIFS(②销售核销!$L$4:$L$603,②销售核销!$B$4:$B$603,A49))</f>
        <v/>
      </c>
      <c r="O49" s="34" t="str">
        <f aca="false">IF(OR(M49="",N49=""),"",ROUND(M49-N49,2))</f>
        <v/>
      </c>
      <c r="P49" s="43"/>
      <c r="Q49" s="41"/>
      <c r="R49" s="41"/>
      <c r="S49" s="43"/>
      <c r="T49" s="46"/>
      <c r="U49" s="41"/>
      <c r="V49" s="47"/>
      <c r="W49" s="34" t="str">
        <f aca="false">IF(OR(T49="",V49=""),"",ROUND(T49*V49,2))</f>
        <v/>
      </c>
      <c r="X49" s="50"/>
      <c r="Y49" s="48"/>
      <c r="Z49" s="43"/>
    </row>
    <row r="50" customFormat="false" ht="21.75" hidden="false" customHeight="true" outlineLevel="0" collapsed="false">
      <c r="A50" s="48"/>
      <c r="B50" s="43"/>
      <c r="C50" s="40"/>
      <c r="D50" s="41"/>
      <c r="E50" s="41"/>
      <c r="F50" s="46"/>
      <c r="G50" s="46"/>
      <c r="H50" s="46"/>
      <c r="I50" s="46"/>
      <c r="J50" s="46"/>
      <c r="K50" s="46"/>
      <c r="L50" s="46"/>
      <c r="M50" s="34" t="str">
        <f aca="false">IF(F50="","",F50-N(G50)-N(H50)-N(I50)-N(J50)-N(K50)-N(L50))</f>
        <v/>
      </c>
      <c r="N50" s="34" t="str">
        <f aca="false">IF(A50="","",SUMIFS(②销售核销!$L$4:$L$603,②销售核销!$B$4:$B$603,A50))</f>
        <v/>
      </c>
      <c r="O50" s="34" t="str">
        <f aca="false">IF(OR(M50="",N50=""),"",ROUND(M50-N50,2))</f>
        <v/>
      </c>
      <c r="P50" s="43"/>
      <c r="Q50" s="41"/>
      <c r="R50" s="41"/>
      <c r="S50" s="43"/>
      <c r="T50" s="46"/>
      <c r="U50" s="41"/>
      <c r="V50" s="47"/>
      <c r="W50" s="34" t="str">
        <f aca="false">IF(OR(T50="",V50=""),"",ROUND(T50*V50,2))</f>
        <v/>
      </c>
      <c r="X50" s="50"/>
      <c r="Y50" s="48"/>
      <c r="Z50" s="43"/>
    </row>
    <row r="51" customFormat="false" ht="21.75" hidden="false" customHeight="true" outlineLevel="0" collapsed="false">
      <c r="A51" s="48"/>
      <c r="B51" s="43"/>
      <c r="C51" s="40"/>
      <c r="D51" s="41"/>
      <c r="E51" s="41"/>
      <c r="F51" s="46"/>
      <c r="G51" s="46"/>
      <c r="H51" s="46"/>
      <c r="I51" s="46"/>
      <c r="J51" s="46"/>
      <c r="K51" s="46"/>
      <c r="L51" s="46"/>
      <c r="M51" s="34" t="str">
        <f aca="false">IF(F51="","",F51-N(G51)-N(H51)-N(I51)-N(J51)-N(K51)-N(L51))</f>
        <v/>
      </c>
      <c r="N51" s="34" t="str">
        <f aca="false">IF(A51="","",SUMIFS(②销售核销!$L$4:$L$603,②销售核销!$B$4:$B$603,A51))</f>
        <v/>
      </c>
      <c r="O51" s="34" t="str">
        <f aca="false">IF(OR(M51="",N51=""),"",ROUND(M51-N51,2))</f>
        <v/>
      </c>
      <c r="P51" s="43"/>
      <c r="Q51" s="41"/>
      <c r="R51" s="41"/>
      <c r="S51" s="43"/>
      <c r="T51" s="46"/>
      <c r="U51" s="41"/>
      <c r="V51" s="47"/>
      <c r="W51" s="34" t="str">
        <f aca="false">IF(OR(T51="",V51=""),"",ROUND(T51*V51,2))</f>
        <v/>
      </c>
      <c r="X51" s="50"/>
      <c r="Y51" s="48"/>
      <c r="Z51" s="43"/>
    </row>
    <row r="52" customFormat="false" ht="21.75" hidden="false" customHeight="true" outlineLevel="0" collapsed="false">
      <c r="A52" s="48"/>
      <c r="B52" s="43"/>
      <c r="C52" s="40"/>
      <c r="D52" s="41"/>
      <c r="E52" s="41"/>
      <c r="F52" s="46"/>
      <c r="G52" s="46"/>
      <c r="H52" s="46"/>
      <c r="I52" s="46"/>
      <c r="J52" s="46"/>
      <c r="K52" s="46"/>
      <c r="L52" s="46"/>
      <c r="M52" s="34" t="str">
        <f aca="false">IF(F52="","",F52-N(G52)-N(H52)-N(I52)-N(J52)-N(K52)-N(L52))</f>
        <v/>
      </c>
      <c r="N52" s="34" t="str">
        <f aca="false">IF(A52="","",SUMIFS(②销售核销!$L$4:$L$603,②销售核销!$B$4:$B$603,A52))</f>
        <v/>
      </c>
      <c r="O52" s="34" t="str">
        <f aca="false">IF(OR(M52="",N52=""),"",ROUND(M52-N52,2))</f>
        <v/>
      </c>
      <c r="P52" s="43"/>
      <c r="Q52" s="41"/>
      <c r="R52" s="41"/>
      <c r="S52" s="43"/>
      <c r="T52" s="46"/>
      <c r="U52" s="41"/>
      <c r="V52" s="47"/>
      <c r="W52" s="34" t="str">
        <f aca="false">IF(OR(T52="",V52=""),"",ROUND(T52*V52,2))</f>
        <v/>
      </c>
      <c r="X52" s="50"/>
      <c r="Y52" s="48"/>
      <c r="Z52" s="43"/>
    </row>
    <row r="53" customFormat="false" ht="21.75" hidden="false" customHeight="true" outlineLevel="0" collapsed="false">
      <c r="A53" s="48"/>
      <c r="B53" s="43"/>
      <c r="C53" s="40"/>
      <c r="D53" s="41"/>
      <c r="E53" s="41"/>
      <c r="F53" s="46"/>
      <c r="G53" s="46"/>
      <c r="H53" s="46"/>
      <c r="I53" s="46"/>
      <c r="J53" s="46"/>
      <c r="K53" s="46"/>
      <c r="L53" s="46"/>
      <c r="M53" s="34" t="str">
        <f aca="false">IF(F53="","",F53-N(G53)-N(H53)-N(I53)-N(J53)-N(K53)-N(L53))</f>
        <v/>
      </c>
      <c r="N53" s="34" t="str">
        <f aca="false">IF(A53="","",SUMIFS(②销售核销!$L$4:$L$603,②销售核销!$B$4:$B$603,A53))</f>
        <v/>
      </c>
      <c r="O53" s="34" t="str">
        <f aca="false">IF(OR(M53="",N53=""),"",ROUND(M53-N53,2))</f>
        <v/>
      </c>
      <c r="P53" s="43"/>
      <c r="Q53" s="41"/>
      <c r="R53" s="41"/>
      <c r="S53" s="43"/>
      <c r="T53" s="46"/>
      <c r="U53" s="41"/>
      <c r="V53" s="47"/>
      <c r="W53" s="34" t="str">
        <f aca="false">IF(OR(T53="",V53=""),"",ROUND(T53*V53,2))</f>
        <v/>
      </c>
      <c r="X53" s="50"/>
      <c r="Y53" s="48"/>
      <c r="Z53" s="43"/>
    </row>
    <row r="54" customFormat="false" ht="21.75" hidden="false" customHeight="true" outlineLevel="0" collapsed="false">
      <c r="A54" s="48"/>
      <c r="B54" s="43"/>
      <c r="C54" s="40"/>
      <c r="D54" s="41"/>
      <c r="E54" s="41"/>
      <c r="F54" s="46"/>
      <c r="G54" s="46"/>
      <c r="H54" s="46"/>
      <c r="I54" s="46"/>
      <c r="J54" s="46"/>
      <c r="K54" s="46"/>
      <c r="L54" s="46"/>
      <c r="M54" s="34" t="str">
        <f aca="false">IF(F54="","",F54-N(G54)-N(H54)-N(I54)-N(J54)-N(K54)-N(L54))</f>
        <v/>
      </c>
      <c r="N54" s="34" t="str">
        <f aca="false">IF(A54="","",SUMIFS(②销售核销!$L$4:$L$603,②销售核销!$B$4:$B$603,A54))</f>
        <v/>
      </c>
      <c r="O54" s="34" t="str">
        <f aca="false">IF(OR(M54="",N54=""),"",ROUND(M54-N54,2))</f>
        <v/>
      </c>
      <c r="P54" s="43"/>
      <c r="Q54" s="41"/>
      <c r="R54" s="41"/>
      <c r="S54" s="43"/>
      <c r="T54" s="46"/>
      <c r="U54" s="41"/>
      <c r="V54" s="47"/>
      <c r="W54" s="34" t="str">
        <f aca="false">IF(OR(T54="",V54=""),"",ROUND(T54*V54,2))</f>
        <v/>
      </c>
      <c r="X54" s="50"/>
      <c r="Y54" s="48"/>
      <c r="Z54" s="43"/>
    </row>
    <row r="55" customFormat="false" ht="21.75" hidden="false" customHeight="true" outlineLevel="0" collapsed="false">
      <c r="A55" s="48"/>
      <c r="B55" s="43"/>
      <c r="C55" s="40"/>
      <c r="D55" s="41"/>
      <c r="E55" s="41"/>
      <c r="F55" s="46"/>
      <c r="G55" s="46"/>
      <c r="H55" s="46"/>
      <c r="I55" s="46"/>
      <c r="J55" s="46"/>
      <c r="K55" s="46"/>
      <c r="L55" s="46"/>
      <c r="M55" s="34" t="str">
        <f aca="false">IF(F55="","",F55-N(G55)-N(H55)-N(I55)-N(J55)-N(K55)-N(L55))</f>
        <v/>
      </c>
      <c r="N55" s="34" t="str">
        <f aca="false">IF(A55="","",SUMIFS(②销售核销!$L$4:$L$603,②销售核销!$B$4:$B$603,A55))</f>
        <v/>
      </c>
      <c r="O55" s="34" t="str">
        <f aca="false">IF(OR(M55="",N55=""),"",ROUND(M55-N55,2))</f>
        <v/>
      </c>
      <c r="P55" s="43"/>
      <c r="Q55" s="41"/>
      <c r="R55" s="41"/>
      <c r="S55" s="43"/>
      <c r="T55" s="46"/>
      <c r="U55" s="41"/>
      <c r="V55" s="47"/>
      <c r="W55" s="34" t="str">
        <f aca="false">IF(OR(T55="",V55=""),"",ROUND(T55*V55,2))</f>
        <v/>
      </c>
      <c r="X55" s="50"/>
      <c r="Y55" s="48"/>
      <c r="Z55" s="43"/>
    </row>
    <row r="56" customFormat="false" ht="21.75" hidden="false" customHeight="true" outlineLevel="0" collapsed="false">
      <c r="A56" s="48"/>
      <c r="B56" s="43"/>
      <c r="C56" s="40"/>
      <c r="D56" s="41"/>
      <c r="E56" s="41"/>
      <c r="F56" s="46"/>
      <c r="G56" s="46"/>
      <c r="H56" s="46"/>
      <c r="I56" s="46"/>
      <c r="J56" s="46"/>
      <c r="K56" s="46"/>
      <c r="L56" s="46"/>
      <c r="M56" s="34" t="str">
        <f aca="false">IF(F56="","",F56-N(G56)-N(H56)-N(I56)-N(J56)-N(K56)-N(L56))</f>
        <v/>
      </c>
      <c r="N56" s="34" t="str">
        <f aca="false">IF(A56="","",SUMIFS(②销售核销!$L$4:$L$603,②销售核销!$B$4:$B$603,A56))</f>
        <v/>
      </c>
      <c r="O56" s="34" t="str">
        <f aca="false">IF(OR(M56="",N56=""),"",ROUND(M56-N56,2))</f>
        <v/>
      </c>
      <c r="P56" s="43"/>
      <c r="Q56" s="41"/>
      <c r="R56" s="41"/>
      <c r="S56" s="43"/>
      <c r="T56" s="46"/>
      <c r="U56" s="41"/>
      <c r="V56" s="47"/>
      <c r="W56" s="34" t="str">
        <f aca="false">IF(OR(T56="",V56=""),"",ROUND(T56*V56,2))</f>
        <v/>
      </c>
      <c r="X56" s="50"/>
      <c r="Y56" s="48"/>
      <c r="Z56" s="43"/>
    </row>
    <row r="57" customFormat="false" ht="21.75" hidden="false" customHeight="true" outlineLevel="0" collapsed="false">
      <c r="A57" s="48"/>
      <c r="B57" s="43"/>
      <c r="C57" s="40"/>
      <c r="D57" s="41"/>
      <c r="E57" s="41"/>
      <c r="F57" s="46"/>
      <c r="G57" s="46"/>
      <c r="H57" s="46"/>
      <c r="I57" s="46"/>
      <c r="J57" s="46"/>
      <c r="K57" s="46"/>
      <c r="L57" s="46"/>
      <c r="M57" s="34" t="str">
        <f aca="false">IF(F57="","",F57-N(G57)-N(H57)-N(I57)-N(J57)-N(K57)-N(L57))</f>
        <v/>
      </c>
      <c r="N57" s="34" t="str">
        <f aca="false">IF(A57="","",SUMIFS(②销售核销!$L$4:$L$603,②销售核销!$B$4:$B$603,A57))</f>
        <v/>
      </c>
      <c r="O57" s="34" t="str">
        <f aca="false">IF(OR(M57="",N57=""),"",ROUND(M57-N57,2))</f>
        <v/>
      </c>
      <c r="P57" s="43"/>
      <c r="Q57" s="41"/>
      <c r="R57" s="41"/>
      <c r="S57" s="43"/>
      <c r="T57" s="46"/>
      <c r="U57" s="41"/>
      <c r="V57" s="47"/>
      <c r="W57" s="34" t="str">
        <f aca="false">IF(OR(T57="",V57=""),"",ROUND(T57*V57,2))</f>
        <v/>
      </c>
      <c r="X57" s="50"/>
      <c r="Y57" s="48"/>
      <c r="Z57" s="43"/>
    </row>
    <row r="58" customFormat="false" ht="21.75" hidden="false" customHeight="true" outlineLevel="0" collapsed="false">
      <c r="A58" s="48"/>
      <c r="B58" s="43"/>
      <c r="C58" s="40"/>
      <c r="D58" s="41"/>
      <c r="E58" s="41"/>
      <c r="F58" s="46"/>
      <c r="G58" s="46"/>
      <c r="H58" s="46"/>
      <c r="I58" s="46"/>
      <c r="J58" s="46"/>
      <c r="K58" s="46"/>
      <c r="L58" s="46"/>
      <c r="M58" s="34" t="str">
        <f aca="false">IF(F58="","",F58-N(G58)-N(H58)-N(I58)-N(J58)-N(K58)-N(L58))</f>
        <v/>
      </c>
      <c r="N58" s="34" t="str">
        <f aca="false">IF(A58="","",SUMIFS(②销售核销!$L$4:$L$603,②销售核销!$B$4:$B$603,A58))</f>
        <v/>
      </c>
      <c r="O58" s="34" t="str">
        <f aca="false">IF(OR(M58="",N58=""),"",ROUND(M58-N58,2))</f>
        <v/>
      </c>
      <c r="P58" s="43"/>
      <c r="Q58" s="41"/>
      <c r="R58" s="41"/>
      <c r="S58" s="43"/>
      <c r="T58" s="46"/>
      <c r="U58" s="41"/>
      <c r="V58" s="47"/>
      <c r="W58" s="34" t="str">
        <f aca="false">IF(OR(T58="",V58=""),"",ROUND(T58*V58,2))</f>
        <v/>
      </c>
      <c r="X58" s="50"/>
      <c r="Y58" s="48"/>
      <c r="Z58" s="43"/>
    </row>
    <row r="59" customFormat="false" ht="21.75" hidden="false" customHeight="true" outlineLevel="0" collapsed="false">
      <c r="A59" s="48"/>
      <c r="B59" s="43"/>
      <c r="C59" s="40"/>
      <c r="D59" s="41"/>
      <c r="E59" s="41"/>
      <c r="F59" s="46"/>
      <c r="G59" s="46"/>
      <c r="H59" s="46"/>
      <c r="I59" s="46"/>
      <c r="J59" s="46"/>
      <c r="K59" s="46"/>
      <c r="L59" s="46"/>
      <c r="M59" s="34" t="str">
        <f aca="false">IF(F59="","",F59-N(G59)-N(H59)-N(I59)-N(J59)-N(K59)-N(L59))</f>
        <v/>
      </c>
      <c r="N59" s="34" t="str">
        <f aca="false">IF(A59="","",SUMIFS(②销售核销!$L$4:$L$603,②销售核销!$B$4:$B$603,A59))</f>
        <v/>
      </c>
      <c r="O59" s="34" t="str">
        <f aca="false">IF(OR(M59="",N59=""),"",ROUND(M59-N59,2))</f>
        <v/>
      </c>
      <c r="P59" s="43"/>
      <c r="Q59" s="41"/>
      <c r="R59" s="41"/>
      <c r="S59" s="43"/>
      <c r="T59" s="46"/>
      <c r="U59" s="41"/>
      <c r="V59" s="47"/>
      <c r="W59" s="34" t="str">
        <f aca="false">IF(OR(T59="",V59=""),"",ROUND(T59*V59,2))</f>
        <v/>
      </c>
      <c r="X59" s="50"/>
      <c r="Y59" s="48"/>
      <c r="Z59" s="43"/>
    </row>
    <row r="60" customFormat="false" ht="21.75" hidden="false" customHeight="true" outlineLevel="0" collapsed="false">
      <c r="A60" s="48"/>
      <c r="B60" s="43"/>
      <c r="C60" s="40"/>
      <c r="D60" s="41"/>
      <c r="E60" s="41"/>
      <c r="F60" s="46"/>
      <c r="G60" s="46"/>
      <c r="H60" s="46"/>
      <c r="I60" s="46"/>
      <c r="J60" s="46"/>
      <c r="K60" s="46"/>
      <c r="L60" s="46"/>
      <c r="M60" s="34" t="str">
        <f aca="false">IF(F60="","",F60-N(G60)-N(H60)-N(I60)-N(J60)-N(K60)-N(L60))</f>
        <v/>
      </c>
      <c r="N60" s="34" t="str">
        <f aca="false">IF(A60="","",SUMIFS(②销售核销!$L$4:$L$603,②销售核销!$B$4:$B$603,A60))</f>
        <v/>
      </c>
      <c r="O60" s="34" t="str">
        <f aca="false">IF(OR(M60="",N60=""),"",ROUND(M60-N60,2))</f>
        <v/>
      </c>
      <c r="P60" s="43"/>
      <c r="Q60" s="41"/>
      <c r="R60" s="41"/>
      <c r="S60" s="43"/>
      <c r="T60" s="46"/>
      <c r="U60" s="41"/>
      <c r="V60" s="47"/>
      <c r="W60" s="34" t="str">
        <f aca="false">IF(OR(T60="",V60=""),"",ROUND(T60*V60,2))</f>
        <v/>
      </c>
      <c r="X60" s="50"/>
      <c r="Y60" s="48"/>
      <c r="Z60" s="43"/>
    </row>
    <row r="61" customFormat="false" ht="21.75" hidden="false" customHeight="true" outlineLevel="0" collapsed="false">
      <c r="A61" s="48"/>
      <c r="B61" s="43"/>
      <c r="C61" s="40"/>
      <c r="D61" s="41"/>
      <c r="E61" s="41"/>
      <c r="F61" s="46"/>
      <c r="G61" s="46"/>
      <c r="H61" s="46"/>
      <c r="I61" s="46"/>
      <c r="J61" s="46"/>
      <c r="K61" s="46"/>
      <c r="L61" s="46"/>
      <c r="M61" s="34" t="str">
        <f aca="false">IF(F61="","",F61-N(G61)-N(H61)-N(I61)-N(J61)-N(K61)-N(L61))</f>
        <v/>
      </c>
      <c r="N61" s="34" t="str">
        <f aca="false">IF(A61="","",SUMIFS(②销售核销!$L$4:$L$603,②销售核销!$B$4:$B$603,A61))</f>
        <v/>
      </c>
      <c r="O61" s="34" t="str">
        <f aca="false">IF(OR(M61="",N61=""),"",ROUND(M61-N61,2))</f>
        <v/>
      </c>
      <c r="P61" s="43"/>
      <c r="Q61" s="41"/>
      <c r="R61" s="41"/>
      <c r="S61" s="43"/>
      <c r="T61" s="46"/>
      <c r="U61" s="41"/>
      <c r="V61" s="47"/>
      <c r="W61" s="34" t="str">
        <f aca="false">IF(OR(T61="",V61=""),"",ROUND(T61*V61,2))</f>
        <v/>
      </c>
      <c r="X61" s="50"/>
      <c r="Y61" s="48"/>
      <c r="Z61" s="43"/>
    </row>
    <row r="62" customFormat="false" ht="21.75" hidden="false" customHeight="true" outlineLevel="0" collapsed="false">
      <c r="A62" s="48"/>
      <c r="B62" s="43"/>
      <c r="C62" s="40"/>
      <c r="D62" s="41"/>
      <c r="E62" s="41"/>
      <c r="F62" s="46"/>
      <c r="G62" s="46"/>
      <c r="H62" s="46"/>
      <c r="I62" s="46"/>
      <c r="J62" s="46"/>
      <c r="K62" s="46"/>
      <c r="L62" s="46"/>
      <c r="M62" s="34" t="str">
        <f aca="false">IF(F62="","",F62-N(G62)-N(H62)-N(I62)-N(J62)-N(K62)-N(L62))</f>
        <v/>
      </c>
      <c r="N62" s="34" t="str">
        <f aca="false">IF(A62="","",SUMIFS(②销售核销!$L$4:$L$603,②销售核销!$B$4:$B$603,A62))</f>
        <v/>
      </c>
      <c r="O62" s="34" t="str">
        <f aca="false">IF(OR(M62="",N62=""),"",ROUND(M62-N62,2))</f>
        <v/>
      </c>
      <c r="P62" s="43"/>
      <c r="Q62" s="41"/>
      <c r="R62" s="41"/>
      <c r="S62" s="43"/>
      <c r="T62" s="46"/>
      <c r="U62" s="41"/>
      <c r="V62" s="47"/>
      <c r="W62" s="34" t="str">
        <f aca="false">IF(OR(T62="",V62=""),"",ROUND(T62*V62,2))</f>
        <v/>
      </c>
      <c r="X62" s="50"/>
      <c r="Y62" s="48"/>
      <c r="Z62" s="43"/>
    </row>
    <row r="63" customFormat="false" ht="21.75" hidden="false" customHeight="true" outlineLevel="0" collapsed="false">
      <c r="A63" s="48"/>
      <c r="B63" s="43"/>
      <c r="C63" s="40"/>
      <c r="D63" s="41"/>
      <c r="E63" s="41"/>
      <c r="F63" s="46"/>
      <c r="G63" s="46"/>
      <c r="H63" s="46"/>
      <c r="I63" s="46"/>
      <c r="J63" s="46"/>
      <c r="K63" s="46"/>
      <c r="L63" s="46"/>
      <c r="M63" s="34" t="str">
        <f aca="false">IF(F63="","",F63-N(G63)-N(H63)-N(I63)-N(J63)-N(K63)-N(L63))</f>
        <v/>
      </c>
      <c r="N63" s="34" t="str">
        <f aca="false">IF(A63="","",SUMIFS(②销售核销!$L$4:$L$603,②销售核销!$B$4:$B$603,A63))</f>
        <v/>
      </c>
      <c r="O63" s="34" t="str">
        <f aca="false">IF(OR(M63="",N63=""),"",ROUND(M63-N63,2))</f>
        <v/>
      </c>
      <c r="P63" s="43"/>
      <c r="Q63" s="41"/>
      <c r="R63" s="41"/>
      <c r="S63" s="43"/>
      <c r="T63" s="46"/>
      <c r="U63" s="41"/>
      <c r="V63" s="47"/>
      <c r="W63" s="34" t="str">
        <f aca="false">IF(OR(T63="",V63=""),"",ROUND(T63*V63,2))</f>
        <v/>
      </c>
      <c r="X63" s="50"/>
      <c r="Y63" s="48"/>
      <c r="Z63" s="43"/>
    </row>
    <row r="64" customFormat="false" ht="21.75" hidden="false" customHeight="true" outlineLevel="0" collapsed="false">
      <c r="A64" s="48"/>
      <c r="B64" s="43"/>
      <c r="C64" s="40"/>
      <c r="D64" s="41"/>
      <c r="E64" s="41"/>
      <c r="F64" s="46"/>
      <c r="G64" s="46"/>
      <c r="H64" s="46"/>
      <c r="I64" s="46"/>
      <c r="J64" s="46"/>
      <c r="K64" s="46"/>
      <c r="L64" s="46"/>
      <c r="M64" s="34" t="str">
        <f aca="false">IF(F64="","",F64-N(G64)-N(H64)-N(I64)-N(J64)-N(K64)-N(L64))</f>
        <v/>
      </c>
      <c r="N64" s="34" t="str">
        <f aca="false">IF(A64="","",SUMIFS(②销售核销!$L$4:$L$603,②销售核销!$B$4:$B$603,A64))</f>
        <v/>
      </c>
      <c r="O64" s="34" t="str">
        <f aca="false">IF(OR(M64="",N64=""),"",ROUND(M64-N64,2))</f>
        <v/>
      </c>
      <c r="P64" s="43"/>
      <c r="Q64" s="41"/>
      <c r="R64" s="41"/>
      <c r="S64" s="43"/>
      <c r="T64" s="46"/>
      <c r="U64" s="41"/>
      <c r="V64" s="47"/>
      <c r="W64" s="34" t="str">
        <f aca="false">IF(OR(T64="",V64=""),"",ROUND(T64*V64,2))</f>
        <v/>
      </c>
      <c r="X64" s="50"/>
      <c r="Y64" s="48"/>
      <c r="Z64" s="43"/>
    </row>
    <row r="65" customFormat="false" ht="21.75" hidden="false" customHeight="true" outlineLevel="0" collapsed="false">
      <c r="A65" s="48"/>
      <c r="B65" s="43"/>
      <c r="C65" s="40"/>
      <c r="D65" s="41"/>
      <c r="E65" s="41"/>
      <c r="F65" s="46"/>
      <c r="G65" s="46"/>
      <c r="H65" s="46"/>
      <c r="I65" s="46"/>
      <c r="J65" s="46"/>
      <c r="K65" s="46"/>
      <c r="L65" s="46"/>
      <c r="M65" s="34" t="str">
        <f aca="false">IF(F65="","",F65-N(G65)-N(H65)-N(I65)-N(J65)-N(K65)-N(L65))</f>
        <v/>
      </c>
      <c r="N65" s="34" t="str">
        <f aca="false">IF(A65="","",SUMIFS(②销售核销!$L$4:$L$603,②销售核销!$B$4:$B$603,A65))</f>
        <v/>
      </c>
      <c r="O65" s="34" t="str">
        <f aca="false">IF(OR(M65="",N65=""),"",ROUND(M65-N65,2))</f>
        <v/>
      </c>
      <c r="P65" s="43"/>
      <c r="Q65" s="41"/>
      <c r="R65" s="41"/>
      <c r="S65" s="43"/>
      <c r="T65" s="46"/>
      <c r="U65" s="41"/>
      <c r="V65" s="47"/>
      <c r="W65" s="34" t="str">
        <f aca="false">IF(OR(T65="",V65=""),"",ROUND(T65*V65,2))</f>
        <v/>
      </c>
      <c r="X65" s="50"/>
      <c r="Y65" s="48"/>
      <c r="Z65" s="43"/>
    </row>
    <row r="66" customFormat="false" ht="21.75" hidden="false" customHeight="true" outlineLevel="0" collapsed="false">
      <c r="A66" s="48"/>
      <c r="B66" s="43"/>
      <c r="C66" s="40"/>
      <c r="D66" s="41"/>
      <c r="E66" s="41"/>
      <c r="F66" s="46"/>
      <c r="G66" s="46"/>
      <c r="H66" s="46"/>
      <c r="I66" s="46"/>
      <c r="J66" s="46"/>
      <c r="K66" s="46"/>
      <c r="L66" s="46"/>
      <c r="M66" s="34" t="str">
        <f aca="false">IF(F66="","",F66-N(G66)-N(H66)-N(I66)-N(J66)-N(K66)-N(L66))</f>
        <v/>
      </c>
      <c r="N66" s="34" t="str">
        <f aca="false">IF(A66="","",SUMIFS(②销售核销!$L$4:$L$603,②销售核销!$B$4:$B$603,A66))</f>
        <v/>
      </c>
      <c r="O66" s="34" t="str">
        <f aca="false">IF(OR(M66="",N66=""),"",ROUND(M66-N66,2))</f>
        <v/>
      </c>
      <c r="P66" s="43"/>
      <c r="Q66" s="41"/>
      <c r="R66" s="41"/>
      <c r="S66" s="43"/>
      <c r="T66" s="46"/>
      <c r="U66" s="41"/>
      <c r="V66" s="47"/>
      <c r="W66" s="34" t="str">
        <f aca="false">IF(OR(T66="",V66=""),"",ROUND(T66*V66,2))</f>
        <v/>
      </c>
      <c r="X66" s="50"/>
      <c r="Y66" s="48"/>
      <c r="Z66" s="43"/>
    </row>
    <row r="67" customFormat="false" ht="21.75" hidden="false" customHeight="true" outlineLevel="0" collapsed="false">
      <c r="A67" s="48"/>
      <c r="B67" s="43"/>
      <c r="C67" s="40"/>
      <c r="D67" s="41"/>
      <c r="E67" s="41"/>
      <c r="F67" s="46"/>
      <c r="G67" s="46"/>
      <c r="H67" s="46"/>
      <c r="I67" s="46"/>
      <c r="J67" s="46"/>
      <c r="K67" s="46"/>
      <c r="L67" s="46"/>
      <c r="M67" s="34" t="str">
        <f aca="false">IF(F67="","",F67-N(G67)-N(H67)-N(I67)-N(J67)-N(K67)-N(L67))</f>
        <v/>
      </c>
      <c r="N67" s="34" t="str">
        <f aca="false">IF(A67="","",SUMIFS(②销售核销!$L$4:$L$603,②销售核销!$B$4:$B$603,A67))</f>
        <v/>
      </c>
      <c r="O67" s="34" t="str">
        <f aca="false">IF(OR(M67="",N67=""),"",ROUND(M67-N67,2))</f>
        <v/>
      </c>
      <c r="P67" s="43"/>
      <c r="Q67" s="41"/>
      <c r="R67" s="41"/>
      <c r="S67" s="43"/>
      <c r="T67" s="46"/>
      <c r="U67" s="41"/>
      <c r="V67" s="47"/>
      <c r="W67" s="34" t="str">
        <f aca="false">IF(OR(T67="",V67=""),"",ROUND(T67*V67,2))</f>
        <v/>
      </c>
      <c r="X67" s="50"/>
      <c r="Y67" s="48"/>
      <c r="Z67" s="43"/>
    </row>
    <row r="68" customFormat="false" ht="21.75" hidden="false" customHeight="true" outlineLevel="0" collapsed="false">
      <c r="A68" s="48"/>
      <c r="B68" s="43"/>
      <c r="C68" s="40"/>
      <c r="D68" s="41"/>
      <c r="E68" s="41"/>
      <c r="F68" s="46"/>
      <c r="G68" s="46"/>
      <c r="H68" s="46"/>
      <c r="I68" s="46"/>
      <c r="J68" s="46"/>
      <c r="K68" s="46"/>
      <c r="L68" s="46"/>
      <c r="M68" s="34" t="str">
        <f aca="false">IF(F68="","",F68-N(G68)-N(H68)-N(I68)-N(J68)-N(K68)-N(L68))</f>
        <v/>
      </c>
      <c r="N68" s="34" t="str">
        <f aca="false">IF(A68="","",SUMIFS(②销售核销!$L$4:$L$603,②销售核销!$B$4:$B$603,A68))</f>
        <v/>
      </c>
      <c r="O68" s="34" t="str">
        <f aca="false">IF(OR(M68="",N68=""),"",ROUND(M68-N68,2))</f>
        <v/>
      </c>
      <c r="P68" s="43"/>
      <c r="Q68" s="41"/>
      <c r="R68" s="41"/>
      <c r="S68" s="43"/>
      <c r="T68" s="46"/>
      <c r="U68" s="41"/>
      <c r="V68" s="47"/>
      <c r="W68" s="34" t="str">
        <f aca="false">IF(OR(T68="",V68=""),"",ROUND(T68*V68,2))</f>
        <v/>
      </c>
      <c r="X68" s="50"/>
      <c r="Y68" s="48"/>
      <c r="Z68" s="43"/>
    </row>
    <row r="69" customFormat="false" ht="21.75" hidden="false" customHeight="true" outlineLevel="0" collapsed="false">
      <c r="A69" s="48"/>
      <c r="B69" s="43"/>
      <c r="C69" s="40"/>
      <c r="D69" s="41"/>
      <c r="E69" s="41"/>
      <c r="F69" s="46"/>
      <c r="G69" s="46"/>
      <c r="H69" s="46"/>
      <c r="I69" s="46"/>
      <c r="J69" s="46"/>
      <c r="K69" s="46"/>
      <c r="L69" s="46"/>
      <c r="M69" s="34" t="str">
        <f aca="false">IF(F69="","",F69-N(G69)-N(H69)-N(I69)-N(J69)-N(K69)-N(L69))</f>
        <v/>
      </c>
      <c r="N69" s="34" t="str">
        <f aca="false">IF(A69="","",SUMIFS(②销售核销!$L$4:$L$603,②销售核销!$B$4:$B$603,A69))</f>
        <v/>
      </c>
      <c r="O69" s="34" t="str">
        <f aca="false">IF(OR(M69="",N69=""),"",ROUND(M69-N69,2))</f>
        <v/>
      </c>
      <c r="P69" s="43"/>
      <c r="Q69" s="41"/>
      <c r="R69" s="41"/>
      <c r="S69" s="43"/>
      <c r="T69" s="46"/>
      <c r="U69" s="41"/>
      <c r="V69" s="47"/>
      <c r="W69" s="34" t="str">
        <f aca="false">IF(OR(T69="",V69=""),"",ROUND(T69*V69,2))</f>
        <v/>
      </c>
      <c r="X69" s="50"/>
      <c r="Y69" s="48"/>
      <c r="Z69" s="43"/>
    </row>
    <row r="70" customFormat="false" ht="21.75" hidden="false" customHeight="true" outlineLevel="0" collapsed="false">
      <c r="A70" s="48"/>
      <c r="B70" s="43"/>
      <c r="C70" s="40"/>
      <c r="D70" s="41"/>
      <c r="E70" s="41"/>
      <c r="F70" s="46"/>
      <c r="G70" s="46"/>
      <c r="H70" s="46"/>
      <c r="I70" s="46"/>
      <c r="J70" s="46"/>
      <c r="K70" s="46"/>
      <c r="L70" s="46"/>
      <c r="M70" s="34" t="str">
        <f aca="false">IF(F70="","",F70-N(G70)-N(H70)-N(I70)-N(J70)-N(K70)-N(L70))</f>
        <v/>
      </c>
      <c r="N70" s="34" t="str">
        <f aca="false">IF(A70="","",SUMIFS(②销售核销!$L$4:$L$603,②销售核销!$B$4:$B$603,A70))</f>
        <v/>
      </c>
      <c r="O70" s="34" t="str">
        <f aca="false">IF(OR(M70="",N70=""),"",ROUND(M70-N70,2))</f>
        <v/>
      </c>
      <c r="P70" s="43"/>
      <c r="Q70" s="41"/>
      <c r="R70" s="41"/>
      <c r="S70" s="43"/>
      <c r="T70" s="46"/>
      <c r="U70" s="41"/>
      <c r="V70" s="47"/>
      <c r="W70" s="34" t="str">
        <f aca="false">IF(OR(T70="",V70=""),"",ROUND(T70*V70,2))</f>
        <v/>
      </c>
      <c r="X70" s="50"/>
      <c r="Y70" s="48"/>
      <c r="Z70" s="43"/>
    </row>
    <row r="71" customFormat="false" ht="21.75" hidden="false" customHeight="true" outlineLevel="0" collapsed="false">
      <c r="A71" s="48"/>
      <c r="B71" s="43"/>
      <c r="C71" s="40"/>
      <c r="D71" s="41"/>
      <c r="E71" s="41"/>
      <c r="F71" s="46"/>
      <c r="G71" s="46"/>
      <c r="H71" s="46"/>
      <c r="I71" s="46"/>
      <c r="J71" s="46"/>
      <c r="K71" s="46"/>
      <c r="L71" s="46"/>
      <c r="M71" s="34" t="str">
        <f aca="false">IF(F71="","",F71-N(G71)-N(H71)-N(I71)-N(J71)-N(K71)-N(L71))</f>
        <v/>
      </c>
      <c r="N71" s="34" t="str">
        <f aca="false">IF(A71="","",SUMIFS(②销售核销!$L$4:$L$603,②销售核销!$B$4:$B$603,A71))</f>
        <v/>
      </c>
      <c r="O71" s="34" t="str">
        <f aca="false">IF(OR(M71="",N71=""),"",ROUND(M71-N71,2))</f>
        <v/>
      </c>
      <c r="P71" s="43"/>
      <c r="Q71" s="41"/>
      <c r="R71" s="41"/>
      <c r="S71" s="43"/>
      <c r="T71" s="46"/>
      <c r="U71" s="41"/>
      <c r="V71" s="47"/>
      <c r="W71" s="34" t="str">
        <f aca="false">IF(OR(T71="",V71=""),"",ROUND(T71*V71,2))</f>
        <v/>
      </c>
      <c r="X71" s="50"/>
      <c r="Y71" s="48"/>
      <c r="Z71" s="43"/>
    </row>
    <row r="72" customFormat="false" ht="21.75" hidden="false" customHeight="true" outlineLevel="0" collapsed="false">
      <c r="A72" s="48"/>
      <c r="B72" s="43"/>
      <c r="C72" s="40"/>
      <c r="D72" s="41"/>
      <c r="E72" s="41"/>
      <c r="F72" s="46"/>
      <c r="G72" s="46"/>
      <c r="H72" s="46"/>
      <c r="I72" s="46"/>
      <c r="J72" s="46"/>
      <c r="K72" s="46"/>
      <c r="L72" s="46"/>
      <c r="M72" s="34" t="str">
        <f aca="false">IF(F72="","",F72-N(G72)-N(H72)-N(I72)-N(J72)-N(K72)-N(L72))</f>
        <v/>
      </c>
      <c r="N72" s="34" t="str">
        <f aca="false">IF(A72="","",SUMIFS(②销售核销!$L$4:$L$603,②销售核销!$B$4:$B$603,A72))</f>
        <v/>
      </c>
      <c r="O72" s="34" t="str">
        <f aca="false">IF(OR(M72="",N72=""),"",ROUND(M72-N72,2))</f>
        <v/>
      </c>
      <c r="P72" s="43"/>
      <c r="Q72" s="41"/>
      <c r="R72" s="41"/>
      <c r="S72" s="43"/>
      <c r="T72" s="46"/>
      <c r="U72" s="41"/>
      <c r="V72" s="47"/>
      <c r="W72" s="34" t="str">
        <f aca="false">IF(OR(T72="",V72=""),"",ROUND(T72*V72,2))</f>
        <v/>
      </c>
      <c r="X72" s="50"/>
      <c r="Y72" s="48"/>
      <c r="Z72" s="43"/>
    </row>
    <row r="73" customFormat="false" ht="21.75" hidden="false" customHeight="true" outlineLevel="0" collapsed="false">
      <c r="A73" s="48"/>
      <c r="B73" s="43"/>
      <c r="C73" s="40"/>
      <c r="D73" s="41"/>
      <c r="E73" s="41"/>
      <c r="F73" s="46"/>
      <c r="G73" s="46"/>
      <c r="H73" s="46"/>
      <c r="I73" s="46"/>
      <c r="J73" s="46"/>
      <c r="K73" s="46"/>
      <c r="L73" s="46"/>
      <c r="M73" s="34" t="str">
        <f aca="false">IF(F73="","",F73-N(G73)-N(H73)-N(I73)-N(J73)-N(K73)-N(L73))</f>
        <v/>
      </c>
      <c r="N73" s="34" t="str">
        <f aca="false">IF(A73="","",SUMIFS(②销售核销!$L$4:$L$603,②销售核销!$B$4:$B$603,A73))</f>
        <v/>
      </c>
      <c r="O73" s="34" t="str">
        <f aca="false">IF(OR(M73="",N73=""),"",ROUND(M73-N73,2))</f>
        <v/>
      </c>
      <c r="P73" s="43"/>
      <c r="Q73" s="41"/>
      <c r="R73" s="41"/>
      <c r="S73" s="43"/>
      <c r="T73" s="46"/>
      <c r="U73" s="41"/>
      <c r="V73" s="47"/>
      <c r="W73" s="34" t="str">
        <f aca="false">IF(OR(T73="",V73=""),"",ROUND(T73*V73,2))</f>
        <v/>
      </c>
      <c r="X73" s="50"/>
      <c r="Y73" s="48"/>
      <c r="Z73" s="43"/>
    </row>
    <row r="74" customFormat="false" ht="21.75" hidden="false" customHeight="true" outlineLevel="0" collapsed="false">
      <c r="A74" s="48"/>
      <c r="B74" s="43"/>
      <c r="C74" s="40"/>
      <c r="D74" s="41"/>
      <c r="E74" s="41"/>
      <c r="F74" s="46"/>
      <c r="G74" s="46"/>
      <c r="H74" s="46"/>
      <c r="I74" s="46"/>
      <c r="J74" s="46"/>
      <c r="K74" s="46"/>
      <c r="L74" s="46"/>
      <c r="M74" s="34" t="str">
        <f aca="false">IF(F74="","",F74-N(G74)-N(H74)-N(I74)-N(J74)-N(K74)-N(L74))</f>
        <v/>
      </c>
      <c r="N74" s="34" t="str">
        <f aca="false">IF(A74="","",SUMIFS(②销售核销!$L$4:$L$603,②销售核销!$B$4:$B$603,A74))</f>
        <v/>
      </c>
      <c r="O74" s="34" t="str">
        <f aca="false">IF(OR(M74="",N74=""),"",ROUND(M74-N74,2))</f>
        <v/>
      </c>
      <c r="P74" s="43"/>
      <c r="Q74" s="41"/>
      <c r="R74" s="41"/>
      <c r="S74" s="43"/>
      <c r="T74" s="46"/>
      <c r="U74" s="41"/>
      <c r="V74" s="47"/>
      <c r="W74" s="34" t="str">
        <f aca="false">IF(OR(T74="",V74=""),"",ROUND(T74*V74,2))</f>
        <v/>
      </c>
      <c r="X74" s="50"/>
      <c r="Y74" s="48"/>
      <c r="Z74" s="43"/>
    </row>
    <row r="75" customFormat="false" ht="21.75" hidden="false" customHeight="true" outlineLevel="0" collapsed="false">
      <c r="A75" s="48"/>
      <c r="B75" s="43"/>
      <c r="C75" s="40"/>
      <c r="D75" s="41"/>
      <c r="E75" s="41"/>
      <c r="F75" s="46"/>
      <c r="G75" s="46"/>
      <c r="H75" s="46"/>
      <c r="I75" s="46"/>
      <c r="J75" s="46"/>
      <c r="K75" s="46"/>
      <c r="L75" s="46"/>
      <c r="M75" s="34" t="str">
        <f aca="false">IF(F75="","",F75-N(G75)-N(H75)-N(I75)-N(J75)-N(K75)-N(L75))</f>
        <v/>
      </c>
      <c r="N75" s="34" t="str">
        <f aca="false">IF(A75="","",SUMIFS(②销售核销!$L$4:$L$603,②销售核销!$B$4:$B$603,A75))</f>
        <v/>
      </c>
      <c r="O75" s="34" t="str">
        <f aca="false">IF(OR(M75="",N75=""),"",ROUND(M75-N75,2))</f>
        <v/>
      </c>
      <c r="P75" s="43"/>
      <c r="Q75" s="41"/>
      <c r="R75" s="41"/>
      <c r="S75" s="43"/>
      <c r="T75" s="46"/>
      <c r="U75" s="41"/>
      <c r="V75" s="47"/>
      <c r="W75" s="34" t="str">
        <f aca="false">IF(OR(T75="",V75=""),"",ROUND(T75*V75,2))</f>
        <v/>
      </c>
      <c r="X75" s="50"/>
      <c r="Y75" s="48"/>
      <c r="Z75" s="43"/>
    </row>
    <row r="76" customFormat="false" ht="21.75" hidden="false" customHeight="true" outlineLevel="0" collapsed="false">
      <c r="A76" s="48"/>
      <c r="B76" s="43"/>
      <c r="C76" s="40"/>
      <c r="D76" s="41"/>
      <c r="E76" s="41"/>
      <c r="F76" s="46"/>
      <c r="G76" s="46"/>
      <c r="H76" s="46"/>
      <c r="I76" s="46"/>
      <c r="J76" s="46"/>
      <c r="K76" s="46"/>
      <c r="L76" s="46"/>
      <c r="M76" s="34" t="str">
        <f aca="false">IF(F76="","",F76-N(G76)-N(H76)-N(I76)-N(J76)-N(K76)-N(L76))</f>
        <v/>
      </c>
      <c r="N76" s="34" t="str">
        <f aca="false">IF(A76="","",SUMIFS(②销售核销!$L$4:$L$603,②销售核销!$B$4:$B$603,A76))</f>
        <v/>
      </c>
      <c r="O76" s="34" t="str">
        <f aca="false">IF(OR(M76="",N76=""),"",ROUND(M76-N76,2))</f>
        <v/>
      </c>
      <c r="P76" s="43"/>
      <c r="Q76" s="41"/>
      <c r="R76" s="41"/>
      <c r="S76" s="43"/>
      <c r="T76" s="46"/>
      <c r="U76" s="41"/>
      <c r="V76" s="47"/>
      <c r="W76" s="34" t="str">
        <f aca="false">IF(OR(T76="",V76=""),"",ROUND(T76*V76,2))</f>
        <v/>
      </c>
      <c r="X76" s="50"/>
      <c r="Y76" s="48"/>
      <c r="Z76" s="43"/>
    </row>
    <row r="77" customFormat="false" ht="21.75" hidden="false" customHeight="true" outlineLevel="0" collapsed="false">
      <c r="A77" s="48"/>
      <c r="B77" s="43"/>
      <c r="C77" s="40"/>
      <c r="D77" s="41"/>
      <c r="E77" s="41"/>
      <c r="F77" s="46"/>
      <c r="G77" s="46"/>
      <c r="H77" s="46"/>
      <c r="I77" s="46"/>
      <c r="J77" s="46"/>
      <c r="K77" s="46"/>
      <c r="L77" s="46"/>
      <c r="M77" s="34" t="str">
        <f aca="false">IF(F77="","",F77-N(G77)-N(H77)-N(I77)-N(J77)-N(K77)-N(L77))</f>
        <v/>
      </c>
      <c r="N77" s="34" t="str">
        <f aca="false">IF(A77="","",SUMIFS(②销售核销!$L$4:$L$603,②销售核销!$B$4:$B$603,A77))</f>
        <v/>
      </c>
      <c r="O77" s="34" t="str">
        <f aca="false">IF(OR(M77="",N77=""),"",ROUND(M77-N77,2))</f>
        <v/>
      </c>
      <c r="P77" s="43"/>
      <c r="Q77" s="41"/>
      <c r="R77" s="41"/>
      <c r="S77" s="43"/>
      <c r="T77" s="46"/>
      <c r="U77" s="41"/>
      <c r="V77" s="47"/>
      <c r="W77" s="34" t="str">
        <f aca="false">IF(OR(T77="",V77=""),"",ROUND(T77*V77,2))</f>
        <v/>
      </c>
      <c r="X77" s="50"/>
      <c r="Y77" s="48"/>
      <c r="Z77" s="43"/>
    </row>
    <row r="78" customFormat="false" ht="21.75" hidden="false" customHeight="true" outlineLevel="0" collapsed="false">
      <c r="A78" s="48"/>
      <c r="B78" s="43"/>
      <c r="C78" s="40"/>
      <c r="D78" s="41"/>
      <c r="E78" s="41"/>
      <c r="F78" s="46"/>
      <c r="G78" s="46"/>
      <c r="H78" s="46"/>
      <c r="I78" s="46"/>
      <c r="J78" s="46"/>
      <c r="K78" s="46"/>
      <c r="L78" s="46"/>
      <c r="M78" s="34" t="str">
        <f aca="false">IF(F78="","",F78-N(G78)-N(H78)-N(I78)-N(J78)-N(K78)-N(L78))</f>
        <v/>
      </c>
      <c r="N78" s="34" t="str">
        <f aca="false">IF(A78="","",SUMIFS(②销售核销!$L$4:$L$603,②销售核销!$B$4:$B$603,A78))</f>
        <v/>
      </c>
      <c r="O78" s="34" t="str">
        <f aca="false">IF(OR(M78="",N78=""),"",ROUND(M78-N78,2))</f>
        <v/>
      </c>
      <c r="P78" s="43"/>
      <c r="Q78" s="41"/>
      <c r="R78" s="41"/>
      <c r="S78" s="43"/>
      <c r="T78" s="46"/>
      <c r="U78" s="41"/>
      <c r="V78" s="47"/>
      <c r="W78" s="34" t="str">
        <f aca="false">IF(OR(T78="",V78=""),"",ROUND(T78*V78,2))</f>
        <v/>
      </c>
      <c r="X78" s="50"/>
      <c r="Y78" s="48"/>
      <c r="Z78" s="43"/>
    </row>
    <row r="79" customFormat="false" ht="21.75" hidden="false" customHeight="true" outlineLevel="0" collapsed="false">
      <c r="A79" s="48"/>
      <c r="B79" s="43"/>
      <c r="C79" s="40"/>
      <c r="D79" s="41"/>
      <c r="E79" s="41"/>
      <c r="F79" s="46"/>
      <c r="G79" s="46"/>
      <c r="H79" s="46"/>
      <c r="I79" s="46"/>
      <c r="J79" s="46"/>
      <c r="K79" s="46"/>
      <c r="L79" s="46"/>
      <c r="M79" s="34" t="str">
        <f aca="false">IF(F79="","",F79-N(G79)-N(H79)-N(I79)-N(J79)-N(K79)-N(L79))</f>
        <v/>
      </c>
      <c r="N79" s="34" t="str">
        <f aca="false">IF(A79="","",SUMIFS(②销售核销!$L$4:$L$603,②销售核销!$B$4:$B$603,A79))</f>
        <v/>
      </c>
      <c r="O79" s="34" t="str">
        <f aca="false">IF(OR(M79="",N79=""),"",ROUND(M79-N79,2))</f>
        <v/>
      </c>
      <c r="P79" s="43"/>
      <c r="Q79" s="41"/>
      <c r="R79" s="41"/>
      <c r="S79" s="43"/>
      <c r="T79" s="46"/>
      <c r="U79" s="41"/>
      <c r="V79" s="47"/>
      <c r="W79" s="34" t="str">
        <f aca="false">IF(OR(T79="",V79=""),"",ROUND(T79*V79,2))</f>
        <v/>
      </c>
      <c r="X79" s="50"/>
      <c r="Y79" s="48"/>
      <c r="Z79" s="43"/>
    </row>
    <row r="80" customFormat="false" ht="21.75" hidden="false" customHeight="true" outlineLevel="0" collapsed="false">
      <c r="A80" s="48"/>
      <c r="B80" s="43"/>
      <c r="C80" s="40"/>
      <c r="D80" s="41"/>
      <c r="E80" s="41"/>
      <c r="F80" s="46"/>
      <c r="G80" s="46"/>
      <c r="H80" s="46"/>
      <c r="I80" s="46"/>
      <c r="J80" s="46"/>
      <c r="K80" s="46"/>
      <c r="L80" s="46"/>
      <c r="M80" s="34" t="str">
        <f aca="false">IF(F80="","",F80-N(G80)-N(H80)-N(I80)-N(J80)-N(K80)-N(L80))</f>
        <v/>
      </c>
      <c r="N80" s="34" t="str">
        <f aca="false">IF(A80="","",SUMIFS(②销售核销!$L$4:$L$603,②销售核销!$B$4:$B$603,A80))</f>
        <v/>
      </c>
      <c r="O80" s="34" t="str">
        <f aca="false">IF(OR(M80="",N80=""),"",ROUND(M80-N80,2))</f>
        <v/>
      </c>
      <c r="P80" s="43"/>
      <c r="Q80" s="41"/>
      <c r="R80" s="41"/>
      <c r="S80" s="43"/>
      <c r="T80" s="46"/>
      <c r="U80" s="41"/>
      <c r="V80" s="47"/>
      <c r="W80" s="34" t="str">
        <f aca="false">IF(OR(T80="",V80=""),"",ROUND(T80*V80,2))</f>
        <v/>
      </c>
      <c r="X80" s="50"/>
      <c r="Y80" s="48"/>
      <c r="Z80" s="43"/>
    </row>
    <row r="81" customFormat="false" ht="21.75" hidden="false" customHeight="true" outlineLevel="0" collapsed="false">
      <c r="A81" s="48"/>
      <c r="B81" s="43"/>
      <c r="C81" s="40"/>
      <c r="D81" s="41"/>
      <c r="E81" s="41"/>
      <c r="F81" s="46"/>
      <c r="G81" s="46"/>
      <c r="H81" s="46"/>
      <c r="I81" s="46"/>
      <c r="J81" s="46"/>
      <c r="K81" s="46"/>
      <c r="L81" s="46"/>
      <c r="M81" s="34" t="str">
        <f aca="false">IF(F81="","",F81-N(G81)-N(H81)-N(I81)-N(J81)-N(K81)-N(L81))</f>
        <v/>
      </c>
      <c r="N81" s="34" t="str">
        <f aca="false">IF(A81="","",SUMIFS(②销售核销!$L$4:$L$603,②销售核销!$B$4:$B$603,A81))</f>
        <v/>
      </c>
      <c r="O81" s="34" t="str">
        <f aca="false">IF(OR(M81="",N81=""),"",ROUND(M81-N81,2))</f>
        <v/>
      </c>
      <c r="P81" s="43"/>
      <c r="Q81" s="41"/>
      <c r="R81" s="41"/>
      <c r="S81" s="43"/>
      <c r="T81" s="46"/>
      <c r="U81" s="41"/>
      <c r="V81" s="47"/>
      <c r="W81" s="34" t="str">
        <f aca="false">IF(OR(T81="",V81=""),"",ROUND(T81*V81,2))</f>
        <v/>
      </c>
      <c r="X81" s="50"/>
      <c r="Y81" s="48"/>
      <c r="Z81" s="43"/>
    </row>
    <row r="82" customFormat="false" ht="21.75" hidden="false" customHeight="true" outlineLevel="0" collapsed="false">
      <c r="A82" s="48"/>
      <c r="B82" s="43"/>
      <c r="C82" s="40"/>
      <c r="D82" s="41"/>
      <c r="E82" s="41"/>
      <c r="F82" s="46"/>
      <c r="G82" s="46"/>
      <c r="H82" s="46"/>
      <c r="I82" s="46"/>
      <c r="J82" s="46"/>
      <c r="K82" s="46"/>
      <c r="L82" s="46"/>
      <c r="M82" s="34" t="str">
        <f aca="false">IF(F82="","",F82-N(G82)-N(H82)-N(I82)-N(J82)-N(K82)-N(L82))</f>
        <v/>
      </c>
      <c r="N82" s="34" t="str">
        <f aca="false">IF(A82="","",SUMIFS(②销售核销!$L$4:$L$603,②销售核销!$B$4:$B$603,A82))</f>
        <v/>
      </c>
      <c r="O82" s="34" t="str">
        <f aca="false">IF(OR(M82="",N82=""),"",ROUND(M82-N82,2))</f>
        <v/>
      </c>
      <c r="P82" s="43"/>
      <c r="Q82" s="41"/>
      <c r="R82" s="41"/>
      <c r="S82" s="43"/>
      <c r="T82" s="46"/>
      <c r="U82" s="41"/>
      <c r="V82" s="47"/>
      <c r="W82" s="34" t="str">
        <f aca="false">IF(OR(T82="",V82=""),"",ROUND(T82*V82,2))</f>
        <v/>
      </c>
      <c r="X82" s="50"/>
      <c r="Y82" s="48"/>
      <c r="Z82" s="43"/>
    </row>
    <row r="83" customFormat="false" ht="21.75" hidden="false" customHeight="true" outlineLevel="0" collapsed="false">
      <c r="A83" s="48"/>
      <c r="B83" s="43"/>
      <c r="C83" s="40"/>
      <c r="D83" s="41"/>
      <c r="E83" s="41"/>
      <c r="F83" s="46"/>
      <c r="G83" s="46"/>
      <c r="H83" s="46"/>
      <c r="I83" s="46"/>
      <c r="J83" s="46"/>
      <c r="K83" s="46"/>
      <c r="L83" s="46"/>
      <c r="M83" s="34" t="str">
        <f aca="false">IF(F83="","",F83-N(G83)-N(H83)-N(I83)-N(J83)-N(K83)-N(L83))</f>
        <v/>
      </c>
      <c r="N83" s="34" t="str">
        <f aca="false">IF(A83="","",SUMIFS(②销售核销!$L$4:$L$603,②销售核销!$B$4:$B$603,A83))</f>
        <v/>
      </c>
      <c r="O83" s="34" t="str">
        <f aca="false">IF(OR(M83="",N83=""),"",ROUND(M83-N83,2))</f>
        <v/>
      </c>
      <c r="P83" s="43"/>
      <c r="Q83" s="41"/>
      <c r="R83" s="41"/>
      <c r="S83" s="43"/>
      <c r="T83" s="46"/>
      <c r="U83" s="41"/>
      <c r="V83" s="47"/>
      <c r="W83" s="34" t="str">
        <f aca="false">IF(OR(T83="",V83=""),"",ROUND(T83*V83,2))</f>
        <v/>
      </c>
      <c r="X83" s="50"/>
      <c r="Y83" s="48"/>
      <c r="Z83" s="43"/>
    </row>
    <row r="84" customFormat="false" ht="21.75" hidden="false" customHeight="true" outlineLevel="0" collapsed="false">
      <c r="A84" s="48"/>
      <c r="B84" s="43"/>
      <c r="C84" s="40"/>
      <c r="D84" s="41"/>
      <c r="E84" s="41"/>
      <c r="F84" s="46"/>
      <c r="G84" s="46"/>
      <c r="H84" s="46"/>
      <c r="I84" s="46"/>
      <c r="J84" s="46"/>
      <c r="K84" s="46"/>
      <c r="L84" s="46"/>
      <c r="M84" s="34" t="str">
        <f aca="false">IF(F84="","",F84-N(G84)-N(H84)-N(I84)-N(J84)-N(K84)-N(L84))</f>
        <v/>
      </c>
      <c r="N84" s="34" t="str">
        <f aca="false">IF(A84="","",SUMIFS(②销售核销!$L$4:$L$603,②销售核销!$B$4:$B$603,A84))</f>
        <v/>
      </c>
      <c r="O84" s="34" t="str">
        <f aca="false">IF(OR(M84="",N84=""),"",ROUND(M84-N84,2))</f>
        <v/>
      </c>
      <c r="P84" s="43"/>
      <c r="Q84" s="41"/>
      <c r="R84" s="41"/>
      <c r="S84" s="43"/>
      <c r="T84" s="46"/>
      <c r="U84" s="41"/>
      <c r="V84" s="47"/>
      <c r="W84" s="34" t="str">
        <f aca="false">IF(OR(T84="",V84=""),"",ROUND(T84*V84,2))</f>
        <v/>
      </c>
      <c r="X84" s="50"/>
      <c r="Y84" s="48"/>
      <c r="Z84" s="43"/>
    </row>
    <row r="85" customFormat="false" ht="21.75" hidden="false" customHeight="true" outlineLevel="0" collapsed="false">
      <c r="A85" s="48"/>
      <c r="B85" s="43"/>
      <c r="C85" s="40"/>
      <c r="D85" s="41"/>
      <c r="E85" s="41"/>
      <c r="F85" s="46"/>
      <c r="G85" s="46"/>
      <c r="H85" s="46"/>
      <c r="I85" s="46"/>
      <c r="J85" s="46"/>
      <c r="K85" s="46"/>
      <c r="L85" s="46"/>
      <c r="M85" s="34" t="str">
        <f aca="false">IF(F85="","",F85-N(G85)-N(H85)-N(I85)-N(J85)-N(K85)-N(L85))</f>
        <v/>
      </c>
      <c r="N85" s="34" t="str">
        <f aca="false">IF(A85="","",SUMIFS(②销售核销!$L$4:$L$603,②销售核销!$B$4:$B$603,A85))</f>
        <v/>
      </c>
      <c r="O85" s="34" t="str">
        <f aca="false">IF(OR(M85="",N85=""),"",ROUND(M85-N85,2))</f>
        <v/>
      </c>
      <c r="P85" s="43"/>
      <c r="Q85" s="41"/>
      <c r="R85" s="41"/>
      <c r="S85" s="43"/>
      <c r="T85" s="46"/>
      <c r="U85" s="41"/>
      <c r="V85" s="47"/>
      <c r="W85" s="34" t="str">
        <f aca="false">IF(OR(T85="",V85=""),"",ROUND(T85*V85,2))</f>
        <v/>
      </c>
      <c r="X85" s="50"/>
      <c r="Y85" s="48"/>
      <c r="Z85" s="43"/>
    </row>
    <row r="86" customFormat="false" ht="21.75" hidden="false" customHeight="true" outlineLevel="0" collapsed="false">
      <c r="A86" s="48"/>
      <c r="B86" s="43"/>
      <c r="C86" s="40"/>
      <c r="D86" s="41"/>
      <c r="E86" s="41"/>
      <c r="F86" s="46"/>
      <c r="G86" s="46"/>
      <c r="H86" s="46"/>
      <c r="I86" s="46"/>
      <c r="J86" s="46"/>
      <c r="K86" s="46"/>
      <c r="L86" s="46"/>
      <c r="M86" s="34" t="str">
        <f aca="false">IF(F86="","",F86-N(G86)-N(H86)-N(I86)-N(J86)-N(K86)-N(L86))</f>
        <v/>
      </c>
      <c r="N86" s="34" t="str">
        <f aca="false">IF(A86="","",SUMIFS(②销售核销!$L$4:$L$603,②销售核销!$B$4:$B$603,A86))</f>
        <v/>
      </c>
      <c r="O86" s="34" t="str">
        <f aca="false">IF(OR(M86="",N86=""),"",ROUND(M86-N86,2))</f>
        <v/>
      </c>
      <c r="P86" s="43"/>
      <c r="Q86" s="41"/>
      <c r="R86" s="41"/>
      <c r="S86" s="43"/>
      <c r="T86" s="46"/>
      <c r="U86" s="41"/>
      <c r="V86" s="47"/>
      <c r="W86" s="34" t="str">
        <f aca="false">IF(OR(T86="",V86=""),"",ROUND(T86*V86,2))</f>
        <v/>
      </c>
      <c r="X86" s="50"/>
      <c r="Y86" s="48"/>
      <c r="Z86" s="43"/>
    </row>
    <row r="87" customFormat="false" ht="21.75" hidden="false" customHeight="true" outlineLevel="0" collapsed="false">
      <c r="A87" s="48"/>
      <c r="B87" s="43"/>
      <c r="C87" s="40"/>
      <c r="D87" s="41"/>
      <c r="E87" s="41"/>
      <c r="F87" s="46"/>
      <c r="G87" s="46"/>
      <c r="H87" s="46"/>
      <c r="I87" s="46"/>
      <c r="J87" s="46"/>
      <c r="K87" s="46"/>
      <c r="L87" s="46"/>
      <c r="M87" s="34" t="str">
        <f aca="false">IF(F87="","",F87-N(G87)-N(H87)-N(I87)-N(J87)-N(K87)-N(L87))</f>
        <v/>
      </c>
      <c r="N87" s="34" t="str">
        <f aca="false">IF(A87="","",SUMIFS(②销售核销!$L$4:$L$603,②销售核销!$B$4:$B$603,A87))</f>
        <v/>
      </c>
      <c r="O87" s="34" t="str">
        <f aca="false">IF(OR(M87="",N87=""),"",ROUND(M87-N87,2))</f>
        <v/>
      </c>
      <c r="P87" s="43"/>
      <c r="Q87" s="41"/>
      <c r="R87" s="41"/>
      <c r="S87" s="43"/>
      <c r="T87" s="46"/>
      <c r="U87" s="41"/>
      <c r="V87" s="47"/>
      <c r="W87" s="34" t="str">
        <f aca="false">IF(OR(T87="",V87=""),"",ROUND(T87*V87,2))</f>
        <v/>
      </c>
      <c r="X87" s="50"/>
      <c r="Y87" s="48"/>
      <c r="Z87" s="43"/>
    </row>
    <row r="88" customFormat="false" ht="21.75" hidden="false" customHeight="true" outlineLevel="0" collapsed="false">
      <c r="A88" s="48"/>
      <c r="B88" s="43"/>
      <c r="C88" s="40"/>
      <c r="D88" s="41"/>
      <c r="E88" s="41"/>
      <c r="F88" s="46"/>
      <c r="G88" s="46"/>
      <c r="H88" s="46"/>
      <c r="I88" s="46"/>
      <c r="J88" s="46"/>
      <c r="K88" s="46"/>
      <c r="L88" s="46"/>
      <c r="M88" s="34" t="str">
        <f aca="false">IF(F88="","",F88-N(G88)-N(H88)-N(I88)-N(J88)-N(K88)-N(L88))</f>
        <v/>
      </c>
      <c r="N88" s="34" t="str">
        <f aca="false">IF(A88="","",SUMIFS(②销售核销!$L$4:$L$603,②销售核销!$B$4:$B$603,A88))</f>
        <v/>
      </c>
      <c r="O88" s="34" t="str">
        <f aca="false">IF(OR(M88="",N88=""),"",ROUND(M88-N88,2))</f>
        <v/>
      </c>
      <c r="P88" s="43"/>
      <c r="Q88" s="41"/>
      <c r="R88" s="41"/>
      <c r="S88" s="43"/>
      <c r="T88" s="46"/>
      <c r="U88" s="41"/>
      <c r="V88" s="47"/>
      <c r="W88" s="34" t="str">
        <f aca="false">IF(OR(T88="",V88=""),"",ROUND(T88*V88,2))</f>
        <v/>
      </c>
      <c r="X88" s="50"/>
      <c r="Y88" s="48"/>
      <c r="Z88" s="43"/>
    </row>
    <row r="89" customFormat="false" ht="21.75" hidden="false" customHeight="true" outlineLevel="0" collapsed="false">
      <c r="A89" s="48"/>
      <c r="B89" s="43"/>
      <c r="C89" s="40"/>
      <c r="D89" s="41"/>
      <c r="E89" s="41"/>
      <c r="F89" s="46"/>
      <c r="G89" s="46"/>
      <c r="H89" s="46"/>
      <c r="I89" s="46"/>
      <c r="J89" s="46"/>
      <c r="K89" s="46"/>
      <c r="L89" s="46"/>
      <c r="M89" s="34" t="str">
        <f aca="false">IF(F89="","",F89-N(G89)-N(H89)-N(I89)-N(J89)-N(K89)-N(L89))</f>
        <v/>
      </c>
      <c r="N89" s="34" t="str">
        <f aca="false">IF(A89="","",SUMIFS(②销售核销!$L$4:$L$603,②销售核销!$B$4:$B$603,A89))</f>
        <v/>
      </c>
      <c r="O89" s="34" t="str">
        <f aca="false">IF(OR(M89="",N89=""),"",ROUND(M89-N89,2))</f>
        <v/>
      </c>
      <c r="P89" s="43"/>
      <c r="Q89" s="41"/>
      <c r="R89" s="41"/>
      <c r="S89" s="43"/>
      <c r="T89" s="46"/>
      <c r="U89" s="41"/>
      <c r="V89" s="47"/>
      <c r="W89" s="34" t="str">
        <f aca="false">IF(OR(T89="",V89=""),"",ROUND(T89*V89,2))</f>
        <v/>
      </c>
      <c r="X89" s="50"/>
      <c r="Y89" s="48"/>
      <c r="Z89" s="43"/>
    </row>
    <row r="90" customFormat="false" ht="21.75" hidden="false" customHeight="true" outlineLevel="0" collapsed="false">
      <c r="A90" s="48"/>
      <c r="B90" s="43"/>
      <c r="C90" s="40"/>
      <c r="D90" s="41"/>
      <c r="E90" s="41"/>
      <c r="F90" s="46"/>
      <c r="G90" s="46"/>
      <c r="H90" s="46"/>
      <c r="I90" s="46"/>
      <c r="J90" s="46"/>
      <c r="K90" s="46"/>
      <c r="L90" s="46"/>
      <c r="M90" s="34" t="str">
        <f aca="false">IF(F90="","",F90-N(G90)-N(H90)-N(I90)-N(J90)-N(K90)-N(L90))</f>
        <v/>
      </c>
      <c r="N90" s="34" t="str">
        <f aca="false">IF(A90="","",SUMIFS(②销售核销!$L$4:$L$603,②销售核销!$B$4:$B$603,A90))</f>
        <v/>
      </c>
      <c r="O90" s="34" t="str">
        <f aca="false">IF(OR(M90="",N90=""),"",ROUND(M90-N90,2))</f>
        <v/>
      </c>
      <c r="P90" s="43"/>
      <c r="Q90" s="41"/>
      <c r="R90" s="41"/>
      <c r="S90" s="43"/>
      <c r="T90" s="46"/>
      <c r="U90" s="41"/>
      <c r="V90" s="47"/>
      <c r="W90" s="34" t="str">
        <f aca="false">IF(OR(T90="",V90=""),"",ROUND(T90*V90,2))</f>
        <v/>
      </c>
      <c r="X90" s="50"/>
      <c r="Y90" s="48"/>
      <c r="Z90" s="43"/>
    </row>
    <row r="91" customFormat="false" ht="21.75" hidden="false" customHeight="true" outlineLevel="0" collapsed="false">
      <c r="A91" s="48"/>
      <c r="B91" s="43"/>
      <c r="C91" s="40"/>
      <c r="D91" s="41"/>
      <c r="E91" s="41"/>
      <c r="F91" s="46"/>
      <c r="G91" s="46"/>
      <c r="H91" s="46"/>
      <c r="I91" s="46"/>
      <c r="J91" s="46"/>
      <c r="K91" s="46"/>
      <c r="L91" s="46"/>
      <c r="M91" s="34" t="str">
        <f aca="false">IF(F91="","",F91-N(G91)-N(H91)-N(I91)-N(J91)-N(K91)-N(L91))</f>
        <v/>
      </c>
      <c r="N91" s="34" t="str">
        <f aca="false">IF(A91="","",SUMIFS(②销售核销!$L$4:$L$603,②销售核销!$B$4:$B$603,A91))</f>
        <v/>
      </c>
      <c r="O91" s="34" t="str">
        <f aca="false">IF(OR(M91="",N91=""),"",ROUND(M91-N91,2))</f>
        <v/>
      </c>
      <c r="P91" s="43"/>
      <c r="Q91" s="41"/>
      <c r="R91" s="41"/>
      <c r="S91" s="43"/>
      <c r="T91" s="46"/>
      <c r="U91" s="41"/>
      <c r="V91" s="47"/>
      <c r="W91" s="34" t="str">
        <f aca="false">IF(OR(T91="",V91=""),"",ROUND(T91*V91,2))</f>
        <v/>
      </c>
      <c r="X91" s="50"/>
      <c r="Y91" s="48"/>
      <c r="Z91" s="43"/>
    </row>
    <row r="92" customFormat="false" ht="21.75" hidden="false" customHeight="true" outlineLevel="0" collapsed="false">
      <c r="A92" s="48"/>
      <c r="B92" s="43"/>
      <c r="C92" s="40"/>
      <c r="D92" s="41"/>
      <c r="E92" s="41"/>
      <c r="F92" s="46"/>
      <c r="G92" s="46"/>
      <c r="H92" s="46"/>
      <c r="I92" s="46"/>
      <c r="J92" s="46"/>
      <c r="K92" s="46"/>
      <c r="L92" s="46"/>
      <c r="M92" s="34" t="str">
        <f aca="false">IF(F92="","",F92-N(G92)-N(H92)-N(I92)-N(J92)-N(K92)-N(L92))</f>
        <v/>
      </c>
      <c r="N92" s="34" t="str">
        <f aca="false">IF(A92="","",SUMIFS(②销售核销!$L$4:$L$603,②销售核销!$B$4:$B$603,A92))</f>
        <v/>
      </c>
      <c r="O92" s="34" t="str">
        <f aca="false">IF(OR(M92="",N92=""),"",ROUND(M92-N92,2))</f>
        <v/>
      </c>
      <c r="P92" s="43"/>
      <c r="Q92" s="41"/>
      <c r="R92" s="41"/>
      <c r="S92" s="43"/>
      <c r="T92" s="46"/>
      <c r="U92" s="41"/>
      <c r="V92" s="47"/>
      <c r="W92" s="34" t="str">
        <f aca="false">IF(OR(T92="",V92=""),"",ROUND(T92*V92,2))</f>
        <v/>
      </c>
      <c r="X92" s="50"/>
      <c r="Y92" s="48"/>
      <c r="Z92" s="43"/>
    </row>
    <row r="93" customFormat="false" ht="21.75" hidden="false" customHeight="true" outlineLevel="0" collapsed="false">
      <c r="A93" s="48"/>
      <c r="B93" s="43"/>
      <c r="C93" s="40"/>
      <c r="D93" s="41"/>
      <c r="E93" s="41"/>
      <c r="F93" s="46"/>
      <c r="G93" s="46"/>
      <c r="H93" s="46"/>
      <c r="I93" s="46"/>
      <c r="J93" s="46"/>
      <c r="K93" s="46"/>
      <c r="L93" s="46"/>
      <c r="M93" s="34" t="str">
        <f aca="false">IF(F93="","",F93-N(G93)-N(H93)-N(I93)-N(J93)-N(K93)-N(L93))</f>
        <v/>
      </c>
      <c r="N93" s="34" t="str">
        <f aca="false">IF(A93="","",SUMIFS(②销售核销!$L$4:$L$603,②销售核销!$B$4:$B$603,A93))</f>
        <v/>
      </c>
      <c r="O93" s="34" t="str">
        <f aca="false">IF(OR(M93="",N93=""),"",ROUND(M93-N93,2))</f>
        <v/>
      </c>
      <c r="P93" s="43"/>
      <c r="Q93" s="41"/>
      <c r="R93" s="41"/>
      <c r="S93" s="43"/>
      <c r="T93" s="46"/>
      <c r="U93" s="41"/>
      <c r="V93" s="47"/>
      <c r="W93" s="34" t="str">
        <f aca="false">IF(OR(T93="",V93=""),"",ROUND(T93*V93,2))</f>
        <v/>
      </c>
      <c r="X93" s="50"/>
      <c r="Y93" s="48"/>
      <c r="Z93" s="43"/>
    </row>
    <row r="94" customFormat="false" ht="21.75" hidden="false" customHeight="true" outlineLevel="0" collapsed="false">
      <c r="A94" s="48"/>
      <c r="B94" s="43"/>
      <c r="C94" s="40"/>
      <c r="D94" s="41"/>
      <c r="E94" s="41"/>
      <c r="F94" s="46"/>
      <c r="G94" s="46"/>
      <c r="H94" s="46"/>
      <c r="I94" s="46"/>
      <c r="J94" s="46"/>
      <c r="K94" s="46"/>
      <c r="L94" s="46"/>
      <c r="M94" s="34" t="str">
        <f aca="false">IF(F94="","",F94-N(G94)-N(H94)-N(I94)-N(J94)-N(K94)-N(L94))</f>
        <v/>
      </c>
      <c r="N94" s="34" t="str">
        <f aca="false">IF(A94="","",SUMIFS(②销售核销!$L$4:$L$603,②销售核销!$B$4:$B$603,A94))</f>
        <v/>
      </c>
      <c r="O94" s="34" t="str">
        <f aca="false">IF(OR(M94="",N94=""),"",ROUND(M94-N94,2))</f>
        <v/>
      </c>
      <c r="P94" s="43"/>
      <c r="Q94" s="41"/>
      <c r="R94" s="41"/>
      <c r="S94" s="43"/>
      <c r="T94" s="46"/>
      <c r="U94" s="41"/>
      <c r="V94" s="47"/>
      <c r="W94" s="34" t="str">
        <f aca="false">IF(OR(T94="",V94=""),"",ROUND(T94*V94,2))</f>
        <v/>
      </c>
      <c r="X94" s="50"/>
      <c r="Y94" s="48"/>
      <c r="Z94" s="43"/>
    </row>
    <row r="95" customFormat="false" ht="21.75" hidden="false" customHeight="true" outlineLevel="0" collapsed="false">
      <c r="A95" s="48"/>
      <c r="B95" s="43"/>
      <c r="C95" s="40"/>
      <c r="D95" s="41"/>
      <c r="E95" s="41"/>
      <c r="F95" s="46"/>
      <c r="G95" s="46"/>
      <c r="H95" s="46"/>
      <c r="I95" s="46"/>
      <c r="J95" s="46"/>
      <c r="K95" s="46"/>
      <c r="L95" s="46"/>
      <c r="M95" s="34" t="str">
        <f aca="false">IF(F95="","",F95-N(G95)-N(H95)-N(I95)-N(J95)-N(K95)-N(L95))</f>
        <v/>
      </c>
      <c r="N95" s="34" t="str">
        <f aca="false">IF(A95="","",SUMIFS(②销售核销!$L$4:$L$603,②销售核销!$B$4:$B$603,A95))</f>
        <v/>
      </c>
      <c r="O95" s="34" t="str">
        <f aca="false">IF(OR(M95="",N95=""),"",ROUND(M95-N95,2))</f>
        <v/>
      </c>
      <c r="P95" s="43"/>
      <c r="Q95" s="41"/>
      <c r="R95" s="41"/>
      <c r="S95" s="43"/>
      <c r="T95" s="46"/>
      <c r="U95" s="41"/>
      <c r="V95" s="47"/>
      <c r="W95" s="34" t="str">
        <f aca="false">IF(OR(T95="",V95=""),"",ROUND(T95*V95,2))</f>
        <v/>
      </c>
      <c r="X95" s="50"/>
      <c r="Y95" s="48"/>
      <c r="Z95" s="43"/>
    </row>
    <row r="96" customFormat="false" ht="21.75" hidden="false" customHeight="true" outlineLevel="0" collapsed="false">
      <c r="A96" s="48"/>
      <c r="B96" s="43"/>
      <c r="C96" s="40"/>
      <c r="D96" s="41"/>
      <c r="E96" s="41"/>
      <c r="F96" s="46"/>
      <c r="G96" s="46"/>
      <c r="H96" s="46"/>
      <c r="I96" s="46"/>
      <c r="J96" s="46"/>
      <c r="K96" s="46"/>
      <c r="L96" s="46"/>
      <c r="M96" s="34" t="str">
        <f aca="false">IF(F96="","",F96-N(G96)-N(H96)-N(I96)-N(J96)-N(K96)-N(L96))</f>
        <v/>
      </c>
      <c r="N96" s="34" t="str">
        <f aca="false">IF(A96="","",SUMIFS(②销售核销!$L$4:$L$603,②销售核销!$B$4:$B$603,A96))</f>
        <v/>
      </c>
      <c r="O96" s="34" t="str">
        <f aca="false">IF(OR(M96="",N96=""),"",ROUND(M96-N96,2))</f>
        <v/>
      </c>
      <c r="P96" s="43"/>
      <c r="Q96" s="41"/>
      <c r="R96" s="41"/>
      <c r="S96" s="43"/>
      <c r="T96" s="46"/>
      <c r="U96" s="41"/>
      <c r="V96" s="47"/>
      <c r="W96" s="34" t="str">
        <f aca="false">IF(OR(T96="",V96=""),"",ROUND(T96*V96,2))</f>
        <v/>
      </c>
      <c r="X96" s="50"/>
      <c r="Y96" s="48"/>
      <c r="Z96" s="43"/>
    </row>
    <row r="97" customFormat="false" ht="21.75" hidden="false" customHeight="true" outlineLevel="0" collapsed="false">
      <c r="A97" s="48"/>
      <c r="B97" s="43"/>
      <c r="C97" s="40"/>
      <c r="D97" s="41"/>
      <c r="E97" s="41"/>
      <c r="F97" s="46"/>
      <c r="G97" s="46"/>
      <c r="H97" s="46"/>
      <c r="I97" s="46"/>
      <c r="J97" s="46"/>
      <c r="K97" s="46"/>
      <c r="L97" s="46"/>
      <c r="M97" s="34" t="str">
        <f aca="false">IF(F97="","",F97-N(G97)-N(H97)-N(I97)-N(J97)-N(K97)-N(L97))</f>
        <v/>
      </c>
      <c r="N97" s="34" t="str">
        <f aca="false">IF(A97="","",SUMIFS(②销售核销!$L$4:$L$603,②销售核销!$B$4:$B$603,A97))</f>
        <v/>
      </c>
      <c r="O97" s="34" t="str">
        <f aca="false">IF(OR(M97="",N97=""),"",ROUND(M97-N97,2))</f>
        <v/>
      </c>
      <c r="P97" s="43"/>
      <c r="Q97" s="41"/>
      <c r="R97" s="41"/>
      <c r="S97" s="43"/>
      <c r="T97" s="46"/>
      <c r="U97" s="41"/>
      <c r="V97" s="47"/>
      <c r="W97" s="34" t="str">
        <f aca="false">IF(OR(T97="",V97=""),"",ROUND(T97*V97,2))</f>
        <v/>
      </c>
      <c r="X97" s="50"/>
      <c r="Y97" s="48"/>
      <c r="Z97" s="43"/>
    </row>
    <row r="98" customFormat="false" ht="21.75" hidden="false" customHeight="true" outlineLevel="0" collapsed="false">
      <c r="A98" s="48"/>
      <c r="B98" s="43"/>
      <c r="C98" s="40"/>
      <c r="D98" s="41"/>
      <c r="E98" s="41"/>
      <c r="F98" s="46"/>
      <c r="G98" s="46"/>
      <c r="H98" s="46"/>
      <c r="I98" s="46"/>
      <c r="J98" s="46"/>
      <c r="K98" s="46"/>
      <c r="L98" s="46"/>
      <c r="M98" s="34" t="str">
        <f aca="false">IF(F98="","",F98-N(G98)-N(H98)-N(I98)-N(J98)-N(K98)-N(L98))</f>
        <v/>
      </c>
      <c r="N98" s="34" t="str">
        <f aca="false">IF(A98="","",SUMIFS(②销售核销!$L$4:$L$603,②销售核销!$B$4:$B$603,A98))</f>
        <v/>
      </c>
      <c r="O98" s="34" t="str">
        <f aca="false">IF(OR(M98="",N98=""),"",ROUND(M98-N98,2))</f>
        <v/>
      </c>
      <c r="P98" s="43"/>
      <c r="Q98" s="41"/>
      <c r="R98" s="41"/>
      <c r="S98" s="43"/>
      <c r="T98" s="46"/>
      <c r="U98" s="41"/>
      <c r="V98" s="47"/>
      <c r="W98" s="34" t="str">
        <f aca="false">IF(OR(T98="",V98=""),"",ROUND(T98*V98,2))</f>
        <v/>
      </c>
      <c r="X98" s="50"/>
      <c r="Y98" s="48"/>
      <c r="Z98" s="43"/>
    </row>
    <row r="99" customFormat="false" ht="21.75" hidden="false" customHeight="true" outlineLevel="0" collapsed="false">
      <c r="A99" s="48"/>
      <c r="B99" s="43"/>
      <c r="C99" s="40"/>
      <c r="D99" s="41"/>
      <c r="E99" s="41"/>
      <c r="F99" s="46"/>
      <c r="G99" s="46"/>
      <c r="H99" s="46"/>
      <c r="I99" s="46"/>
      <c r="J99" s="46"/>
      <c r="K99" s="46"/>
      <c r="L99" s="46"/>
      <c r="M99" s="34" t="str">
        <f aca="false">IF(F99="","",F99-N(G99)-N(H99)-N(I99)-N(J99)-N(K99)-N(L99))</f>
        <v/>
      </c>
      <c r="N99" s="34" t="str">
        <f aca="false">IF(A99="","",SUMIFS(②销售核销!$L$4:$L$603,②销售核销!$B$4:$B$603,A99))</f>
        <v/>
      </c>
      <c r="O99" s="34" t="str">
        <f aca="false">IF(OR(M99="",N99=""),"",ROUND(M99-N99,2))</f>
        <v/>
      </c>
      <c r="P99" s="43"/>
      <c r="Q99" s="41"/>
      <c r="R99" s="41"/>
      <c r="S99" s="43"/>
      <c r="T99" s="46"/>
      <c r="U99" s="41"/>
      <c r="V99" s="47"/>
      <c r="W99" s="34" t="str">
        <f aca="false">IF(OR(T99="",V99=""),"",ROUND(T99*V99,2))</f>
        <v/>
      </c>
      <c r="X99" s="50"/>
      <c r="Y99" s="48"/>
      <c r="Z99" s="43"/>
    </row>
    <row r="100" customFormat="false" ht="21.75" hidden="false" customHeight="true" outlineLevel="0" collapsed="false">
      <c r="A100" s="48"/>
      <c r="B100" s="43"/>
      <c r="C100" s="40"/>
      <c r="D100" s="41"/>
      <c r="E100" s="41"/>
      <c r="F100" s="46"/>
      <c r="G100" s="46"/>
      <c r="H100" s="46"/>
      <c r="I100" s="46"/>
      <c r="J100" s="46"/>
      <c r="K100" s="46"/>
      <c r="L100" s="46"/>
      <c r="M100" s="34" t="str">
        <f aca="false">IF(F100="","",F100-N(G100)-N(H100)-N(I100)-N(J100)-N(K100)-N(L100))</f>
        <v/>
      </c>
      <c r="N100" s="34" t="str">
        <f aca="false">IF(A100="","",SUMIFS(②销售核销!$L$4:$L$603,②销售核销!$B$4:$B$603,A100))</f>
        <v/>
      </c>
      <c r="O100" s="34" t="str">
        <f aca="false">IF(OR(M100="",N100=""),"",ROUND(M100-N100,2))</f>
        <v/>
      </c>
      <c r="P100" s="43"/>
      <c r="Q100" s="41"/>
      <c r="R100" s="41"/>
      <c r="S100" s="43"/>
      <c r="T100" s="46"/>
      <c r="U100" s="41"/>
      <c r="V100" s="47"/>
      <c r="W100" s="34" t="str">
        <f aca="false">IF(OR(T100="",V100=""),"",ROUND(T100*V100,2))</f>
        <v/>
      </c>
      <c r="X100" s="50"/>
      <c r="Y100" s="48"/>
      <c r="Z100" s="43"/>
    </row>
    <row r="101" customFormat="false" ht="21.75" hidden="false" customHeight="true" outlineLevel="0" collapsed="false">
      <c r="A101" s="48"/>
      <c r="B101" s="43"/>
      <c r="C101" s="40"/>
      <c r="D101" s="41"/>
      <c r="E101" s="41"/>
      <c r="F101" s="46"/>
      <c r="G101" s="46"/>
      <c r="H101" s="46"/>
      <c r="I101" s="46"/>
      <c r="J101" s="46"/>
      <c r="K101" s="46"/>
      <c r="L101" s="46"/>
      <c r="M101" s="34" t="str">
        <f aca="false">IF(F101="","",F101-N(G101)-N(H101)-N(I101)-N(J101)-N(K101)-N(L101))</f>
        <v/>
      </c>
      <c r="N101" s="34" t="str">
        <f aca="false">IF(A101="","",SUMIFS(②销售核销!$L$4:$L$603,②销售核销!$B$4:$B$603,A101))</f>
        <v/>
      </c>
      <c r="O101" s="34" t="str">
        <f aca="false">IF(OR(M101="",N101=""),"",ROUND(M101-N101,2))</f>
        <v/>
      </c>
      <c r="P101" s="43"/>
      <c r="Q101" s="41"/>
      <c r="R101" s="41"/>
      <c r="S101" s="43"/>
      <c r="T101" s="46"/>
      <c r="U101" s="41"/>
      <c r="V101" s="47"/>
      <c r="W101" s="34" t="str">
        <f aca="false">IF(OR(T101="",V101=""),"",ROUND(T101*V101,2))</f>
        <v/>
      </c>
      <c r="X101" s="50"/>
      <c r="Y101" s="48"/>
      <c r="Z101" s="43"/>
    </row>
    <row r="102" customFormat="false" ht="21.75" hidden="false" customHeight="true" outlineLevel="0" collapsed="false">
      <c r="A102" s="48"/>
      <c r="B102" s="43"/>
      <c r="C102" s="40"/>
      <c r="D102" s="41"/>
      <c r="E102" s="41"/>
      <c r="F102" s="46"/>
      <c r="G102" s="46"/>
      <c r="H102" s="46"/>
      <c r="I102" s="46"/>
      <c r="J102" s="46"/>
      <c r="K102" s="46"/>
      <c r="L102" s="46"/>
      <c r="M102" s="34" t="str">
        <f aca="false">IF(F102="","",F102-N(G102)-N(H102)-N(I102)-N(J102)-N(K102)-N(L102))</f>
        <v/>
      </c>
      <c r="N102" s="34" t="str">
        <f aca="false">IF(A102="","",SUMIFS(②销售核销!$L$4:$L$603,②销售核销!$B$4:$B$603,A102))</f>
        <v/>
      </c>
      <c r="O102" s="34" t="str">
        <f aca="false">IF(OR(M102="",N102=""),"",ROUND(M102-N102,2))</f>
        <v/>
      </c>
      <c r="P102" s="43"/>
      <c r="Q102" s="41"/>
      <c r="R102" s="41"/>
      <c r="S102" s="43"/>
      <c r="T102" s="46"/>
      <c r="U102" s="41"/>
      <c r="V102" s="47"/>
      <c r="W102" s="34" t="str">
        <f aca="false">IF(OR(T102="",V102=""),"",ROUND(T102*V102,2))</f>
        <v/>
      </c>
      <c r="X102" s="50"/>
      <c r="Y102" s="48"/>
      <c r="Z102" s="43"/>
    </row>
    <row r="103" customFormat="false" ht="21.75" hidden="false" customHeight="true" outlineLevel="0" collapsed="false">
      <c r="A103" s="48"/>
      <c r="B103" s="43"/>
      <c r="C103" s="40"/>
      <c r="D103" s="41"/>
      <c r="E103" s="41"/>
      <c r="F103" s="46"/>
      <c r="G103" s="46"/>
      <c r="H103" s="46"/>
      <c r="I103" s="46"/>
      <c r="J103" s="46"/>
      <c r="K103" s="46"/>
      <c r="L103" s="46"/>
      <c r="M103" s="34" t="str">
        <f aca="false">IF(F103="","",F103-N(G103)-N(H103)-N(I103)-N(J103)-N(K103)-N(L103))</f>
        <v/>
      </c>
      <c r="N103" s="34" t="str">
        <f aca="false">IF(A103="","",SUMIFS(②销售核销!$L$4:$L$603,②销售核销!$B$4:$B$603,A103))</f>
        <v/>
      </c>
      <c r="O103" s="34" t="str">
        <f aca="false">IF(OR(M103="",N103=""),"",ROUND(M103-N103,2))</f>
        <v/>
      </c>
      <c r="P103" s="43"/>
      <c r="Q103" s="41"/>
      <c r="R103" s="41"/>
      <c r="S103" s="43"/>
      <c r="T103" s="46"/>
      <c r="U103" s="41"/>
      <c r="V103" s="47"/>
      <c r="W103" s="34" t="str">
        <f aca="false">IF(OR(T103="",V103=""),"",ROUND(T103*V103,2))</f>
        <v/>
      </c>
      <c r="X103" s="50"/>
      <c r="Y103" s="48"/>
      <c r="Z103" s="43"/>
    </row>
    <row r="104" customFormat="false" ht="21.75" hidden="false" customHeight="true" outlineLevel="0" collapsed="false">
      <c r="A104" s="48"/>
      <c r="B104" s="43"/>
      <c r="C104" s="40"/>
      <c r="D104" s="41"/>
      <c r="E104" s="41"/>
      <c r="F104" s="46"/>
      <c r="G104" s="46"/>
      <c r="H104" s="46"/>
      <c r="I104" s="46"/>
      <c r="J104" s="46"/>
      <c r="K104" s="46"/>
      <c r="L104" s="46"/>
      <c r="M104" s="34" t="str">
        <f aca="false">IF(F104="","",F104-N(G104)-N(H104)-N(I104)-N(J104)-N(K104)-N(L104))</f>
        <v/>
      </c>
      <c r="N104" s="34" t="str">
        <f aca="false">IF(A104="","",SUMIFS(②销售核销!$L$4:$L$603,②销售核销!$B$4:$B$603,A104))</f>
        <v/>
      </c>
      <c r="O104" s="34" t="str">
        <f aca="false">IF(OR(M104="",N104=""),"",ROUND(M104-N104,2))</f>
        <v/>
      </c>
      <c r="P104" s="43"/>
      <c r="Q104" s="41"/>
      <c r="R104" s="41"/>
      <c r="S104" s="43"/>
      <c r="T104" s="46"/>
      <c r="U104" s="41"/>
      <c r="V104" s="47"/>
      <c r="W104" s="34" t="str">
        <f aca="false">IF(OR(T104="",V104=""),"",ROUND(T104*V104,2))</f>
        <v/>
      </c>
      <c r="X104" s="50"/>
      <c r="Y104" s="48"/>
      <c r="Z104" s="43"/>
    </row>
    <row r="105" customFormat="false" ht="21.75" hidden="false" customHeight="true" outlineLevel="0" collapsed="false">
      <c r="A105" s="48"/>
      <c r="B105" s="43"/>
      <c r="C105" s="40"/>
      <c r="D105" s="41"/>
      <c r="E105" s="41"/>
      <c r="F105" s="46"/>
      <c r="G105" s="46"/>
      <c r="H105" s="46"/>
      <c r="I105" s="46"/>
      <c r="J105" s="46"/>
      <c r="K105" s="46"/>
      <c r="L105" s="46"/>
      <c r="M105" s="34" t="str">
        <f aca="false">IF(F105="","",F105-N(G105)-N(H105)-N(I105)-N(J105)-N(K105)-N(L105))</f>
        <v/>
      </c>
      <c r="N105" s="34" t="str">
        <f aca="false">IF(A105="","",SUMIFS(②销售核销!$L$4:$L$603,②销售核销!$B$4:$B$603,A105))</f>
        <v/>
      </c>
      <c r="O105" s="34" t="str">
        <f aca="false">IF(OR(M105="",N105=""),"",ROUND(M105-N105,2))</f>
        <v/>
      </c>
      <c r="P105" s="43"/>
      <c r="Q105" s="41"/>
      <c r="R105" s="41"/>
      <c r="S105" s="43"/>
      <c r="T105" s="46"/>
      <c r="U105" s="41"/>
      <c r="V105" s="47"/>
      <c r="W105" s="34" t="str">
        <f aca="false">IF(OR(T105="",V105=""),"",ROUND(T105*V105,2))</f>
        <v/>
      </c>
      <c r="X105" s="50"/>
      <c r="Y105" s="48"/>
      <c r="Z105" s="43"/>
    </row>
    <row r="106" customFormat="false" ht="21.75" hidden="false" customHeight="true" outlineLevel="0" collapsed="false">
      <c r="A106" s="48"/>
      <c r="B106" s="43"/>
      <c r="C106" s="40"/>
      <c r="D106" s="41"/>
      <c r="E106" s="41"/>
      <c r="F106" s="46"/>
      <c r="G106" s="46"/>
      <c r="H106" s="46"/>
      <c r="I106" s="46"/>
      <c r="J106" s="46"/>
      <c r="K106" s="46"/>
      <c r="L106" s="46"/>
      <c r="M106" s="34" t="str">
        <f aca="false">IF(F106="","",F106-N(G106)-N(H106)-N(I106)-N(J106)-N(K106)-N(L106))</f>
        <v/>
      </c>
      <c r="N106" s="34" t="str">
        <f aca="false">IF(A106="","",SUMIFS(②销售核销!$L$4:$L$603,②销售核销!$B$4:$B$603,A106))</f>
        <v/>
      </c>
      <c r="O106" s="34" t="str">
        <f aca="false">IF(OR(M106="",N106=""),"",ROUND(M106-N106,2))</f>
        <v/>
      </c>
      <c r="P106" s="43"/>
      <c r="Q106" s="41"/>
      <c r="R106" s="41"/>
      <c r="S106" s="43"/>
      <c r="T106" s="46"/>
      <c r="U106" s="41"/>
      <c r="V106" s="47"/>
      <c r="W106" s="34" t="str">
        <f aca="false">IF(OR(T106="",V106=""),"",ROUND(T106*V106,2))</f>
        <v/>
      </c>
      <c r="X106" s="50"/>
      <c r="Y106" s="48"/>
      <c r="Z106" s="43"/>
    </row>
    <row r="107" customFormat="false" ht="21.75" hidden="false" customHeight="true" outlineLevel="0" collapsed="false">
      <c r="A107" s="48"/>
      <c r="B107" s="43"/>
      <c r="C107" s="40"/>
      <c r="D107" s="41"/>
      <c r="E107" s="41"/>
      <c r="F107" s="46"/>
      <c r="G107" s="46"/>
      <c r="H107" s="46"/>
      <c r="I107" s="46"/>
      <c r="J107" s="46"/>
      <c r="K107" s="46"/>
      <c r="L107" s="46"/>
      <c r="M107" s="34" t="str">
        <f aca="false">IF(F107="","",F107-N(G107)-N(H107)-N(I107)-N(J107)-N(K107)-N(L107))</f>
        <v/>
      </c>
      <c r="N107" s="34" t="str">
        <f aca="false">IF(A107="","",SUMIFS(②销售核销!$L$4:$L$603,②销售核销!$B$4:$B$603,A107))</f>
        <v/>
      </c>
      <c r="O107" s="34" t="str">
        <f aca="false">IF(OR(M107="",N107=""),"",ROUND(M107-N107,2))</f>
        <v/>
      </c>
      <c r="P107" s="43"/>
      <c r="Q107" s="41"/>
      <c r="R107" s="41"/>
      <c r="S107" s="43"/>
      <c r="T107" s="46"/>
      <c r="U107" s="41"/>
      <c r="V107" s="47"/>
      <c r="W107" s="34" t="str">
        <f aca="false">IF(OR(T107="",V107=""),"",ROUND(T107*V107,2))</f>
        <v/>
      </c>
      <c r="X107" s="50"/>
      <c r="Y107" s="48"/>
      <c r="Z107" s="43"/>
    </row>
    <row r="108" customFormat="false" ht="21.75" hidden="false" customHeight="true" outlineLevel="0" collapsed="false">
      <c r="A108" s="48"/>
      <c r="B108" s="43"/>
      <c r="C108" s="40"/>
      <c r="D108" s="41"/>
      <c r="E108" s="41"/>
      <c r="F108" s="46"/>
      <c r="G108" s="46"/>
      <c r="H108" s="46"/>
      <c r="I108" s="46"/>
      <c r="J108" s="46"/>
      <c r="K108" s="46"/>
      <c r="L108" s="46"/>
      <c r="M108" s="34" t="str">
        <f aca="false">IF(F108="","",F108-N(G108)-N(H108)-N(I108)-N(J108)-N(K108)-N(L108))</f>
        <v/>
      </c>
      <c r="N108" s="34" t="str">
        <f aca="false">IF(A108="","",SUMIFS(②销售核销!$L$4:$L$603,②销售核销!$B$4:$B$603,A108))</f>
        <v/>
      </c>
      <c r="O108" s="34" t="str">
        <f aca="false">IF(OR(M108="",N108=""),"",ROUND(M108-N108,2))</f>
        <v/>
      </c>
      <c r="P108" s="43"/>
      <c r="Q108" s="41"/>
      <c r="R108" s="41"/>
      <c r="S108" s="43"/>
      <c r="T108" s="46"/>
      <c r="U108" s="41"/>
      <c r="V108" s="47"/>
      <c r="W108" s="34" t="str">
        <f aca="false">IF(OR(T108="",V108=""),"",ROUND(T108*V108,2))</f>
        <v/>
      </c>
      <c r="X108" s="50"/>
      <c r="Y108" s="48"/>
      <c r="Z108" s="43"/>
    </row>
    <row r="109" customFormat="false" ht="21.75" hidden="false" customHeight="true" outlineLevel="0" collapsed="false">
      <c r="A109" s="48"/>
      <c r="B109" s="43"/>
      <c r="C109" s="40"/>
      <c r="D109" s="41"/>
      <c r="E109" s="41"/>
      <c r="F109" s="46"/>
      <c r="G109" s="46"/>
      <c r="H109" s="46"/>
      <c r="I109" s="46"/>
      <c r="J109" s="46"/>
      <c r="K109" s="46"/>
      <c r="L109" s="46"/>
      <c r="M109" s="34" t="str">
        <f aca="false">IF(F109="","",F109-N(G109)-N(H109)-N(I109)-N(J109)-N(K109)-N(L109))</f>
        <v/>
      </c>
      <c r="N109" s="34" t="str">
        <f aca="false">IF(A109="","",SUMIFS(②销售核销!$L$4:$L$603,②销售核销!$B$4:$B$603,A109))</f>
        <v/>
      </c>
      <c r="O109" s="34" t="str">
        <f aca="false">IF(OR(M109="",N109=""),"",ROUND(M109-N109,2))</f>
        <v/>
      </c>
      <c r="P109" s="43"/>
      <c r="Q109" s="41"/>
      <c r="R109" s="41"/>
      <c r="S109" s="43"/>
      <c r="T109" s="46"/>
      <c r="U109" s="41"/>
      <c r="V109" s="47"/>
      <c r="W109" s="34" t="str">
        <f aca="false">IF(OR(T109="",V109=""),"",ROUND(T109*V109,2))</f>
        <v/>
      </c>
      <c r="X109" s="50"/>
      <c r="Y109" s="48"/>
      <c r="Z109" s="43"/>
    </row>
    <row r="110" customFormat="false" ht="21.75" hidden="false" customHeight="true" outlineLevel="0" collapsed="false">
      <c r="A110" s="48"/>
      <c r="B110" s="43"/>
      <c r="C110" s="40"/>
      <c r="D110" s="41"/>
      <c r="E110" s="41"/>
      <c r="F110" s="46"/>
      <c r="G110" s="46"/>
      <c r="H110" s="46"/>
      <c r="I110" s="46"/>
      <c r="J110" s="46"/>
      <c r="K110" s="46"/>
      <c r="L110" s="46"/>
      <c r="M110" s="34" t="str">
        <f aca="false">IF(F110="","",F110-N(G110)-N(H110)-N(I110)-N(J110)-N(K110)-N(L110))</f>
        <v/>
      </c>
      <c r="N110" s="34" t="str">
        <f aca="false">IF(A110="","",SUMIFS(②销售核销!$L$4:$L$603,②销售核销!$B$4:$B$603,A110))</f>
        <v/>
      </c>
      <c r="O110" s="34" t="str">
        <f aca="false">IF(OR(M110="",N110=""),"",ROUND(M110-N110,2))</f>
        <v/>
      </c>
      <c r="P110" s="43"/>
      <c r="Q110" s="41"/>
      <c r="R110" s="41"/>
      <c r="S110" s="43"/>
      <c r="T110" s="46"/>
      <c r="U110" s="41"/>
      <c r="V110" s="47"/>
      <c r="W110" s="34" t="str">
        <f aca="false">IF(OR(T110="",V110=""),"",ROUND(T110*V110,2))</f>
        <v/>
      </c>
      <c r="X110" s="50"/>
      <c r="Y110" s="48"/>
      <c r="Z110" s="43"/>
    </row>
    <row r="111" customFormat="false" ht="21.75" hidden="false" customHeight="true" outlineLevel="0" collapsed="false">
      <c r="A111" s="48"/>
      <c r="B111" s="43"/>
      <c r="C111" s="40"/>
      <c r="D111" s="41"/>
      <c r="E111" s="41"/>
      <c r="F111" s="46"/>
      <c r="G111" s="46"/>
      <c r="H111" s="46"/>
      <c r="I111" s="46"/>
      <c r="J111" s="46"/>
      <c r="K111" s="46"/>
      <c r="L111" s="46"/>
      <c r="M111" s="34" t="str">
        <f aca="false">IF(F111="","",F111-N(G111)-N(H111)-N(I111)-N(J111)-N(K111)-N(L111))</f>
        <v/>
      </c>
      <c r="N111" s="34" t="str">
        <f aca="false">IF(A111="","",SUMIFS(②销售核销!$L$4:$L$603,②销售核销!$B$4:$B$603,A111))</f>
        <v/>
      </c>
      <c r="O111" s="34" t="str">
        <f aca="false">IF(OR(M111="",N111=""),"",ROUND(M111-N111,2))</f>
        <v/>
      </c>
      <c r="P111" s="43"/>
      <c r="Q111" s="41"/>
      <c r="R111" s="41"/>
      <c r="S111" s="43"/>
      <c r="T111" s="46"/>
      <c r="U111" s="41"/>
      <c r="V111" s="47"/>
      <c r="W111" s="34" t="str">
        <f aca="false">IF(OR(T111="",V111=""),"",ROUND(T111*V111,2))</f>
        <v/>
      </c>
      <c r="X111" s="50"/>
      <c r="Y111" s="48"/>
      <c r="Z111" s="43"/>
    </row>
    <row r="112" customFormat="false" ht="21.75" hidden="false" customHeight="true" outlineLevel="0" collapsed="false">
      <c r="A112" s="48"/>
      <c r="B112" s="43"/>
      <c r="C112" s="40"/>
      <c r="D112" s="41"/>
      <c r="E112" s="41"/>
      <c r="F112" s="46"/>
      <c r="G112" s="46"/>
      <c r="H112" s="46"/>
      <c r="I112" s="46"/>
      <c r="J112" s="46"/>
      <c r="K112" s="46"/>
      <c r="L112" s="46"/>
      <c r="M112" s="34" t="str">
        <f aca="false">IF(F112="","",F112-N(G112)-N(H112)-N(I112)-N(J112)-N(K112)-N(L112))</f>
        <v/>
      </c>
      <c r="N112" s="34" t="str">
        <f aca="false">IF(A112="","",SUMIFS(②销售核销!$L$4:$L$603,②销售核销!$B$4:$B$603,A112))</f>
        <v/>
      </c>
      <c r="O112" s="34" t="str">
        <f aca="false">IF(OR(M112="",N112=""),"",ROUND(M112-N112,2))</f>
        <v/>
      </c>
      <c r="P112" s="43"/>
      <c r="Q112" s="41"/>
      <c r="R112" s="41"/>
      <c r="S112" s="43"/>
      <c r="T112" s="46"/>
      <c r="U112" s="41"/>
      <c r="V112" s="47"/>
      <c r="W112" s="34" t="str">
        <f aca="false">IF(OR(T112="",V112=""),"",ROUND(T112*V112,2))</f>
        <v/>
      </c>
      <c r="X112" s="50"/>
      <c r="Y112" s="48"/>
      <c r="Z112" s="43"/>
    </row>
    <row r="113" customFormat="false" ht="21.75" hidden="false" customHeight="true" outlineLevel="0" collapsed="false">
      <c r="A113" s="48"/>
      <c r="B113" s="43"/>
      <c r="C113" s="40"/>
      <c r="D113" s="41"/>
      <c r="E113" s="41"/>
      <c r="F113" s="46"/>
      <c r="G113" s="46"/>
      <c r="H113" s="46"/>
      <c r="I113" s="46"/>
      <c r="J113" s="46"/>
      <c r="K113" s="46"/>
      <c r="L113" s="46"/>
      <c r="M113" s="34" t="str">
        <f aca="false">IF(F113="","",F113-N(G113)-N(H113)-N(I113)-N(J113)-N(K113)-N(L113))</f>
        <v/>
      </c>
      <c r="N113" s="34" t="str">
        <f aca="false">IF(A113="","",SUMIFS(②销售核销!$L$4:$L$603,②销售核销!$B$4:$B$603,A113))</f>
        <v/>
      </c>
      <c r="O113" s="34" t="str">
        <f aca="false">IF(OR(M113="",N113=""),"",ROUND(M113-N113,2))</f>
        <v/>
      </c>
      <c r="P113" s="43"/>
      <c r="Q113" s="41"/>
      <c r="R113" s="41"/>
      <c r="S113" s="43"/>
      <c r="T113" s="46"/>
      <c r="U113" s="41"/>
      <c r="V113" s="47"/>
      <c r="W113" s="34" t="str">
        <f aca="false">IF(OR(T113="",V113=""),"",ROUND(T113*V113,2))</f>
        <v/>
      </c>
      <c r="X113" s="50"/>
      <c r="Y113" s="48"/>
      <c r="Z113" s="43"/>
    </row>
    <row r="114" customFormat="false" ht="21.75" hidden="false" customHeight="true" outlineLevel="0" collapsed="false">
      <c r="A114" s="48"/>
      <c r="B114" s="43"/>
      <c r="C114" s="40"/>
      <c r="D114" s="41"/>
      <c r="E114" s="41"/>
      <c r="F114" s="46"/>
      <c r="G114" s="46"/>
      <c r="H114" s="46"/>
      <c r="I114" s="46"/>
      <c r="J114" s="46"/>
      <c r="K114" s="46"/>
      <c r="L114" s="46"/>
      <c r="M114" s="34" t="str">
        <f aca="false">IF(F114="","",F114-N(G114)-N(H114)-N(I114)-N(J114)-N(K114)-N(L114))</f>
        <v/>
      </c>
      <c r="N114" s="34" t="str">
        <f aca="false">IF(A114="","",SUMIFS(②销售核销!$L$4:$L$603,②销售核销!$B$4:$B$603,A114))</f>
        <v/>
      </c>
      <c r="O114" s="34" t="str">
        <f aca="false">IF(OR(M114="",N114=""),"",ROUND(M114-N114,2))</f>
        <v/>
      </c>
      <c r="P114" s="43"/>
      <c r="Q114" s="41"/>
      <c r="R114" s="41"/>
      <c r="S114" s="43"/>
      <c r="T114" s="46"/>
      <c r="U114" s="41"/>
      <c r="V114" s="47"/>
      <c r="W114" s="34" t="str">
        <f aca="false">IF(OR(T114="",V114=""),"",ROUND(T114*V114,2))</f>
        <v/>
      </c>
      <c r="X114" s="50"/>
      <c r="Y114" s="48"/>
      <c r="Z114" s="43"/>
    </row>
    <row r="115" customFormat="false" ht="21.75" hidden="false" customHeight="true" outlineLevel="0" collapsed="false">
      <c r="A115" s="48"/>
      <c r="B115" s="43"/>
      <c r="C115" s="40"/>
      <c r="D115" s="41"/>
      <c r="E115" s="41"/>
      <c r="F115" s="46"/>
      <c r="G115" s="46"/>
      <c r="H115" s="46"/>
      <c r="I115" s="46"/>
      <c r="J115" s="46"/>
      <c r="K115" s="46"/>
      <c r="L115" s="46"/>
      <c r="M115" s="34" t="str">
        <f aca="false">IF(F115="","",F115-N(G115)-N(H115)-N(I115)-N(J115)-N(K115)-N(L115))</f>
        <v/>
      </c>
      <c r="N115" s="34" t="str">
        <f aca="false">IF(A115="","",SUMIFS(②销售核销!$L$4:$L$603,②销售核销!$B$4:$B$603,A115))</f>
        <v/>
      </c>
      <c r="O115" s="34" t="str">
        <f aca="false">IF(OR(M115="",N115=""),"",ROUND(M115-N115,2))</f>
        <v/>
      </c>
      <c r="P115" s="43"/>
      <c r="Q115" s="41"/>
      <c r="R115" s="41"/>
      <c r="S115" s="43"/>
      <c r="T115" s="46"/>
      <c r="U115" s="41"/>
      <c r="V115" s="47"/>
      <c r="W115" s="34" t="str">
        <f aca="false">IF(OR(T115="",V115=""),"",ROUND(T115*V115,2))</f>
        <v/>
      </c>
      <c r="X115" s="50"/>
      <c r="Y115" s="48"/>
      <c r="Z115" s="43"/>
    </row>
    <row r="116" customFormat="false" ht="21.75" hidden="false" customHeight="true" outlineLevel="0" collapsed="false">
      <c r="A116" s="48"/>
      <c r="B116" s="43"/>
      <c r="C116" s="40"/>
      <c r="D116" s="41"/>
      <c r="E116" s="41"/>
      <c r="F116" s="46"/>
      <c r="G116" s="46"/>
      <c r="H116" s="46"/>
      <c r="I116" s="46"/>
      <c r="J116" s="46"/>
      <c r="K116" s="46"/>
      <c r="L116" s="46"/>
      <c r="M116" s="34" t="str">
        <f aca="false">IF(F116="","",F116-N(G116)-N(H116)-N(I116)-N(J116)-N(K116)-N(L116))</f>
        <v/>
      </c>
      <c r="N116" s="34" t="str">
        <f aca="false">IF(A116="","",SUMIFS(②销售核销!$L$4:$L$603,②销售核销!$B$4:$B$603,A116))</f>
        <v/>
      </c>
      <c r="O116" s="34" t="str">
        <f aca="false">IF(OR(M116="",N116=""),"",ROUND(M116-N116,2))</f>
        <v/>
      </c>
      <c r="P116" s="43"/>
      <c r="Q116" s="41"/>
      <c r="R116" s="41"/>
      <c r="S116" s="43"/>
      <c r="T116" s="46"/>
      <c r="U116" s="41"/>
      <c r="V116" s="47"/>
      <c r="W116" s="34" t="str">
        <f aca="false">IF(OR(T116="",V116=""),"",ROUND(T116*V116,2))</f>
        <v/>
      </c>
      <c r="X116" s="50"/>
      <c r="Y116" s="48"/>
      <c r="Z116" s="43"/>
    </row>
    <row r="117" customFormat="false" ht="21.75" hidden="false" customHeight="true" outlineLevel="0" collapsed="false">
      <c r="A117" s="48"/>
      <c r="B117" s="43"/>
      <c r="C117" s="40"/>
      <c r="D117" s="41"/>
      <c r="E117" s="41"/>
      <c r="F117" s="46"/>
      <c r="G117" s="46"/>
      <c r="H117" s="46"/>
      <c r="I117" s="46"/>
      <c r="J117" s="46"/>
      <c r="K117" s="46"/>
      <c r="L117" s="46"/>
      <c r="M117" s="34" t="str">
        <f aca="false">IF(F117="","",F117-N(G117)-N(H117)-N(I117)-N(J117)-N(K117)-N(L117))</f>
        <v/>
      </c>
      <c r="N117" s="34" t="str">
        <f aca="false">IF(A117="","",SUMIFS(②销售核销!$L$4:$L$603,②销售核销!$B$4:$B$603,A117))</f>
        <v/>
      </c>
      <c r="O117" s="34" t="str">
        <f aca="false">IF(OR(M117="",N117=""),"",ROUND(M117-N117,2))</f>
        <v/>
      </c>
      <c r="P117" s="43"/>
      <c r="Q117" s="41"/>
      <c r="R117" s="41"/>
      <c r="S117" s="43"/>
      <c r="T117" s="46"/>
      <c r="U117" s="41"/>
      <c r="V117" s="47"/>
      <c r="W117" s="34" t="str">
        <f aca="false">IF(OR(T117="",V117=""),"",ROUND(T117*V117,2))</f>
        <v/>
      </c>
      <c r="X117" s="50"/>
      <c r="Y117" s="48"/>
      <c r="Z117" s="43"/>
    </row>
    <row r="118" customFormat="false" ht="21.75" hidden="false" customHeight="true" outlineLevel="0" collapsed="false">
      <c r="A118" s="48"/>
      <c r="B118" s="43"/>
      <c r="C118" s="40"/>
      <c r="D118" s="41"/>
      <c r="E118" s="41"/>
      <c r="F118" s="46"/>
      <c r="G118" s="46"/>
      <c r="H118" s="46"/>
      <c r="I118" s="46"/>
      <c r="J118" s="46"/>
      <c r="K118" s="46"/>
      <c r="L118" s="46"/>
      <c r="M118" s="34" t="str">
        <f aca="false">IF(F118="","",F118-N(G118)-N(H118)-N(I118)-N(J118)-N(K118)-N(L118))</f>
        <v/>
      </c>
      <c r="N118" s="34" t="str">
        <f aca="false">IF(A118="","",SUMIFS(②销售核销!$L$4:$L$603,②销售核销!$B$4:$B$603,A118))</f>
        <v/>
      </c>
      <c r="O118" s="34" t="str">
        <f aca="false">IF(OR(M118="",N118=""),"",ROUND(M118-N118,2))</f>
        <v/>
      </c>
      <c r="P118" s="43"/>
      <c r="Q118" s="41"/>
      <c r="R118" s="41"/>
      <c r="S118" s="43"/>
      <c r="T118" s="46"/>
      <c r="U118" s="41"/>
      <c r="V118" s="47"/>
      <c r="W118" s="34" t="str">
        <f aca="false">IF(OR(T118="",V118=""),"",ROUND(T118*V118,2))</f>
        <v/>
      </c>
      <c r="X118" s="50"/>
      <c r="Y118" s="48"/>
      <c r="Z118" s="43"/>
    </row>
    <row r="119" customFormat="false" ht="21.75" hidden="false" customHeight="true" outlineLevel="0" collapsed="false">
      <c r="A119" s="48"/>
      <c r="B119" s="43"/>
      <c r="C119" s="40"/>
      <c r="D119" s="41"/>
      <c r="E119" s="41"/>
      <c r="F119" s="46"/>
      <c r="G119" s="46"/>
      <c r="H119" s="46"/>
      <c r="I119" s="46"/>
      <c r="J119" s="46"/>
      <c r="K119" s="46"/>
      <c r="L119" s="46"/>
      <c r="M119" s="34" t="str">
        <f aca="false">IF(F119="","",F119-N(G119)-N(H119)-N(I119)-N(J119)-N(K119)-N(L119))</f>
        <v/>
      </c>
      <c r="N119" s="34" t="str">
        <f aca="false">IF(A119="","",SUMIFS(②销售核销!$L$4:$L$603,②销售核销!$B$4:$B$603,A119))</f>
        <v/>
      </c>
      <c r="O119" s="34" t="str">
        <f aca="false">IF(OR(M119="",N119=""),"",ROUND(M119-N119,2))</f>
        <v/>
      </c>
      <c r="P119" s="43"/>
      <c r="Q119" s="41"/>
      <c r="R119" s="41"/>
      <c r="S119" s="43"/>
      <c r="T119" s="46"/>
      <c r="U119" s="41"/>
      <c r="V119" s="47"/>
      <c r="W119" s="34" t="str">
        <f aca="false">IF(OR(T119="",V119=""),"",ROUND(T119*V119,2))</f>
        <v/>
      </c>
      <c r="X119" s="50"/>
      <c r="Y119" s="48"/>
      <c r="Z119" s="43"/>
    </row>
    <row r="120" customFormat="false" ht="21.75" hidden="false" customHeight="true" outlineLevel="0" collapsed="false">
      <c r="A120" s="48"/>
      <c r="B120" s="43"/>
      <c r="C120" s="40"/>
      <c r="D120" s="41"/>
      <c r="E120" s="41"/>
      <c r="F120" s="46"/>
      <c r="G120" s="46"/>
      <c r="H120" s="46"/>
      <c r="I120" s="46"/>
      <c r="J120" s="46"/>
      <c r="K120" s="46"/>
      <c r="L120" s="46"/>
      <c r="M120" s="34" t="str">
        <f aca="false">IF(F120="","",F120-N(G120)-N(H120)-N(I120)-N(J120)-N(K120)-N(L120))</f>
        <v/>
      </c>
      <c r="N120" s="34" t="str">
        <f aca="false">IF(A120="","",SUMIFS(②销售核销!$L$4:$L$603,②销售核销!$B$4:$B$603,A120))</f>
        <v/>
      </c>
      <c r="O120" s="34" t="str">
        <f aca="false">IF(OR(M120="",N120=""),"",ROUND(M120-N120,2))</f>
        <v/>
      </c>
      <c r="P120" s="43"/>
      <c r="Q120" s="41"/>
      <c r="R120" s="41"/>
      <c r="S120" s="43"/>
      <c r="T120" s="46"/>
      <c r="U120" s="41"/>
      <c r="V120" s="47"/>
      <c r="W120" s="34" t="str">
        <f aca="false">IF(OR(T120="",V120=""),"",ROUND(T120*V120,2))</f>
        <v/>
      </c>
      <c r="X120" s="50"/>
      <c r="Y120" s="48"/>
      <c r="Z120" s="43"/>
    </row>
    <row r="121" customFormat="false" ht="21.75" hidden="false" customHeight="true" outlineLevel="0" collapsed="false">
      <c r="A121" s="48"/>
      <c r="B121" s="43"/>
      <c r="C121" s="40"/>
      <c r="D121" s="41"/>
      <c r="E121" s="41"/>
      <c r="F121" s="46"/>
      <c r="G121" s="46"/>
      <c r="H121" s="46"/>
      <c r="I121" s="46"/>
      <c r="J121" s="46"/>
      <c r="K121" s="46"/>
      <c r="L121" s="46"/>
      <c r="M121" s="34" t="str">
        <f aca="false">IF(F121="","",F121-N(G121)-N(H121)-N(I121)-N(J121)-N(K121)-N(L121))</f>
        <v/>
      </c>
      <c r="N121" s="34" t="str">
        <f aca="false">IF(A121="","",SUMIFS(②销售核销!$L$4:$L$603,②销售核销!$B$4:$B$603,A121))</f>
        <v/>
      </c>
      <c r="O121" s="34" t="str">
        <f aca="false">IF(OR(M121="",N121=""),"",ROUND(M121-N121,2))</f>
        <v/>
      </c>
      <c r="P121" s="43"/>
      <c r="Q121" s="41"/>
      <c r="R121" s="41"/>
      <c r="S121" s="43"/>
      <c r="T121" s="46"/>
      <c r="U121" s="41"/>
      <c r="V121" s="47"/>
      <c r="W121" s="34" t="str">
        <f aca="false">IF(OR(T121="",V121=""),"",ROUND(T121*V121,2))</f>
        <v/>
      </c>
      <c r="X121" s="50"/>
      <c r="Y121" s="48"/>
      <c r="Z121" s="43"/>
    </row>
    <row r="122" customFormat="false" ht="21.75" hidden="false" customHeight="true" outlineLevel="0" collapsed="false">
      <c r="A122" s="48"/>
      <c r="B122" s="43"/>
      <c r="C122" s="40"/>
      <c r="D122" s="41"/>
      <c r="E122" s="41"/>
      <c r="F122" s="46"/>
      <c r="G122" s="46"/>
      <c r="H122" s="46"/>
      <c r="I122" s="46"/>
      <c r="J122" s="46"/>
      <c r="K122" s="46"/>
      <c r="L122" s="46"/>
      <c r="M122" s="34" t="str">
        <f aca="false">IF(F122="","",F122-N(G122)-N(H122)-N(I122)-N(J122)-N(K122)-N(L122))</f>
        <v/>
      </c>
      <c r="N122" s="34" t="str">
        <f aca="false">IF(A122="","",SUMIFS(②销售核销!$L$4:$L$603,②销售核销!$B$4:$B$603,A122))</f>
        <v/>
      </c>
      <c r="O122" s="34" t="str">
        <f aca="false">IF(OR(M122="",N122=""),"",ROUND(M122-N122,2))</f>
        <v/>
      </c>
      <c r="P122" s="43"/>
      <c r="Q122" s="41"/>
      <c r="R122" s="41"/>
      <c r="S122" s="43"/>
      <c r="T122" s="46"/>
      <c r="U122" s="41"/>
      <c r="V122" s="47"/>
      <c r="W122" s="34" t="str">
        <f aca="false">IF(OR(T122="",V122=""),"",ROUND(T122*V122,2))</f>
        <v/>
      </c>
      <c r="X122" s="50"/>
      <c r="Y122" s="48"/>
      <c r="Z122" s="43"/>
    </row>
    <row r="123" customFormat="false" ht="21.75" hidden="false" customHeight="true" outlineLevel="0" collapsed="false">
      <c r="A123" s="48"/>
      <c r="B123" s="43"/>
      <c r="C123" s="40"/>
      <c r="D123" s="41"/>
      <c r="E123" s="41"/>
      <c r="F123" s="46"/>
      <c r="G123" s="46"/>
      <c r="H123" s="46"/>
      <c r="I123" s="46"/>
      <c r="J123" s="46"/>
      <c r="K123" s="46"/>
      <c r="L123" s="46"/>
      <c r="M123" s="34" t="str">
        <f aca="false">IF(F123="","",F123-N(G123)-N(H123)-N(I123)-N(J123)-N(K123)-N(L123))</f>
        <v/>
      </c>
      <c r="N123" s="34" t="str">
        <f aca="false">IF(A123="","",SUMIFS(②销售核销!$L$4:$L$603,②销售核销!$B$4:$B$603,A123))</f>
        <v/>
      </c>
      <c r="O123" s="34" t="str">
        <f aca="false">IF(OR(M123="",N123=""),"",ROUND(M123-N123,2))</f>
        <v/>
      </c>
      <c r="P123" s="43"/>
      <c r="Q123" s="41"/>
      <c r="R123" s="41"/>
      <c r="S123" s="43"/>
      <c r="T123" s="46"/>
      <c r="U123" s="41"/>
      <c r="V123" s="47"/>
      <c r="W123" s="34" t="str">
        <f aca="false">IF(OR(T123="",V123=""),"",ROUND(T123*V123,2))</f>
        <v/>
      </c>
      <c r="X123" s="50"/>
      <c r="Y123" s="48"/>
      <c r="Z123" s="43"/>
    </row>
    <row r="124" customFormat="false" ht="21.75" hidden="false" customHeight="true" outlineLevel="0" collapsed="false">
      <c r="A124" s="48"/>
      <c r="B124" s="43"/>
      <c r="C124" s="40"/>
      <c r="D124" s="41"/>
      <c r="E124" s="41"/>
      <c r="F124" s="46"/>
      <c r="G124" s="46"/>
      <c r="H124" s="46"/>
      <c r="I124" s="46"/>
      <c r="J124" s="46"/>
      <c r="K124" s="46"/>
      <c r="L124" s="46"/>
      <c r="M124" s="34" t="str">
        <f aca="false">IF(F124="","",F124-N(G124)-N(H124)-N(I124)-N(J124)-N(K124)-N(L124))</f>
        <v/>
      </c>
      <c r="N124" s="34" t="str">
        <f aca="false">IF(A124="","",SUMIFS(②销售核销!$L$4:$L$603,②销售核销!$B$4:$B$603,A124))</f>
        <v/>
      </c>
      <c r="O124" s="34" t="str">
        <f aca="false">IF(OR(M124="",N124=""),"",ROUND(M124-N124,2))</f>
        <v/>
      </c>
      <c r="P124" s="43"/>
      <c r="Q124" s="41"/>
      <c r="R124" s="41"/>
      <c r="S124" s="43"/>
      <c r="T124" s="46"/>
      <c r="U124" s="41"/>
      <c r="V124" s="47"/>
      <c r="W124" s="34" t="str">
        <f aca="false">IF(OR(T124="",V124=""),"",ROUND(T124*V124,2))</f>
        <v/>
      </c>
      <c r="X124" s="50"/>
      <c r="Y124" s="48"/>
      <c r="Z124" s="43"/>
    </row>
    <row r="125" customFormat="false" ht="21.75" hidden="false" customHeight="true" outlineLevel="0" collapsed="false">
      <c r="A125" s="48"/>
      <c r="B125" s="43"/>
      <c r="C125" s="40"/>
      <c r="D125" s="41"/>
      <c r="E125" s="41"/>
      <c r="F125" s="46"/>
      <c r="G125" s="46"/>
      <c r="H125" s="46"/>
      <c r="I125" s="46"/>
      <c r="J125" s="46"/>
      <c r="K125" s="46"/>
      <c r="L125" s="46"/>
      <c r="M125" s="34" t="str">
        <f aca="false">IF(F125="","",F125-N(G125)-N(H125)-N(I125)-N(J125)-N(K125)-N(L125))</f>
        <v/>
      </c>
      <c r="N125" s="34" t="str">
        <f aca="false">IF(A125="","",SUMIFS(②销售核销!$L$4:$L$603,②销售核销!$B$4:$B$603,A125))</f>
        <v/>
      </c>
      <c r="O125" s="34" t="str">
        <f aca="false">IF(OR(M125="",N125=""),"",ROUND(M125-N125,2))</f>
        <v/>
      </c>
      <c r="P125" s="43"/>
      <c r="Q125" s="41"/>
      <c r="R125" s="41"/>
      <c r="S125" s="43"/>
      <c r="T125" s="46"/>
      <c r="U125" s="41"/>
      <c r="V125" s="47"/>
      <c r="W125" s="34" t="str">
        <f aca="false">IF(OR(T125="",V125=""),"",ROUND(T125*V125,2))</f>
        <v/>
      </c>
      <c r="X125" s="50"/>
      <c r="Y125" s="48"/>
      <c r="Z125" s="43"/>
    </row>
    <row r="126" customFormat="false" ht="21.75" hidden="false" customHeight="true" outlineLevel="0" collapsed="false">
      <c r="A126" s="48"/>
      <c r="B126" s="43"/>
      <c r="C126" s="40"/>
      <c r="D126" s="41"/>
      <c r="E126" s="41"/>
      <c r="F126" s="46"/>
      <c r="G126" s="46"/>
      <c r="H126" s="46"/>
      <c r="I126" s="46"/>
      <c r="J126" s="46"/>
      <c r="K126" s="46"/>
      <c r="L126" s="46"/>
      <c r="M126" s="34" t="str">
        <f aca="false">IF(F126="","",F126-N(G126)-N(H126)-N(I126)-N(J126)-N(K126)-N(L126))</f>
        <v/>
      </c>
      <c r="N126" s="34" t="str">
        <f aca="false">IF(A126="","",SUMIFS(②销售核销!$L$4:$L$603,②销售核销!$B$4:$B$603,A126))</f>
        <v/>
      </c>
      <c r="O126" s="34" t="str">
        <f aca="false">IF(OR(M126="",N126=""),"",ROUND(M126-N126,2))</f>
        <v/>
      </c>
      <c r="P126" s="43"/>
      <c r="Q126" s="41"/>
      <c r="R126" s="41"/>
      <c r="S126" s="43"/>
      <c r="T126" s="46"/>
      <c r="U126" s="41"/>
      <c r="V126" s="47"/>
      <c r="W126" s="34" t="str">
        <f aca="false">IF(OR(T126="",V126=""),"",ROUND(T126*V126,2))</f>
        <v/>
      </c>
      <c r="X126" s="50"/>
      <c r="Y126" s="48"/>
      <c r="Z126" s="43"/>
    </row>
    <row r="127" customFormat="false" ht="21.75" hidden="false" customHeight="true" outlineLevel="0" collapsed="false">
      <c r="A127" s="48"/>
      <c r="B127" s="43"/>
      <c r="C127" s="40"/>
      <c r="D127" s="41"/>
      <c r="E127" s="41"/>
      <c r="F127" s="46"/>
      <c r="G127" s="46"/>
      <c r="H127" s="46"/>
      <c r="I127" s="46"/>
      <c r="J127" s="46"/>
      <c r="K127" s="46"/>
      <c r="L127" s="46"/>
      <c r="M127" s="34" t="str">
        <f aca="false">IF(F127="","",F127-N(G127)-N(H127)-N(I127)-N(J127)-N(K127)-N(L127))</f>
        <v/>
      </c>
      <c r="N127" s="34" t="str">
        <f aca="false">IF(A127="","",SUMIFS(②销售核销!$L$4:$L$603,②销售核销!$B$4:$B$603,A127))</f>
        <v/>
      </c>
      <c r="O127" s="34" t="str">
        <f aca="false">IF(OR(M127="",N127=""),"",ROUND(M127-N127,2))</f>
        <v/>
      </c>
      <c r="P127" s="43"/>
      <c r="Q127" s="41"/>
      <c r="R127" s="41"/>
      <c r="S127" s="43"/>
      <c r="T127" s="46"/>
      <c r="U127" s="41"/>
      <c r="V127" s="47"/>
      <c r="W127" s="34" t="str">
        <f aca="false">IF(OR(T127="",V127=""),"",ROUND(T127*V127,2))</f>
        <v/>
      </c>
      <c r="X127" s="50"/>
      <c r="Y127" s="48"/>
      <c r="Z127" s="43"/>
    </row>
    <row r="128" customFormat="false" ht="21.75" hidden="false" customHeight="true" outlineLevel="0" collapsed="false">
      <c r="A128" s="48"/>
      <c r="B128" s="43"/>
      <c r="C128" s="40"/>
      <c r="D128" s="41"/>
      <c r="E128" s="41"/>
      <c r="F128" s="46"/>
      <c r="G128" s="46"/>
      <c r="H128" s="46"/>
      <c r="I128" s="46"/>
      <c r="J128" s="46"/>
      <c r="K128" s="46"/>
      <c r="L128" s="46"/>
      <c r="M128" s="34" t="str">
        <f aca="false">IF(F128="","",F128-N(G128)-N(H128)-N(I128)-N(J128)-N(K128)-N(L128))</f>
        <v/>
      </c>
      <c r="N128" s="34" t="str">
        <f aca="false">IF(A128="","",SUMIFS(②销售核销!$L$4:$L$603,②销售核销!$B$4:$B$603,A128))</f>
        <v/>
      </c>
      <c r="O128" s="34" t="str">
        <f aca="false">IF(OR(M128="",N128=""),"",ROUND(M128-N128,2))</f>
        <v/>
      </c>
      <c r="P128" s="43"/>
      <c r="Q128" s="41"/>
      <c r="R128" s="41"/>
      <c r="S128" s="43"/>
      <c r="T128" s="46"/>
      <c r="U128" s="41"/>
      <c r="V128" s="47"/>
      <c r="W128" s="34" t="str">
        <f aca="false">IF(OR(T128="",V128=""),"",ROUND(T128*V128,2))</f>
        <v/>
      </c>
      <c r="X128" s="50"/>
      <c r="Y128" s="48"/>
      <c r="Z128" s="43"/>
    </row>
    <row r="129" customFormat="false" ht="21.75" hidden="false" customHeight="true" outlineLevel="0" collapsed="false">
      <c r="A129" s="48"/>
      <c r="B129" s="43"/>
      <c r="C129" s="40"/>
      <c r="D129" s="41"/>
      <c r="E129" s="41"/>
      <c r="F129" s="46"/>
      <c r="G129" s="46"/>
      <c r="H129" s="46"/>
      <c r="I129" s="46"/>
      <c r="J129" s="46"/>
      <c r="K129" s="46"/>
      <c r="L129" s="46"/>
      <c r="M129" s="34" t="str">
        <f aca="false">IF(F129="","",F129-N(G129)-N(H129)-N(I129)-N(J129)-N(K129)-N(L129))</f>
        <v/>
      </c>
      <c r="N129" s="34" t="str">
        <f aca="false">IF(A129="","",SUMIFS(②销售核销!$L$4:$L$603,②销售核销!$B$4:$B$603,A129))</f>
        <v/>
      </c>
      <c r="O129" s="34" t="str">
        <f aca="false">IF(OR(M129="",N129=""),"",ROUND(M129-N129,2))</f>
        <v/>
      </c>
      <c r="P129" s="43"/>
      <c r="Q129" s="41"/>
      <c r="R129" s="41"/>
      <c r="S129" s="43"/>
      <c r="T129" s="46"/>
      <c r="U129" s="41"/>
      <c r="V129" s="47"/>
      <c r="W129" s="34" t="str">
        <f aca="false">IF(OR(T129="",V129=""),"",ROUND(T129*V129,2))</f>
        <v/>
      </c>
      <c r="X129" s="50"/>
      <c r="Y129" s="48"/>
      <c r="Z129" s="43"/>
    </row>
    <row r="130" customFormat="false" ht="21.75" hidden="false" customHeight="true" outlineLevel="0" collapsed="false">
      <c r="A130" s="48"/>
      <c r="B130" s="43"/>
      <c r="C130" s="40"/>
      <c r="D130" s="41"/>
      <c r="E130" s="41"/>
      <c r="F130" s="46"/>
      <c r="G130" s="46"/>
      <c r="H130" s="46"/>
      <c r="I130" s="46"/>
      <c r="J130" s="46"/>
      <c r="K130" s="46"/>
      <c r="L130" s="46"/>
      <c r="M130" s="34" t="str">
        <f aca="false">IF(F130="","",F130-N(G130)-N(H130)-N(I130)-N(J130)-N(K130)-N(L130))</f>
        <v/>
      </c>
      <c r="N130" s="34" t="str">
        <f aca="false">IF(A130="","",SUMIFS(②销售核销!$L$4:$L$603,②销售核销!$B$4:$B$603,A130))</f>
        <v/>
      </c>
      <c r="O130" s="34" t="str">
        <f aca="false">IF(OR(M130="",N130=""),"",ROUND(M130-N130,2))</f>
        <v/>
      </c>
      <c r="P130" s="43"/>
      <c r="Q130" s="41"/>
      <c r="R130" s="41"/>
      <c r="S130" s="43"/>
      <c r="T130" s="46"/>
      <c r="U130" s="41"/>
      <c r="V130" s="47"/>
      <c r="W130" s="34" t="str">
        <f aca="false">IF(OR(T130="",V130=""),"",ROUND(T130*V130,2))</f>
        <v/>
      </c>
      <c r="X130" s="50"/>
      <c r="Y130" s="48"/>
      <c r="Z130" s="43"/>
    </row>
    <row r="131" customFormat="false" ht="21.75" hidden="false" customHeight="true" outlineLevel="0" collapsed="false">
      <c r="A131" s="48"/>
      <c r="B131" s="43"/>
      <c r="C131" s="40"/>
      <c r="D131" s="41"/>
      <c r="E131" s="41"/>
      <c r="F131" s="46"/>
      <c r="G131" s="46"/>
      <c r="H131" s="46"/>
      <c r="I131" s="46"/>
      <c r="J131" s="46"/>
      <c r="K131" s="46"/>
      <c r="L131" s="46"/>
      <c r="M131" s="34" t="str">
        <f aca="false">IF(F131="","",F131-N(G131)-N(H131)-N(I131)-N(J131)-N(K131)-N(L131))</f>
        <v/>
      </c>
      <c r="N131" s="34" t="str">
        <f aca="false">IF(A131="","",SUMIFS(②销售核销!$L$4:$L$603,②销售核销!$B$4:$B$603,A131))</f>
        <v/>
      </c>
      <c r="O131" s="34" t="str">
        <f aca="false">IF(OR(M131="",N131=""),"",ROUND(M131-N131,2))</f>
        <v/>
      </c>
      <c r="P131" s="43"/>
      <c r="Q131" s="41"/>
      <c r="R131" s="41"/>
      <c r="S131" s="43"/>
      <c r="T131" s="46"/>
      <c r="U131" s="41"/>
      <c r="V131" s="47"/>
      <c r="W131" s="34" t="str">
        <f aca="false">IF(OR(T131="",V131=""),"",ROUND(T131*V131,2))</f>
        <v/>
      </c>
      <c r="X131" s="50"/>
      <c r="Y131" s="48"/>
      <c r="Z131" s="43"/>
    </row>
    <row r="132" customFormat="false" ht="21.75" hidden="false" customHeight="true" outlineLevel="0" collapsed="false">
      <c r="A132" s="48"/>
      <c r="B132" s="43"/>
      <c r="C132" s="40"/>
      <c r="D132" s="41"/>
      <c r="E132" s="41"/>
      <c r="F132" s="46"/>
      <c r="G132" s="46"/>
      <c r="H132" s="46"/>
      <c r="I132" s="46"/>
      <c r="J132" s="46"/>
      <c r="K132" s="46"/>
      <c r="L132" s="46"/>
      <c r="M132" s="34" t="str">
        <f aca="false">IF(F132="","",F132-N(G132)-N(H132)-N(I132)-N(J132)-N(K132)-N(L132))</f>
        <v/>
      </c>
      <c r="N132" s="34" t="str">
        <f aca="false">IF(A132="","",SUMIFS(②销售核销!$L$4:$L$603,②销售核销!$B$4:$B$603,A132))</f>
        <v/>
      </c>
      <c r="O132" s="34" t="str">
        <f aca="false">IF(OR(M132="",N132=""),"",ROUND(M132-N132,2))</f>
        <v/>
      </c>
      <c r="P132" s="43"/>
      <c r="Q132" s="41"/>
      <c r="R132" s="41"/>
      <c r="S132" s="43"/>
      <c r="T132" s="46"/>
      <c r="U132" s="41"/>
      <c r="V132" s="47"/>
      <c r="W132" s="34" t="str">
        <f aca="false">IF(OR(T132="",V132=""),"",ROUND(T132*V132,2))</f>
        <v/>
      </c>
      <c r="X132" s="50"/>
      <c r="Y132" s="48"/>
      <c r="Z132" s="43"/>
    </row>
    <row r="133" customFormat="false" ht="21.75" hidden="false" customHeight="true" outlineLevel="0" collapsed="false">
      <c r="A133" s="48"/>
      <c r="B133" s="43"/>
      <c r="C133" s="40"/>
      <c r="D133" s="41"/>
      <c r="E133" s="41"/>
      <c r="F133" s="46"/>
      <c r="G133" s="46"/>
      <c r="H133" s="46"/>
      <c r="I133" s="46"/>
      <c r="J133" s="46"/>
      <c r="K133" s="46"/>
      <c r="L133" s="46"/>
      <c r="M133" s="34" t="str">
        <f aca="false">IF(F133="","",F133-N(G133)-N(H133)-N(I133)-N(J133)-N(K133)-N(L133))</f>
        <v/>
      </c>
      <c r="N133" s="34" t="str">
        <f aca="false">IF(A133="","",SUMIFS(②销售核销!$L$4:$L$603,②销售核销!$B$4:$B$603,A133))</f>
        <v/>
      </c>
      <c r="O133" s="34" t="str">
        <f aca="false">IF(OR(M133="",N133=""),"",ROUND(M133-N133,2))</f>
        <v/>
      </c>
      <c r="P133" s="43"/>
      <c r="Q133" s="41"/>
      <c r="R133" s="41"/>
      <c r="S133" s="43"/>
      <c r="T133" s="46"/>
      <c r="U133" s="41"/>
      <c r="V133" s="47"/>
      <c r="W133" s="34" t="str">
        <f aca="false">IF(OR(T133="",V133=""),"",ROUND(T133*V133,2))</f>
        <v/>
      </c>
      <c r="X133" s="50"/>
      <c r="Y133" s="48"/>
      <c r="Z133" s="43"/>
    </row>
    <row r="134" customFormat="false" ht="21.75" hidden="false" customHeight="true" outlineLevel="0" collapsed="false">
      <c r="A134" s="48"/>
      <c r="B134" s="43"/>
      <c r="C134" s="40"/>
      <c r="D134" s="41"/>
      <c r="E134" s="41"/>
      <c r="F134" s="46"/>
      <c r="G134" s="46"/>
      <c r="H134" s="46"/>
      <c r="I134" s="46"/>
      <c r="J134" s="46"/>
      <c r="K134" s="46"/>
      <c r="L134" s="46"/>
      <c r="M134" s="34" t="str">
        <f aca="false">IF(F134="","",F134-N(G134)-N(H134)-N(I134)-N(J134)-N(K134)-N(L134))</f>
        <v/>
      </c>
      <c r="N134" s="34" t="str">
        <f aca="false">IF(A134="","",SUMIFS(②销售核销!$L$4:$L$603,②销售核销!$B$4:$B$603,A134))</f>
        <v/>
      </c>
      <c r="O134" s="34" t="str">
        <f aca="false">IF(OR(M134="",N134=""),"",ROUND(M134-N134,2))</f>
        <v/>
      </c>
      <c r="P134" s="43"/>
      <c r="Q134" s="41"/>
      <c r="R134" s="41"/>
      <c r="S134" s="43"/>
      <c r="T134" s="46"/>
      <c r="U134" s="41"/>
      <c r="V134" s="47"/>
      <c r="W134" s="34" t="str">
        <f aca="false">IF(OR(T134="",V134=""),"",ROUND(T134*V134,2))</f>
        <v/>
      </c>
      <c r="X134" s="50"/>
      <c r="Y134" s="48"/>
      <c r="Z134" s="43"/>
    </row>
    <row r="135" customFormat="false" ht="21.75" hidden="false" customHeight="true" outlineLevel="0" collapsed="false">
      <c r="A135" s="48"/>
      <c r="B135" s="43"/>
      <c r="C135" s="40"/>
      <c r="D135" s="41"/>
      <c r="E135" s="41"/>
      <c r="F135" s="46"/>
      <c r="G135" s="46"/>
      <c r="H135" s="46"/>
      <c r="I135" s="46"/>
      <c r="J135" s="46"/>
      <c r="K135" s="46"/>
      <c r="L135" s="46"/>
      <c r="M135" s="34" t="str">
        <f aca="false">IF(F135="","",F135-N(G135)-N(H135)-N(I135)-N(J135)-N(K135)-N(L135))</f>
        <v/>
      </c>
      <c r="N135" s="34" t="str">
        <f aca="false">IF(A135="","",SUMIFS(②销售核销!$L$4:$L$603,②销售核销!$B$4:$B$603,A135))</f>
        <v/>
      </c>
      <c r="O135" s="34" t="str">
        <f aca="false">IF(OR(M135="",N135=""),"",ROUND(M135-N135,2))</f>
        <v/>
      </c>
      <c r="P135" s="43"/>
      <c r="Q135" s="41"/>
      <c r="R135" s="41"/>
      <c r="S135" s="43"/>
      <c r="T135" s="46"/>
      <c r="U135" s="41"/>
      <c r="V135" s="47"/>
      <c r="W135" s="34" t="str">
        <f aca="false">IF(OR(T135="",V135=""),"",ROUND(T135*V135,2))</f>
        <v/>
      </c>
      <c r="X135" s="50"/>
      <c r="Y135" s="48"/>
      <c r="Z135" s="43"/>
    </row>
    <row r="136" customFormat="false" ht="21.75" hidden="false" customHeight="true" outlineLevel="0" collapsed="false">
      <c r="A136" s="48"/>
      <c r="B136" s="43"/>
      <c r="C136" s="40"/>
      <c r="D136" s="41"/>
      <c r="E136" s="41"/>
      <c r="F136" s="46"/>
      <c r="G136" s="46"/>
      <c r="H136" s="46"/>
      <c r="I136" s="46"/>
      <c r="J136" s="46"/>
      <c r="K136" s="46"/>
      <c r="L136" s="46"/>
      <c r="M136" s="34" t="str">
        <f aca="false">IF(F136="","",F136-N(G136)-N(H136)-N(I136)-N(J136)-N(K136)-N(L136))</f>
        <v/>
      </c>
      <c r="N136" s="34" t="str">
        <f aca="false">IF(A136="","",SUMIFS(②销售核销!$L$4:$L$603,②销售核销!$B$4:$B$603,A136))</f>
        <v/>
      </c>
      <c r="O136" s="34" t="str">
        <f aca="false">IF(OR(M136="",N136=""),"",ROUND(M136-N136,2))</f>
        <v/>
      </c>
      <c r="P136" s="43"/>
      <c r="Q136" s="41"/>
      <c r="R136" s="41"/>
      <c r="S136" s="43"/>
      <c r="T136" s="46"/>
      <c r="U136" s="41"/>
      <c r="V136" s="47"/>
      <c r="W136" s="34" t="str">
        <f aca="false">IF(OR(T136="",V136=""),"",ROUND(T136*V136,2))</f>
        <v/>
      </c>
      <c r="X136" s="50"/>
      <c r="Y136" s="48"/>
      <c r="Z136" s="43"/>
    </row>
    <row r="137" customFormat="false" ht="21.75" hidden="false" customHeight="true" outlineLevel="0" collapsed="false">
      <c r="A137" s="48"/>
      <c r="B137" s="43"/>
      <c r="C137" s="40"/>
      <c r="D137" s="41"/>
      <c r="E137" s="41"/>
      <c r="F137" s="46"/>
      <c r="G137" s="46"/>
      <c r="H137" s="46"/>
      <c r="I137" s="46"/>
      <c r="J137" s="46"/>
      <c r="K137" s="46"/>
      <c r="L137" s="46"/>
      <c r="M137" s="34" t="str">
        <f aca="false">IF(F137="","",F137-N(G137)-N(H137)-N(I137)-N(J137)-N(K137)-N(L137))</f>
        <v/>
      </c>
      <c r="N137" s="34" t="str">
        <f aca="false">IF(A137="","",SUMIFS(②销售核销!$L$4:$L$603,②销售核销!$B$4:$B$603,A137))</f>
        <v/>
      </c>
      <c r="O137" s="34" t="str">
        <f aca="false">IF(OR(M137="",N137=""),"",ROUND(M137-N137,2))</f>
        <v/>
      </c>
      <c r="P137" s="43"/>
      <c r="Q137" s="41"/>
      <c r="R137" s="41"/>
      <c r="S137" s="43"/>
      <c r="T137" s="46"/>
      <c r="U137" s="41"/>
      <c r="V137" s="47"/>
      <c r="W137" s="34" t="str">
        <f aca="false">IF(OR(T137="",V137=""),"",ROUND(T137*V137,2))</f>
        <v/>
      </c>
      <c r="X137" s="50"/>
      <c r="Y137" s="48"/>
      <c r="Z137" s="43"/>
    </row>
    <row r="138" customFormat="false" ht="21.75" hidden="false" customHeight="true" outlineLevel="0" collapsed="false">
      <c r="A138" s="48"/>
      <c r="B138" s="43"/>
      <c r="C138" s="40"/>
      <c r="D138" s="41"/>
      <c r="E138" s="41"/>
      <c r="F138" s="46"/>
      <c r="G138" s="46"/>
      <c r="H138" s="46"/>
      <c r="I138" s="46"/>
      <c r="J138" s="46"/>
      <c r="K138" s="46"/>
      <c r="L138" s="46"/>
      <c r="M138" s="34" t="str">
        <f aca="false">IF(F138="","",F138-N(G138)-N(H138)-N(I138)-N(J138)-N(K138)-N(L138))</f>
        <v/>
      </c>
      <c r="N138" s="34" t="str">
        <f aca="false">IF(A138="","",SUMIFS(②销售核销!$L$4:$L$603,②销售核销!$B$4:$B$603,A138))</f>
        <v/>
      </c>
      <c r="O138" s="34" t="str">
        <f aca="false">IF(OR(M138="",N138=""),"",ROUND(M138-N138,2))</f>
        <v/>
      </c>
      <c r="P138" s="43"/>
      <c r="Q138" s="41"/>
      <c r="R138" s="41"/>
      <c r="S138" s="43"/>
      <c r="T138" s="46"/>
      <c r="U138" s="41"/>
      <c r="V138" s="47"/>
      <c r="W138" s="34" t="str">
        <f aca="false">IF(OR(T138="",V138=""),"",ROUND(T138*V138,2))</f>
        <v/>
      </c>
      <c r="X138" s="50"/>
      <c r="Y138" s="48"/>
      <c r="Z138" s="43"/>
    </row>
    <row r="139" customFormat="false" ht="21.75" hidden="false" customHeight="true" outlineLevel="0" collapsed="false">
      <c r="A139" s="48"/>
      <c r="B139" s="43"/>
      <c r="C139" s="40"/>
      <c r="D139" s="41"/>
      <c r="E139" s="41"/>
      <c r="F139" s="46"/>
      <c r="G139" s="46"/>
      <c r="H139" s="46"/>
      <c r="I139" s="46"/>
      <c r="J139" s="46"/>
      <c r="K139" s="46"/>
      <c r="L139" s="46"/>
      <c r="M139" s="34" t="str">
        <f aca="false">IF(F139="","",F139-N(G139)-N(H139)-N(I139)-N(J139)-N(K139)-N(L139))</f>
        <v/>
      </c>
      <c r="N139" s="34" t="str">
        <f aca="false">IF(A139="","",SUMIFS(②销售核销!$L$4:$L$603,②销售核销!$B$4:$B$603,A139))</f>
        <v/>
      </c>
      <c r="O139" s="34" t="str">
        <f aca="false">IF(OR(M139="",N139=""),"",ROUND(M139-N139,2))</f>
        <v/>
      </c>
      <c r="P139" s="43"/>
      <c r="Q139" s="41"/>
      <c r="R139" s="41"/>
      <c r="S139" s="43"/>
      <c r="T139" s="46"/>
      <c r="U139" s="41"/>
      <c r="V139" s="47"/>
      <c r="W139" s="34" t="str">
        <f aca="false">IF(OR(T139="",V139=""),"",ROUND(T139*V139,2))</f>
        <v/>
      </c>
      <c r="X139" s="50"/>
      <c r="Y139" s="48"/>
      <c r="Z139" s="43"/>
    </row>
    <row r="140" customFormat="false" ht="21.75" hidden="false" customHeight="true" outlineLevel="0" collapsed="false">
      <c r="A140" s="48"/>
      <c r="B140" s="43"/>
      <c r="C140" s="40"/>
      <c r="D140" s="41"/>
      <c r="E140" s="41"/>
      <c r="F140" s="46"/>
      <c r="G140" s="46"/>
      <c r="H140" s="46"/>
      <c r="I140" s="46"/>
      <c r="J140" s="46"/>
      <c r="K140" s="46"/>
      <c r="L140" s="46"/>
      <c r="M140" s="34" t="str">
        <f aca="false">IF(F140="","",F140-N(G140)-N(H140)-N(I140)-N(J140)-N(K140)-N(L140))</f>
        <v/>
      </c>
      <c r="N140" s="34" t="str">
        <f aca="false">IF(A140="","",SUMIFS(②销售核销!$L$4:$L$603,②销售核销!$B$4:$B$603,A140))</f>
        <v/>
      </c>
      <c r="O140" s="34" t="str">
        <f aca="false">IF(OR(M140="",N140=""),"",ROUND(M140-N140,2))</f>
        <v/>
      </c>
      <c r="P140" s="43"/>
      <c r="Q140" s="41"/>
      <c r="R140" s="41"/>
      <c r="S140" s="43"/>
      <c r="T140" s="46"/>
      <c r="U140" s="41"/>
      <c r="V140" s="47"/>
      <c r="W140" s="34" t="str">
        <f aca="false">IF(OR(T140="",V140=""),"",ROUND(T140*V140,2))</f>
        <v/>
      </c>
      <c r="X140" s="50"/>
      <c r="Y140" s="48"/>
      <c r="Z140" s="43"/>
    </row>
    <row r="141" customFormat="false" ht="21.75" hidden="false" customHeight="true" outlineLevel="0" collapsed="false">
      <c r="A141" s="48"/>
      <c r="B141" s="43"/>
      <c r="C141" s="40"/>
      <c r="D141" s="41"/>
      <c r="E141" s="41"/>
      <c r="F141" s="46"/>
      <c r="G141" s="46"/>
      <c r="H141" s="46"/>
      <c r="I141" s="46"/>
      <c r="J141" s="46"/>
      <c r="K141" s="46"/>
      <c r="L141" s="46"/>
      <c r="M141" s="34" t="str">
        <f aca="false">IF(F141="","",F141-N(G141)-N(H141)-N(I141)-N(J141)-N(K141)-N(L141))</f>
        <v/>
      </c>
      <c r="N141" s="34" t="str">
        <f aca="false">IF(A141="","",SUMIFS(②销售核销!$L$4:$L$603,②销售核销!$B$4:$B$603,A141))</f>
        <v/>
      </c>
      <c r="O141" s="34" t="str">
        <f aca="false">IF(OR(M141="",N141=""),"",ROUND(M141-N141,2))</f>
        <v/>
      </c>
      <c r="P141" s="43"/>
      <c r="Q141" s="41"/>
      <c r="R141" s="41"/>
      <c r="S141" s="43"/>
      <c r="T141" s="46"/>
      <c r="U141" s="41"/>
      <c r="V141" s="47"/>
      <c r="W141" s="34" t="str">
        <f aca="false">IF(OR(T141="",V141=""),"",ROUND(T141*V141,2))</f>
        <v/>
      </c>
      <c r="X141" s="50"/>
      <c r="Y141" s="48"/>
      <c r="Z141" s="43"/>
    </row>
    <row r="142" customFormat="false" ht="21.75" hidden="false" customHeight="true" outlineLevel="0" collapsed="false">
      <c r="A142" s="48"/>
      <c r="B142" s="43"/>
      <c r="C142" s="40"/>
      <c r="D142" s="41"/>
      <c r="E142" s="41"/>
      <c r="F142" s="46"/>
      <c r="G142" s="46"/>
      <c r="H142" s="46"/>
      <c r="I142" s="46"/>
      <c r="J142" s="46"/>
      <c r="K142" s="46"/>
      <c r="L142" s="46"/>
      <c r="M142" s="34" t="str">
        <f aca="false">IF(F142="","",F142-N(G142)-N(H142)-N(I142)-N(J142)-N(K142)-N(L142))</f>
        <v/>
      </c>
      <c r="N142" s="34" t="str">
        <f aca="false">IF(A142="","",SUMIFS(②销售核销!$L$4:$L$603,②销售核销!$B$4:$B$603,A142))</f>
        <v/>
      </c>
      <c r="O142" s="34" t="str">
        <f aca="false">IF(OR(M142="",N142=""),"",ROUND(M142-N142,2))</f>
        <v/>
      </c>
      <c r="P142" s="43"/>
      <c r="Q142" s="41"/>
      <c r="R142" s="41"/>
      <c r="S142" s="43"/>
      <c r="T142" s="46"/>
      <c r="U142" s="41"/>
      <c r="V142" s="47"/>
      <c r="W142" s="34" t="str">
        <f aca="false">IF(OR(T142="",V142=""),"",ROUND(T142*V142,2))</f>
        <v/>
      </c>
      <c r="X142" s="50"/>
      <c r="Y142" s="48"/>
      <c r="Z142" s="43"/>
    </row>
    <row r="143" customFormat="false" ht="21.75" hidden="false" customHeight="true" outlineLevel="0" collapsed="false">
      <c r="A143" s="48"/>
      <c r="B143" s="43"/>
      <c r="C143" s="40"/>
      <c r="D143" s="41"/>
      <c r="E143" s="41"/>
      <c r="F143" s="46"/>
      <c r="G143" s="46"/>
      <c r="H143" s="46"/>
      <c r="I143" s="46"/>
      <c r="J143" s="46"/>
      <c r="K143" s="46"/>
      <c r="L143" s="46"/>
      <c r="M143" s="34" t="str">
        <f aca="false">IF(F143="","",F143-N(G143)-N(H143)-N(I143)-N(J143)-N(K143)-N(L143))</f>
        <v/>
      </c>
      <c r="N143" s="34" t="str">
        <f aca="false">IF(A143="","",SUMIFS(②销售核销!$L$4:$L$603,②销售核销!$B$4:$B$603,A143))</f>
        <v/>
      </c>
      <c r="O143" s="34" t="str">
        <f aca="false">IF(OR(M143="",N143=""),"",ROUND(M143-N143,2))</f>
        <v/>
      </c>
      <c r="P143" s="43"/>
      <c r="Q143" s="41"/>
      <c r="R143" s="41"/>
      <c r="S143" s="43"/>
      <c r="T143" s="46"/>
      <c r="U143" s="41"/>
      <c r="V143" s="47"/>
      <c r="W143" s="34" t="str">
        <f aca="false">IF(OR(T143="",V143=""),"",ROUND(T143*V143,2))</f>
        <v/>
      </c>
      <c r="X143" s="50"/>
      <c r="Y143" s="48"/>
      <c r="Z143" s="43"/>
    </row>
    <row r="144" customFormat="false" ht="21.75" hidden="false" customHeight="true" outlineLevel="0" collapsed="false">
      <c r="A144" s="48"/>
      <c r="B144" s="43"/>
      <c r="C144" s="40"/>
      <c r="D144" s="41"/>
      <c r="E144" s="41"/>
      <c r="F144" s="46"/>
      <c r="G144" s="46"/>
      <c r="H144" s="46"/>
      <c r="I144" s="46"/>
      <c r="J144" s="46"/>
      <c r="K144" s="46"/>
      <c r="L144" s="46"/>
      <c r="M144" s="34" t="str">
        <f aca="false">IF(F144="","",F144-N(G144)-N(H144)-N(I144)-N(J144)-N(K144)-N(L144))</f>
        <v/>
      </c>
      <c r="N144" s="34" t="str">
        <f aca="false">IF(A144="","",SUMIFS(②销售核销!$L$4:$L$603,②销售核销!$B$4:$B$603,A144))</f>
        <v/>
      </c>
      <c r="O144" s="34" t="str">
        <f aca="false">IF(OR(M144="",N144=""),"",ROUND(M144-N144,2))</f>
        <v/>
      </c>
      <c r="P144" s="43"/>
      <c r="Q144" s="41"/>
      <c r="R144" s="41"/>
      <c r="S144" s="43"/>
      <c r="T144" s="46"/>
      <c r="U144" s="41"/>
      <c r="V144" s="47"/>
      <c r="W144" s="34" t="str">
        <f aca="false">IF(OR(T144="",V144=""),"",ROUND(T144*V144,2))</f>
        <v/>
      </c>
      <c r="X144" s="50"/>
      <c r="Y144" s="48"/>
      <c r="Z144" s="43"/>
    </row>
    <row r="145" customFormat="false" ht="21.75" hidden="false" customHeight="true" outlineLevel="0" collapsed="false">
      <c r="A145" s="48"/>
      <c r="B145" s="43"/>
      <c r="C145" s="40"/>
      <c r="D145" s="41"/>
      <c r="E145" s="41"/>
      <c r="F145" s="46"/>
      <c r="G145" s="46"/>
      <c r="H145" s="46"/>
      <c r="I145" s="46"/>
      <c r="J145" s="46"/>
      <c r="K145" s="46"/>
      <c r="L145" s="46"/>
      <c r="M145" s="34" t="str">
        <f aca="false">IF(F145="","",F145-N(G145)-N(H145)-N(I145)-N(J145)-N(K145)-N(L145))</f>
        <v/>
      </c>
      <c r="N145" s="34" t="str">
        <f aca="false">IF(A145="","",SUMIFS(②销售核销!$L$4:$L$603,②销售核销!$B$4:$B$603,A145))</f>
        <v/>
      </c>
      <c r="O145" s="34" t="str">
        <f aca="false">IF(OR(M145="",N145=""),"",ROUND(M145-N145,2))</f>
        <v/>
      </c>
      <c r="P145" s="43"/>
      <c r="Q145" s="41"/>
      <c r="R145" s="41"/>
      <c r="S145" s="43"/>
      <c r="T145" s="46"/>
      <c r="U145" s="41"/>
      <c r="V145" s="47"/>
      <c r="W145" s="34" t="str">
        <f aca="false">IF(OR(T145="",V145=""),"",ROUND(T145*V145,2))</f>
        <v/>
      </c>
      <c r="X145" s="50"/>
      <c r="Y145" s="48"/>
      <c r="Z145" s="43"/>
    </row>
    <row r="146" customFormat="false" ht="21.75" hidden="false" customHeight="true" outlineLevel="0" collapsed="false">
      <c r="A146" s="48"/>
      <c r="B146" s="43"/>
      <c r="C146" s="40"/>
      <c r="D146" s="41"/>
      <c r="E146" s="41"/>
      <c r="F146" s="46"/>
      <c r="G146" s="46"/>
      <c r="H146" s="46"/>
      <c r="I146" s="46"/>
      <c r="J146" s="46"/>
      <c r="K146" s="46"/>
      <c r="L146" s="46"/>
      <c r="M146" s="34" t="str">
        <f aca="false">IF(F146="","",F146-N(G146)-N(H146)-N(I146)-N(J146)-N(K146)-N(L146))</f>
        <v/>
      </c>
      <c r="N146" s="34" t="str">
        <f aca="false">IF(A146="","",SUMIFS(②销售核销!$L$4:$L$603,②销售核销!$B$4:$B$603,A146))</f>
        <v/>
      </c>
      <c r="O146" s="34" t="str">
        <f aca="false">IF(OR(M146="",N146=""),"",ROUND(M146-N146,2))</f>
        <v/>
      </c>
      <c r="P146" s="43"/>
      <c r="Q146" s="41"/>
      <c r="R146" s="41"/>
      <c r="S146" s="43"/>
      <c r="T146" s="46"/>
      <c r="U146" s="41"/>
      <c r="V146" s="47"/>
      <c r="W146" s="34" t="str">
        <f aca="false">IF(OR(T146="",V146=""),"",ROUND(T146*V146,2))</f>
        <v/>
      </c>
      <c r="X146" s="50"/>
      <c r="Y146" s="48"/>
      <c r="Z146" s="43"/>
    </row>
    <row r="147" customFormat="false" ht="21.75" hidden="false" customHeight="true" outlineLevel="0" collapsed="false">
      <c r="A147" s="48"/>
      <c r="B147" s="43"/>
      <c r="C147" s="40"/>
      <c r="D147" s="41"/>
      <c r="E147" s="41"/>
      <c r="F147" s="46"/>
      <c r="G147" s="46"/>
      <c r="H147" s="46"/>
      <c r="I147" s="46"/>
      <c r="J147" s="46"/>
      <c r="K147" s="46"/>
      <c r="L147" s="46"/>
      <c r="M147" s="34" t="str">
        <f aca="false">IF(F147="","",F147-N(G147)-N(H147)-N(I147)-N(J147)-N(K147)-N(L147))</f>
        <v/>
      </c>
      <c r="N147" s="34" t="str">
        <f aca="false">IF(A147="","",SUMIFS(②销售核销!$L$4:$L$603,②销售核销!$B$4:$B$603,A147))</f>
        <v/>
      </c>
      <c r="O147" s="34" t="str">
        <f aca="false">IF(OR(M147="",N147=""),"",ROUND(M147-N147,2))</f>
        <v/>
      </c>
      <c r="P147" s="43"/>
      <c r="Q147" s="41"/>
      <c r="R147" s="41"/>
      <c r="S147" s="43"/>
      <c r="T147" s="46"/>
      <c r="U147" s="41"/>
      <c r="V147" s="47"/>
      <c r="W147" s="34" t="str">
        <f aca="false">IF(OR(T147="",V147=""),"",ROUND(T147*V147,2))</f>
        <v/>
      </c>
      <c r="X147" s="50"/>
      <c r="Y147" s="48"/>
      <c r="Z147" s="43"/>
    </row>
    <row r="148" customFormat="false" ht="21.75" hidden="false" customHeight="true" outlineLevel="0" collapsed="false">
      <c r="A148" s="48"/>
      <c r="B148" s="43"/>
      <c r="C148" s="40"/>
      <c r="D148" s="41"/>
      <c r="E148" s="41"/>
      <c r="F148" s="46"/>
      <c r="G148" s="46"/>
      <c r="H148" s="46"/>
      <c r="I148" s="46"/>
      <c r="J148" s="46"/>
      <c r="K148" s="46"/>
      <c r="L148" s="46"/>
      <c r="M148" s="34" t="str">
        <f aca="false">IF(F148="","",F148-N(G148)-N(H148)-N(I148)-N(J148)-N(K148)-N(L148))</f>
        <v/>
      </c>
      <c r="N148" s="34" t="str">
        <f aca="false">IF(A148="","",SUMIFS(②销售核销!$L$4:$L$603,②销售核销!$B$4:$B$603,A148))</f>
        <v/>
      </c>
      <c r="O148" s="34" t="str">
        <f aca="false">IF(OR(M148="",N148=""),"",ROUND(M148-N148,2))</f>
        <v/>
      </c>
      <c r="P148" s="43"/>
      <c r="Q148" s="41"/>
      <c r="R148" s="41"/>
      <c r="S148" s="43"/>
      <c r="T148" s="46"/>
      <c r="U148" s="41"/>
      <c r="V148" s="47"/>
      <c r="W148" s="34" t="str">
        <f aca="false">IF(OR(T148="",V148=""),"",ROUND(T148*V148,2))</f>
        <v/>
      </c>
      <c r="X148" s="50"/>
      <c r="Y148" s="48"/>
      <c r="Z148" s="43"/>
    </row>
    <row r="149" customFormat="false" ht="21.75" hidden="false" customHeight="true" outlineLevel="0" collapsed="false">
      <c r="A149" s="48"/>
      <c r="B149" s="43"/>
      <c r="C149" s="40"/>
      <c r="D149" s="41"/>
      <c r="E149" s="41"/>
      <c r="F149" s="46"/>
      <c r="G149" s="46"/>
      <c r="H149" s="46"/>
      <c r="I149" s="46"/>
      <c r="J149" s="46"/>
      <c r="K149" s="46"/>
      <c r="L149" s="46"/>
      <c r="M149" s="34" t="str">
        <f aca="false">IF(F149="","",F149-N(G149)-N(H149)-N(I149)-N(J149)-N(K149)-N(L149))</f>
        <v/>
      </c>
      <c r="N149" s="34" t="str">
        <f aca="false">IF(A149="","",SUMIFS(②销售核销!$L$4:$L$603,②销售核销!$B$4:$B$603,A149))</f>
        <v/>
      </c>
      <c r="O149" s="34" t="str">
        <f aca="false">IF(OR(M149="",N149=""),"",ROUND(M149-N149,2))</f>
        <v/>
      </c>
      <c r="P149" s="43"/>
      <c r="Q149" s="41"/>
      <c r="R149" s="41"/>
      <c r="S149" s="43"/>
      <c r="T149" s="46"/>
      <c r="U149" s="41"/>
      <c r="V149" s="47"/>
      <c r="W149" s="34" t="str">
        <f aca="false">IF(OR(T149="",V149=""),"",ROUND(T149*V149,2))</f>
        <v/>
      </c>
      <c r="X149" s="50"/>
      <c r="Y149" s="48"/>
      <c r="Z149" s="43"/>
    </row>
    <row r="150" customFormat="false" ht="21.75" hidden="false" customHeight="true" outlineLevel="0" collapsed="false">
      <c r="A150" s="48"/>
      <c r="B150" s="43"/>
      <c r="C150" s="40"/>
      <c r="D150" s="41"/>
      <c r="E150" s="41"/>
      <c r="F150" s="46"/>
      <c r="G150" s="46"/>
      <c r="H150" s="46"/>
      <c r="I150" s="46"/>
      <c r="J150" s="46"/>
      <c r="K150" s="46"/>
      <c r="L150" s="46"/>
      <c r="M150" s="34" t="str">
        <f aca="false">IF(F150="","",F150-N(G150)-N(H150)-N(I150)-N(J150)-N(K150)-N(L150))</f>
        <v/>
      </c>
      <c r="N150" s="34" t="str">
        <f aca="false">IF(A150="","",SUMIFS(②销售核销!$L$4:$L$603,②销售核销!$B$4:$B$603,A150))</f>
        <v/>
      </c>
      <c r="O150" s="34" t="str">
        <f aca="false">IF(OR(M150="",N150=""),"",ROUND(M150-N150,2))</f>
        <v/>
      </c>
      <c r="P150" s="43"/>
      <c r="Q150" s="41"/>
      <c r="R150" s="41"/>
      <c r="S150" s="43"/>
      <c r="T150" s="46"/>
      <c r="U150" s="41"/>
      <c r="V150" s="47"/>
      <c r="W150" s="34" t="str">
        <f aca="false">IF(OR(T150="",V150=""),"",ROUND(T150*V150,2))</f>
        <v/>
      </c>
      <c r="X150" s="50"/>
      <c r="Y150" s="48"/>
      <c r="Z150" s="43"/>
    </row>
    <row r="151" customFormat="false" ht="21.75" hidden="false" customHeight="true" outlineLevel="0" collapsed="false">
      <c r="A151" s="48"/>
      <c r="B151" s="43"/>
      <c r="C151" s="40"/>
      <c r="D151" s="41"/>
      <c r="E151" s="41"/>
      <c r="F151" s="46"/>
      <c r="G151" s="46"/>
      <c r="H151" s="46"/>
      <c r="I151" s="46"/>
      <c r="J151" s="46"/>
      <c r="K151" s="46"/>
      <c r="L151" s="46"/>
      <c r="M151" s="34" t="str">
        <f aca="false">IF(F151="","",F151-N(G151)-N(H151)-N(I151)-N(J151)-N(K151)-N(L151))</f>
        <v/>
      </c>
      <c r="N151" s="34" t="str">
        <f aca="false">IF(A151="","",SUMIFS(②销售核销!$L$4:$L$603,②销售核销!$B$4:$B$603,A151))</f>
        <v/>
      </c>
      <c r="O151" s="34" t="str">
        <f aca="false">IF(OR(M151="",N151=""),"",ROUND(M151-N151,2))</f>
        <v/>
      </c>
      <c r="P151" s="43"/>
      <c r="Q151" s="41"/>
      <c r="R151" s="41"/>
      <c r="S151" s="43"/>
      <c r="T151" s="46"/>
      <c r="U151" s="41"/>
      <c r="V151" s="47"/>
      <c r="W151" s="34" t="str">
        <f aca="false">IF(OR(T151="",V151=""),"",ROUND(T151*V151,2))</f>
        <v/>
      </c>
      <c r="X151" s="50"/>
      <c r="Y151" s="48"/>
      <c r="Z151" s="43"/>
    </row>
    <row r="152" customFormat="false" ht="21.75" hidden="false" customHeight="true" outlineLevel="0" collapsed="false">
      <c r="A152" s="48"/>
      <c r="B152" s="43"/>
      <c r="C152" s="40"/>
      <c r="D152" s="41"/>
      <c r="E152" s="41"/>
      <c r="F152" s="46"/>
      <c r="G152" s="46"/>
      <c r="H152" s="46"/>
      <c r="I152" s="46"/>
      <c r="J152" s="46"/>
      <c r="K152" s="46"/>
      <c r="L152" s="46"/>
      <c r="M152" s="34" t="str">
        <f aca="false">IF(F152="","",F152-N(G152)-N(H152)-N(I152)-N(J152)-N(K152)-N(L152))</f>
        <v/>
      </c>
      <c r="N152" s="34" t="str">
        <f aca="false">IF(A152="","",SUMIFS(②销售核销!$L$4:$L$603,②销售核销!$B$4:$B$603,A152))</f>
        <v/>
      </c>
      <c r="O152" s="34" t="str">
        <f aca="false">IF(OR(M152="",N152=""),"",ROUND(M152-N152,2))</f>
        <v/>
      </c>
      <c r="P152" s="43"/>
      <c r="Q152" s="41"/>
      <c r="R152" s="41"/>
      <c r="S152" s="43"/>
      <c r="T152" s="46"/>
      <c r="U152" s="41"/>
      <c r="V152" s="47"/>
      <c r="W152" s="34" t="str">
        <f aca="false">IF(OR(T152="",V152=""),"",ROUND(T152*V152,2))</f>
        <v/>
      </c>
      <c r="X152" s="50"/>
      <c r="Y152" s="48"/>
      <c r="Z152" s="43"/>
    </row>
    <row r="153" customFormat="false" ht="21.75" hidden="false" customHeight="true" outlineLevel="0" collapsed="false">
      <c r="A153" s="48"/>
      <c r="B153" s="43"/>
      <c r="C153" s="40"/>
      <c r="D153" s="41"/>
      <c r="E153" s="41"/>
      <c r="F153" s="46"/>
      <c r="G153" s="46"/>
      <c r="H153" s="46"/>
      <c r="I153" s="46"/>
      <c r="J153" s="46"/>
      <c r="K153" s="46"/>
      <c r="L153" s="46"/>
      <c r="M153" s="34" t="str">
        <f aca="false">IF(F153="","",F153-N(G153)-N(H153)-N(I153)-N(J153)-N(K153)-N(L153))</f>
        <v/>
      </c>
      <c r="N153" s="34" t="str">
        <f aca="false">IF(A153="","",SUMIFS(②销售核销!$L$4:$L$603,②销售核销!$B$4:$B$603,A153))</f>
        <v/>
      </c>
      <c r="O153" s="34" t="str">
        <f aca="false">IF(OR(M153="",N153=""),"",ROUND(M153-N153,2))</f>
        <v/>
      </c>
      <c r="P153" s="43"/>
      <c r="Q153" s="41"/>
      <c r="R153" s="41"/>
      <c r="S153" s="43"/>
      <c r="T153" s="46"/>
      <c r="U153" s="41"/>
      <c r="V153" s="47"/>
      <c r="W153" s="34" t="str">
        <f aca="false">IF(OR(T153="",V153=""),"",ROUND(T153*V153,2))</f>
        <v/>
      </c>
      <c r="X153" s="50"/>
      <c r="Y153" s="48"/>
      <c r="Z153" s="43"/>
    </row>
    <row r="154" customFormat="false" ht="21.75" hidden="false" customHeight="true" outlineLevel="0" collapsed="false">
      <c r="A154" s="48"/>
      <c r="B154" s="43"/>
      <c r="C154" s="40"/>
      <c r="D154" s="41"/>
      <c r="E154" s="41"/>
      <c r="F154" s="46"/>
      <c r="G154" s="46"/>
      <c r="H154" s="46"/>
      <c r="I154" s="46"/>
      <c r="J154" s="46"/>
      <c r="K154" s="46"/>
      <c r="L154" s="46"/>
      <c r="M154" s="34" t="str">
        <f aca="false">IF(F154="","",F154-N(G154)-N(H154)-N(I154)-N(J154)-N(K154)-N(L154))</f>
        <v/>
      </c>
      <c r="N154" s="34" t="str">
        <f aca="false">IF(A154="","",SUMIFS(②销售核销!$L$4:$L$603,②销售核销!$B$4:$B$603,A154))</f>
        <v/>
      </c>
      <c r="O154" s="34" t="str">
        <f aca="false">IF(OR(M154="",N154=""),"",ROUND(M154-N154,2))</f>
        <v/>
      </c>
      <c r="P154" s="43"/>
      <c r="Q154" s="41"/>
      <c r="R154" s="41"/>
      <c r="S154" s="43"/>
      <c r="T154" s="46"/>
      <c r="U154" s="41"/>
      <c r="V154" s="47"/>
      <c r="W154" s="34" t="str">
        <f aca="false">IF(OR(T154="",V154=""),"",ROUND(T154*V154,2))</f>
        <v/>
      </c>
      <c r="X154" s="50"/>
      <c r="Y154" s="48"/>
      <c r="Z154" s="43"/>
    </row>
    <row r="155" customFormat="false" ht="21.75" hidden="false" customHeight="true" outlineLevel="0" collapsed="false">
      <c r="A155" s="48"/>
      <c r="B155" s="43"/>
      <c r="C155" s="40"/>
      <c r="D155" s="41"/>
      <c r="E155" s="41"/>
      <c r="F155" s="46"/>
      <c r="G155" s="46"/>
      <c r="H155" s="46"/>
      <c r="I155" s="46"/>
      <c r="J155" s="46"/>
      <c r="K155" s="46"/>
      <c r="L155" s="46"/>
      <c r="M155" s="34" t="str">
        <f aca="false">IF(F155="","",F155-N(G155)-N(H155)-N(I155)-N(J155)-N(K155)-N(L155))</f>
        <v/>
      </c>
      <c r="N155" s="34" t="str">
        <f aca="false">IF(A155="","",SUMIFS(②销售核销!$L$4:$L$603,②销售核销!$B$4:$B$603,A155))</f>
        <v/>
      </c>
      <c r="O155" s="34" t="str">
        <f aca="false">IF(OR(M155="",N155=""),"",ROUND(M155-N155,2))</f>
        <v/>
      </c>
      <c r="P155" s="43"/>
      <c r="Q155" s="41"/>
      <c r="R155" s="41"/>
      <c r="S155" s="43"/>
      <c r="T155" s="46"/>
      <c r="U155" s="41"/>
      <c r="V155" s="47"/>
      <c r="W155" s="34" t="str">
        <f aca="false">IF(OR(T155="",V155=""),"",ROUND(T155*V155,2))</f>
        <v/>
      </c>
      <c r="X155" s="50"/>
      <c r="Y155" s="48"/>
      <c r="Z155" s="43"/>
    </row>
    <row r="156" customFormat="false" ht="21.75" hidden="false" customHeight="true" outlineLevel="0" collapsed="false">
      <c r="A156" s="48"/>
      <c r="B156" s="43"/>
      <c r="C156" s="40"/>
      <c r="D156" s="41"/>
      <c r="E156" s="41"/>
      <c r="F156" s="46"/>
      <c r="G156" s="46"/>
      <c r="H156" s="46"/>
      <c r="I156" s="46"/>
      <c r="J156" s="46"/>
      <c r="K156" s="46"/>
      <c r="L156" s="46"/>
      <c r="M156" s="34" t="str">
        <f aca="false">IF(F156="","",F156-N(G156)-N(H156)-N(I156)-N(J156)-N(K156)-N(L156))</f>
        <v/>
      </c>
      <c r="N156" s="34" t="str">
        <f aca="false">IF(A156="","",SUMIFS(②销售核销!$L$4:$L$603,②销售核销!$B$4:$B$603,A156))</f>
        <v/>
      </c>
      <c r="O156" s="34" t="str">
        <f aca="false">IF(OR(M156="",N156=""),"",ROUND(M156-N156,2))</f>
        <v/>
      </c>
      <c r="P156" s="43"/>
      <c r="Q156" s="41"/>
      <c r="R156" s="41"/>
      <c r="S156" s="43"/>
      <c r="T156" s="46"/>
      <c r="U156" s="41"/>
      <c r="V156" s="47"/>
      <c r="W156" s="34" t="str">
        <f aca="false">IF(OR(T156="",V156=""),"",ROUND(T156*V156,2))</f>
        <v/>
      </c>
      <c r="X156" s="50"/>
      <c r="Y156" s="48"/>
      <c r="Z156" s="43"/>
    </row>
    <row r="157" customFormat="false" ht="21.75" hidden="false" customHeight="true" outlineLevel="0" collapsed="false">
      <c r="A157" s="48"/>
      <c r="B157" s="43"/>
      <c r="C157" s="40"/>
      <c r="D157" s="41"/>
      <c r="E157" s="41"/>
      <c r="F157" s="46"/>
      <c r="G157" s="46"/>
      <c r="H157" s="46"/>
      <c r="I157" s="46"/>
      <c r="J157" s="46"/>
      <c r="K157" s="46"/>
      <c r="L157" s="46"/>
      <c r="M157" s="34" t="str">
        <f aca="false">IF(F157="","",F157-N(G157)-N(H157)-N(I157)-N(J157)-N(K157)-N(L157))</f>
        <v/>
      </c>
      <c r="N157" s="34" t="str">
        <f aca="false">IF(A157="","",SUMIFS(②销售核销!$L$4:$L$603,②销售核销!$B$4:$B$603,A157))</f>
        <v/>
      </c>
      <c r="O157" s="34" t="str">
        <f aca="false">IF(OR(M157="",N157=""),"",ROUND(M157-N157,2))</f>
        <v/>
      </c>
      <c r="P157" s="43"/>
      <c r="Q157" s="41"/>
      <c r="R157" s="41"/>
      <c r="S157" s="43"/>
      <c r="T157" s="46"/>
      <c r="U157" s="41"/>
      <c r="V157" s="47"/>
      <c r="W157" s="34" t="str">
        <f aca="false">IF(OR(T157="",V157=""),"",ROUND(T157*V157,2))</f>
        <v/>
      </c>
      <c r="X157" s="50"/>
      <c r="Y157" s="48"/>
      <c r="Z157" s="43"/>
    </row>
    <row r="158" customFormat="false" ht="21.75" hidden="false" customHeight="true" outlineLevel="0" collapsed="false">
      <c r="A158" s="48"/>
      <c r="B158" s="43"/>
      <c r="C158" s="40"/>
      <c r="D158" s="41"/>
      <c r="E158" s="41"/>
      <c r="F158" s="46"/>
      <c r="G158" s="46"/>
      <c r="H158" s="46"/>
      <c r="I158" s="46"/>
      <c r="J158" s="46"/>
      <c r="K158" s="46"/>
      <c r="L158" s="46"/>
      <c r="M158" s="34" t="str">
        <f aca="false">IF(F158="","",F158-N(G158)-N(H158)-N(I158)-N(J158)-N(K158)-N(L158))</f>
        <v/>
      </c>
      <c r="N158" s="34" t="str">
        <f aca="false">IF(A158="","",SUMIFS(②销售核销!$L$4:$L$603,②销售核销!$B$4:$B$603,A158))</f>
        <v/>
      </c>
      <c r="O158" s="34" t="str">
        <f aca="false">IF(OR(M158="",N158=""),"",ROUND(M158-N158,2))</f>
        <v/>
      </c>
      <c r="P158" s="43"/>
      <c r="Q158" s="41"/>
      <c r="R158" s="41"/>
      <c r="S158" s="43"/>
      <c r="T158" s="46"/>
      <c r="U158" s="41"/>
      <c r="V158" s="47"/>
      <c r="W158" s="34" t="str">
        <f aca="false">IF(OR(T158="",V158=""),"",ROUND(T158*V158,2))</f>
        <v/>
      </c>
      <c r="X158" s="50"/>
      <c r="Y158" s="48"/>
      <c r="Z158" s="43"/>
    </row>
    <row r="159" customFormat="false" ht="21.75" hidden="false" customHeight="true" outlineLevel="0" collapsed="false">
      <c r="A159" s="48"/>
      <c r="B159" s="43"/>
      <c r="C159" s="40"/>
      <c r="D159" s="41"/>
      <c r="E159" s="41"/>
      <c r="F159" s="46"/>
      <c r="G159" s="46"/>
      <c r="H159" s="46"/>
      <c r="I159" s="46"/>
      <c r="J159" s="46"/>
      <c r="K159" s="46"/>
      <c r="L159" s="46"/>
      <c r="M159" s="34" t="str">
        <f aca="false">IF(F159="","",F159-N(G159)-N(H159)-N(I159)-N(J159)-N(K159)-N(L159))</f>
        <v/>
      </c>
      <c r="N159" s="34" t="str">
        <f aca="false">IF(A159="","",SUMIFS(②销售核销!$L$4:$L$603,②销售核销!$B$4:$B$603,A159))</f>
        <v/>
      </c>
      <c r="O159" s="34" t="str">
        <f aca="false">IF(OR(M159="",N159=""),"",ROUND(M159-N159,2))</f>
        <v/>
      </c>
      <c r="P159" s="43"/>
      <c r="Q159" s="41"/>
      <c r="R159" s="41"/>
      <c r="S159" s="43"/>
      <c r="T159" s="46"/>
      <c r="U159" s="41"/>
      <c r="V159" s="47"/>
      <c r="W159" s="34" t="str">
        <f aca="false">IF(OR(T159="",V159=""),"",ROUND(T159*V159,2))</f>
        <v/>
      </c>
      <c r="X159" s="50"/>
      <c r="Y159" s="48"/>
      <c r="Z159" s="43"/>
    </row>
    <row r="160" customFormat="false" ht="21.75" hidden="false" customHeight="true" outlineLevel="0" collapsed="false">
      <c r="A160" s="48"/>
      <c r="B160" s="43"/>
      <c r="C160" s="40"/>
      <c r="D160" s="41"/>
      <c r="E160" s="41"/>
      <c r="F160" s="46"/>
      <c r="G160" s="46"/>
      <c r="H160" s="46"/>
      <c r="I160" s="46"/>
      <c r="J160" s="46"/>
      <c r="K160" s="46"/>
      <c r="L160" s="46"/>
      <c r="M160" s="34" t="str">
        <f aca="false">IF(F160="","",F160-N(G160)-N(H160)-N(I160)-N(J160)-N(K160)-N(L160))</f>
        <v/>
      </c>
      <c r="N160" s="34" t="str">
        <f aca="false">IF(A160="","",SUMIFS(②销售核销!$L$4:$L$603,②销售核销!$B$4:$B$603,A160))</f>
        <v/>
      </c>
      <c r="O160" s="34" t="str">
        <f aca="false">IF(OR(M160="",N160=""),"",ROUND(M160-N160,2))</f>
        <v/>
      </c>
      <c r="P160" s="43"/>
      <c r="Q160" s="41"/>
      <c r="R160" s="41"/>
      <c r="S160" s="43"/>
      <c r="T160" s="46"/>
      <c r="U160" s="41"/>
      <c r="V160" s="47"/>
      <c r="W160" s="34" t="str">
        <f aca="false">IF(OR(T160="",V160=""),"",ROUND(T160*V160,2))</f>
        <v/>
      </c>
      <c r="X160" s="50"/>
      <c r="Y160" s="48"/>
      <c r="Z160" s="43"/>
    </row>
    <row r="161" customFormat="false" ht="21.75" hidden="false" customHeight="true" outlineLevel="0" collapsed="false">
      <c r="A161" s="48"/>
      <c r="B161" s="43"/>
      <c r="C161" s="40"/>
      <c r="D161" s="41"/>
      <c r="E161" s="41"/>
      <c r="F161" s="46"/>
      <c r="G161" s="46"/>
      <c r="H161" s="46"/>
      <c r="I161" s="46"/>
      <c r="J161" s="46"/>
      <c r="K161" s="46"/>
      <c r="L161" s="46"/>
      <c r="M161" s="34" t="str">
        <f aca="false">IF(F161="","",F161-N(G161)-N(H161)-N(I161)-N(J161)-N(K161)-N(L161))</f>
        <v/>
      </c>
      <c r="N161" s="34" t="str">
        <f aca="false">IF(A161="","",SUMIFS(②销售核销!$L$4:$L$603,②销售核销!$B$4:$B$603,A161))</f>
        <v/>
      </c>
      <c r="O161" s="34" t="str">
        <f aca="false">IF(OR(M161="",N161=""),"",ROUND(M161-N161,2))</f>
        <v/>
      </c>
      <c r="P161" s="43"/>
      <c r="Q161" s="41"/>
      <c r="R161" s="41"/>
      <c r="S161" s="43"/>
      <c r="T161" s="46"/>
      <c r="U161" s="41"/>
      <c r="V161" s="47"/>
      <c r="W161" s="34" t="str">
        <f aca="false">IF(OR(T161="",V161=""),"",ROUND(T161*V161,2))</f>
        <v/>
      </c>
      <c r="X161" s="50"/>
      <c r="Y161" s="48"/>
      <c r="Z161" s="43"/>
    </row>
    <row r="162" customFormat="false" ht="21.75" hidden="false" customHeight="true" outlineLevel="0" collapsed="false">
      <c r="A162" s="48"/>
      <c r="B162" s="43"/>
      <c r="C162" s="40"/>
      <c r="D162" s="41"/>
      <c r="E162" s="41"/>
      <c r="F162" s="46"/>
      <c r="G162" s="46"/>
      <c r="H162" s="46"/>
      <c r="I162" s="46"/>
      <c r="J162" s="46"/>
      <c r="K162" s="46"/>
      <c r="L162" s="46"/>
      <c r="M162" s="34" t="str">
        <f aca="false">IF(F162="","",F162-N(G162)-N(H162)-N(I162)-N(J162)-N(K162)-N(L162))</f>
        <v/>
      </c>
      <c r="N162" s="34" t="str">
        <f aca="false">IF(A162="","",SUMIFS(②销售核销!$L$4:$L$603,②销售核销!$B$4:$B$603,A162))</f>
        <v/>
      </c>
      <c r="O162" s="34" t="str">
        <f aca="false">IF(OR(M162="",N162=""),"",ROUND(M162-N162,2))</f>
        <v/>
      </c>
      <c r="P162" s="43"/>
      <c r="Q162" s="41"/>
      <c r="R162" s="41"/>
      <c r="S162" s="43"/>
      <c r="T162" s="46"/>
      <c r="U162" s="41"/>
      <c r="V162" s="47"/>
      <c r="W162" s="34" t="str">
        <f aca="false">IF(OR(T162="",V162=""),"",ROUND(T162*V162,2))</f>
        <v/>
      </c>
      <c r="X162" s="50"/>
      <c r="Y162" s="48"/>
      <c r="Z162" s="43"/>
    </row>
    <row r="163" customFormat="false" ht="21.75" hidden="false" customHeight="true" outlineLevel="0" collapsed="false">
      <c r="A163" s="48"/>
      <c r="B163" s="43"/>
      <c r="C163" s="40"/>
      <c r="D163" s="41"/>
      <c r="E163" s="41"/>
      <c r="F163" s="46"/>
      <c r="G163" s="46"/>
      <c r="H163" s="46"/>
      <c r="I163" s="46"/>
      <c r="J163" s="46"/>
      <c r="K163" s="46"/>
      <c r="L163" s="46"/>
      <c r="M163" s="34" t="str">
        <f aca="false">IF(F163="","",F163-N(G163)-N(H163)-N(I163)-N(J163)-N(K163)-N(L163))</f>
        <v/>
      </c>
      <c r="N163" s="34" t="str">
        <f aca="false">IF(A163="","",SUMIFS(②销售核销!$L$4:$L$603,②销售核销!$B$4:$B$603,A163))</f>
        <v/>
      </c>
      <c r="O163" s="34" t="str">
        <f aca="false">IF(OR(M163="",N163=""),"",ROUND(M163-N163,2))</f>
        <v/>
      </c>
      <c r="P163" s="43"/>
      <c r="Q163" s="41"/>
      <c r="R163" s="41"/>
      <c r="S163" s="43"/>
      <c r="T163" s="46"/>
      <c r="U163" s="41"/>
      <c r="V163" s="47"/>
      <c r="W163" s="34" t="str">
        <f aca="false">IF(OR(T163="",V163=""),"",ROUND(T163*V163,2))</f>
        <v/>
      </c>
      <c r="X163" s="50"/>
      <c r="Y163" s="48"/>
      <c r="Z163" s="43"/>
    </row>
    <row r="164" customFormat="false" ht="21.75" hidden="false" customHeight="true" outlineLevel="0" collapsed="false">
      <c r="A164" s="48"/>
      <c r="B164" s="43"/>
      <c r="C164" s="40"/>
      <c r="D164" s="41"/>
      <c r="E164" s="41"/>
      <c r="F164" s="46"/>
      <c r="G164" s="46"/>
      <c r="H164" s="46"/>
      <c r="I164" s="46"/>
      <c r="J164" s="46"/>
      <c r="K164" s="46"/>
      <c r="L164" s="46"/>
      <c r="M164" s="34" t="str">
        <f aca="false">IF(F164="","",F164-N(G164)-N(H164)-N(I164)-N(J164)-N(K164)-N(L164))</f>
        <v/>
      </c>
      <c r="N164" s="34" t="str">
        <f aca="false">IF(A164="","",SUMIFS(②销售核销!$L$4:$L$603,②销售核销!$B$4:$B$603,A164))</f>
        <v/>
      </c>
      <c r="O164" s="34" t="str">
        <f aca="false">IF(OR(M164="",N164=""),"",ROUND(M164-N164,2))</f>
        <v/>
      </c>
      <c r="P164" s="43"/>
      <c r="Q164" s="41"/>
      <c r="R164" s="41"/>
      <c r="S164" s="43"/>
      <c r="T164" s="46"/>
      <c r="U164" s="41"/>
      <c r="V164" s="47"/>
      <c r="W164" s="34" t="str">
        <f aca="false">IF(OR(T164="",V164=""),"",ROUND(T164*V164,2))</f>
        <v/>
      </c>
      <c r="X164" s="50"/>
      <c r="Y164" s="48"/>
      <c r="Z164" s="43"/>
    </row>
    <row r="165" customFormat="false" ht="21.75" hidden="false" customHeight="true" outlineLevel="0" collapsed="false">
      <c r="A165" s="48"/>
      <c r="B165" s="43"/>
      <c r="C165" s="40"/>
      <c r="D165" s="41"/>
      <c r="E165" s="41"/>
      <c r="F165" s="46"/>
      <c r="G165" s="46"/>
      <c r="H165" s="46"/>
      <c r="I165" s="46"/>
      <c r="J165" s="46"/>
      <c r="K165" s="46"/>
      <c r="L165" s="46"/>
      <c r="M165" s="34" t="str">
        <f aca="false">IF(F165="","",F165-N(G165)-N(H165)-N(I165)-N(J165)-N(K165)-N(L165))</f>
        <v/>
      </c>
      <c r="N165" s="34" t="str">
        <f aca="false">IF(A165="","",SUMIFS(②销售核销!$L$4:$L$603,②销售核销!$B$4:$B$603,A165))</f>
        <v/>
      </c>
      <c r="O165" s="34" t="str">
        <f aca="false">IF(OR(M165="",N165=""),"",ROUND(M165-N165,2))</f>
        <v/>
      </c>
      <c r="P165" s="43"/>
      <c r="Q165" s="41"/>
      <c r="R165" s="41"/>
      <c r="S165" s="43"/>
      <c r="T165" s="46"/>
      <c r="U165" s="41"/>
      <c r="V165" s="47"/>
      <c r="W165" s="34" t="str">
        <f aca="false">IF(OR(T165="",V165=""),"",ROUND(T165*V165,2))</f>
        <v/>
      </c>
      <c r="X165" s="50"/>
      <c r="Y165" s="48"/>
      <c r="Z165" s="43"/>
    </row>
    <row r="166" customFormat="false" ht="21.75" hidden="false" customHeight="true" outlineLevel="0" collapsed="false">
      <c r="A166" s="48"/>
      <c r="B166" s="43"/>
      <c r="C166" s="40"/>
      <c r="D166" s="41"/>
      <c r="E166" s="41"/>
      <c r="F166" s="46"/>
      <c r="G166" s="46"/>
      <c r="H166" s="46"/>
      <c r="I166" s="46"/>
      <c r="J166" s="46"/>
      <c r="K166" s="46"/>
      <c r="L166" s="46"/>
      <c r="M166" s="34" t="str">
        <f aca="false">IF(F166="","",F166-N(G166)-N(H166)-N(I166)-N(J166)-N(K166)-N(L166))</f>
        <v/>
      </c>
      <c r="N166" s="34" t="str">
        <f aca="false">IF(A166="","",SUMIFS(②销售核销!$L$4:$L$603,②销售核销!$B$4:$B$603,A166))</f>
        <v/>
      </c>
      <c r="O166" s="34" t="str">
        <f aca="false">IF(OR(M166="",N166=""),"",ROUND(M166-N166,2))</f>
        <v/>
      </c>
      <c r="P166" s="43"/>
      <c r="Q166" s="41"/>
      <c r="R166" s="41"/>
      <c r="S166" s="43"/>
      <c r="T166" s="46"/>
      <c r="U166" s="41"/>
      <c r="V166" s="47"/>
      <c r="W166" s="34" t="str">
        <f aca="false">IF(OR(T166="",V166=""),"",ROUND(T166*V166,2))</f>
        <v/>
      </c>
      <c r="X166" s="50"/>
      <c r="Y166" s="48"/>
      <c r="Z166" s="43"/>
    </row>
    <row r="167" customFormat="false" ht="21.75" hidden="false" customHeight="true" outlineLevel="0" collapsed="false">
      <c r="A167" s="48"/>
      <c r="B167" s="43"/>
      <c r="C167" s="40"/>
      <c r="D167" s="41"/>
      <c r="E167" s="41"/>
      <c r="F167" s="46"/>
      <c r="G167" s="46"/>
      <c r="H167" s="46"/>
      <c r="I167" s="46"/>
      <c r="J167" s="46"/>
      <c r="K167" s="46"/>
      <c r="L167" s="46"/>
      <c r="M167" s="34" t="str">
        <f aca="false">IF(F167="","",F167-N(G167)-N(H167)-N(I167)-N(J167)-N(K167)-N(L167))</f>
        <v/>
      </c>
      <c r="N167" s="34" t="str">
        <f aca="false">IF(A167="","",SUMIFS(②销售核销!$L$4:$L$603,②销售核销!$B$4:$B$603,A167))</f>
        <v/>
      </c>
      <c r="O167" s="34" t="str">
        <f aca="false">IF(OR(M167="",N167=""),"",ROUND(M167-N167,2))</f>
        <v/>
      </c>
      <c r="P167" s="43"/>
      <c r="Q167" s="41"/>
      <c r="R167" s="41"/>
      <c r="S167" s="43"/>
      <c r="T167" s="46"/>
      <c r="U167" s="41"/>
      <c r="V167" s="47"/>
      <c r="W167" s="34" t="str">
        <f aca="false">IF(OR(T167="",V167=""),"",ROUND(T167*V167,2))</f>
        <v/>
      </c>
      <c r="X167" s="50"/>
      <c r="Y167" s="48"/>
      <c r="Z167" s="43"/>
    </row>
    <row r="168" customFormat="false" ht="21.75" hidden="false" customHeight="true" outlineLevel="0" collapsed="false">
      <c r="A168" s="48"/>
      <c r="B168" s="43"/>
      <c r="C168" s="40"/>
      <c r="D168" s="41"/>
      <c r="E168" s="41"/>
      <c r="F168" s="46"/>
      <c r="G168" s="46"/>
      <c r="H168" s="46"/>
      <c r="I168" s="46"/>
      <c r="J168" s="46"/>
      <c r="K168" s="46"/>
      <c r="L168" s="46"/>
      <c r="M168" s="34" t="str">
        <f aca="false">IF(F168="","",F168-N(G168)-N(H168)-N(I168)-N(J168)-N(K168)-N(L168))</f>
        <v/>
      </c>
      <c r="N168" s="34" t="str">
        <f aca="false">IF(A168="","",SUMIFS(②销售核销!$L$4:$L$603,②销售核销!$B$4:$B$603,A168))</f>
        <v/>
      </c>
      <c r="O168" s="34" t="str">
        <f aca="false">IF(OR(M168="",N168=""),"",ROUND(M168-N168,2))</f>
        <v/>
      </c>
      <c r="P168" s="43"/>
      <c r="Q168" s="41"/>
      <c r="R168" s="41"/>
      <c r="S168" s="43"/>
      <c r="T168" s="46"/>
      <c r="U168" s="41"/>
      <c r="V168" s="47"/>
      <c r="W168" s="34" t="str">
        <f aca="false">IF(OR(T168="",V168=""),"",ROUND(T168*V168,2))</f>
        <v/>
      </c>
      <c r="X168" s="50"/>
      <c r="Y168" s="48"/>
      <c r="Z168" s="43"/>
    </row>
    <row r="169" customFormat="false" ht="21.75" hidden="false" customHeight="true" outlineLevel="0" collapsed="false">
      <c r="A169" s="48"/>
      <c r="B169" s="43"/>
      <c r="C169" s="40"/>
      <c r="D169" s="41"/>
      <c r="E169" s="41"/>
      <c r="F169" s="46"/>
      <c r="G169" s="46"/>
      <c r="H169" s="46"/>
      <c r="I169" s="46"/>
      <c r="J169" s="46"/>
      <c r="K169" s="46"/>
      <c r="L169" s="46"/>
      <c r="M169" s="34" t="str">
        <f aca="false">IF(F169="","",F169-N(G169)-N(H169)-N(I169)-N(J169)-N(K169)-N(L169))</f>
        <v/>
      </c>
      <c r="N169" s="34" t="str">
        <f aca="false">IF(A169="","",SUMIFS(②销售核销!$L$4:$L$603,②销售核销!$B$4:$B$603,A169))</f>
        <v/>
      </c>
      <c r="O169" s="34" t="str">
        <f aca="false">IF(OR(M169="",N169=""),"",ROUND(M169-N169,2))</f>
        <v/>
      </c>
      <c r="P169" s="43"/>
      <c r="Q169" s="41"/>
      <c r="R169" s="41"/>
      <c r="S169" s="43"/>
      <c r="T169" s="46"/>
      <c r="U169" s="41"/>
      <c r="V169" s="47"/>
      <c r="W169" s="34" t="str">
        <f aca="false">IF(OR(T169="",V169=""),"",ROUND(T169*V169,2))</f>
        <v/>
      </c>
      <c r="X169" s="50"/>
      <c r="Y169" s="48"/>
      <c r="Z169" s="43"/>
    </row>
    <row r="170" customFormat="false" ht="21.75" hidden="false" customHeight="true" outlineLevel="0" collapsed="false">
      <c r="A170" s="48"/>
      <c r="B170" s="43"/>
      <c r="C170" s="40"/>
      <c r="D170" s="41"/>
      <c r="E170" s="41"/>
      <c r="F170" s="46"/>
      <c r="G170" s="46"/>
      <c r="H170" s="46"/>
      <c r="I170" s="46"/>
      <c r="J170" s="46"/>
      <c r="K170" s="46"/>
      <c r="L170" s="46"/>
      <c r="M170" s="34" t="str">
        <f aca="false">IF(F170="","",F170-N(G170)-N(H170)-N(I170)-N(J170)-N(K170)-N(L170))</f>
        <v/>
      </c>
      <c r="N170" s="34" t="str">
        <f aca="false">IF(A170="","",SUMIFS(②销售核销!$L$4:$L$603,②销售核销!$B$4:$B$603,A170))</f>
        <v/>
      </c>
      <c r="O170" s="34" t="str">
        <f aca="false">IF(OR(M170="",N170=""),"",ROUND(M170-N170,2))</f>
        <v/>
      </c>
      <c r="P170" s="43"/>
      <c r="Q170" s="41"/>
      <c r="R170" s="41"/>
      <c r="S170" s="43"/>
      <c r="T170" s="46"/>
      <c r="U170" s="41"/>
      <c r="V170" s="47"/>
      <c r="W170" s="34" t="str">
        <f aca="false">IF(OR(T170="",V170=""),"",ROUND(T170*V170,2))</f>
        <v/>
      </c>
      <c r="X170" s="50"/>
      <c r="Y170" s="48"/>
      <c r="Z170" s="43"/>
    </row>
    <row r="171" customFormat="false" ht="21.75" hidden="false" customHeight="true" outlineLevel="0" collapsed="false">
      <c r="A171" s="48"/>
      <c r="B171" s="43"/>
      <c r="C171" s="40"/>
      <c r="D171" s="41"/>
      <c r="E171" s="41"/>
      <c r="F171" s="46"/>
      <c r="G171" s="46"/>
      <c r="H171" s="46"/>
      <c r="I171" s="46"/>
      <c r="J171" s="46"/>
      <c r="K171" s="46"/>
      <c r="L171" s="46"/>
      <c r="M171" s="34" t="str">
        <f aca="false">IF(F171="","",F171-N(G171)-N(H171)-N(I171)-N(J171)-N(K171)-N(L171))</f>
        <v/>
      </c>
      <c r="N171" s="34" t="str">
        <f aca="false">IF(A171="","",SUMIFS(②销售核销!$L$4:$L$603,②销售核销!$B$4:$B$603,A171))</f>
        <v/>
      </c>
      <c r="O171" s="34" t="str">
        <f aca="false">IF(OR(M171="",N171=""),"",ROUND(M171-N171,2))</f>
        <v/>
      </c>
      <c r="P171" s="43"/>
      <c r="Q171" s="41"/>
      <c r="R171" s="41"/>
      <c r="S171" s="43"/>
      <c r="T171" s="46"/>
      <c r="U171" s="41"/>
      <c r="V171" s="47"/>
      <c r="W171" s="34" t="str">
        <f aca="false">IF(OR(T171="",V171=""),"",ROUND(T171*V171,2))</f>
        <v/>
      </c>
      <c r="X171" s="50"/>
      <c r="Y171" s="48"/>
      <c r="Z171" s="43"/>
    </row>
    <row r="172" customFormat="false" ht="21.75" hidden="false" customHeight="true" outlineLevel="0" collapsed="false">
      <c r="A172" s="48"/>
      <c r="B172" s="43"/>
      <c r="C172" s="40"/>
      <c r="D172" s="41"/>
      <c r="E172" s="41"/>
      <c r="F172" s="46"/>
      <c r="G172" s="46"/>
      <c r="H172" s="46"/>
      <c r="I172" s="46"/>
      <c r="J172" s="46"/>
      <c r="K172" s="46"/>
      <c r="L172" s="46"/>
      <c r="M172" s="34" t="str">
        <f aca="false">IF(F172="","",F172-N(G172)-N(H172)-N(I172)-N(J172)-N(K172)-N(L172))</f>
        <v/>
      </c>
      <c r="N172" s="34" t="str">
        <f aca="false">IF(A172="","",SUMIFS(②销售核销!$L$4:$L$603,②销售核销!$B$4:$B$603,A172))</f>
        <v/>
      </c>
      <c r="O172" s="34" t="str">
        <f aca="false">IF(OR(M172="",N172=""),"",ROUND(M172-N172,2))</f>
        <v/>
      </c>
      <c r="P172" s="43"/>
      <c r="Q172" s="41"/>
      <c r="R172" s="41"/>
      <c r="S172" s="43"/>
      <c r="T172" s="46"/>
      <c r="U172" s="41"/>
      <c r="V172" s="47"/>
      <c r="W172" s="34" t="str">
        <f aca="false">IF(OR(T172="",V172=""),"",ROUND(T172*V172,2))</f>
        <v/>
      </c>
      <c r="X172" s="50"/>
      <c r="Y172" s="48"/>
      <c r="Z172" s="43"/>
    </row>
    <row r="173" customFormat="false" ht="21.75" hidden="false" customHeight="true" outlineLevel="0" collapsed="false">
      <c r="A173" s="48"/>
      <c r="B173" s="43"/>
      <c r="C173" s="40"/>
      <c r="D173" s="41"/>
      <c r="E173" s="41"/>
      <c r="F173" s="46"/>
      <c r="G173" s="46"/>
      <c r="H173" s="46"/>
      <c r="I173" s="46"/>
      <c r="J173" s="46"/>
      <c r="K173" s="46"/>
      <c r="L173" s="46"/>
      <c r="M173" s="34" t="str">
        <f aca="false">IF(F173="","",F173-N(G173)-N(H173)-N(I173)-N(J173)-N(K173)-N(L173))</f>
        <v/>
      </c>
      <c r="N173" s="34" t="str">
        <f aca="false">IF(A173="","",SUMIFS(②销售核销!$L$4:$L$603,②销售核销!$B$4:$B$603,A173))</f>
        <v/>
      </c>
      <c r="O173" s="34" t="str">
        <f aca="false">IF(OR(M173="",N173=""),"",ROUND(M173-N173,2))</f>
        <v/>
      </c>
      <c r="P173" s="43"/>
      <c r="Q173" s="41"/>
      <c r="R173" s="41"/>
      <c r="S173" s="43"/>
      <c r="T173" s="46"/>
      <c r="U173" s="41"/>
      <c r="V173" s="47"/>
      <c r="W173" s="34" t="str">
        <f aca="false">IF(OR(T173="",V173=""),"",ROUND(T173*V173,2))</f>
        <v/>
      </c>
      <c r="X173" s="50"/>
      <c r="Y173" s="48"/>
      <c r="Z173" s="43"/>
    </row>
    <row r="174" customFormat="false" ht="21.75" hidden="false" customHeight="true" outlineLevel="0" collapsed="false">
      <c r="A174" s="48"/>
      <c r="B174" s="43"/>
      <c r="C174" s="40"/>
      <c r="D174" s="41"/>
      <c r="E174" s="41"/>
      <c r="F174" s="46"/>
      <c r="G174" s="46"/>
      <c r="H174" s="46"/>
      <c r="I174" s="46"/>
      <c r="J174" s="46"/>
      <c r="K174" s="46"/>
      <c r="L174" s="46"/>
      <c r="M174" s="34" t="str">
        <f aca="false">IF(F174="","",F174-N(G174)-N(H174)-N(I174)-N(J174)-N(K174)-N(L174))</f>
        <v/>
      </c>
      <c r="N174" s="34" t="str">
        <f aca="false">IF(A174="","",SUMIFS(②销售核销!$L$4:$L$603,②销售核销!$B$4:$B$603,A174))</f>
        <v/>
      </c>
      <c r="O174" s="34" t="str">
        <f aca="false">IF(OR(M174="",N174=""),"",ROUND(M174-N174,2))</f>
        <v/>
      </c>
      <c r="P174" s="43"/>
      <c r="Q174" s="41"/>
      <c r="R174" s="41"/>
      <c r="S174" s="43"/>
      <c r="T174" s="46"/>
      <c r="U174" s="41"/>
      <c r="V174" s="47"/>
      <c r="W174" s="34" t="str">
        <f aca="false">IF(OR(T174="",V174=""),"",ROUND(T174*V174,2))</f>
        <v/>
      </c>
      <c r="X174" s="50"/>
      <c r="Y174" s="48"/>
      <c r="Z174" s="43"/>
    </row>
    <row r="175" customFormat="false" ht="21.75" hidden="false" customHeight="true" outlineLevel="0" collapsed="false">
      <c r="A175" s="48"/>
      <c r="B175" s="43"/>
      <c r="C175" s="40"/>
      <c r="D175" s="41"/>
      <c r="E175" s="41"/>
      <c r="F175" s="46"/>
      <c r="G175" s="46"/>
      <c r="H175" s="46"/>
      <c r="I175" s="46"/>
      <c r="J175" s="46"/>
      <c r="K175" s="46"/>
      <c r="L175" s="46"/>
      <c r="M175" s="34" t="str">
        <f aca="false">IF(F175="","",F175-N(G175)-N(H175)-N(I175)-N(J175)-N(K175)-N(L175))</f>
        <v/>
      </c>
      <c r="N175" s="34" t="str">
        <f aca="false">IF(A175="","",SUMIFS(②销售核销!$L$4:$L$603,②销售核销!$B$4:$B$603,A175))</f>
        <v/>
      </c>
      <c r="O175" s="34" t="str">
        <f aca="false">IF(OR(M175="",N175=""),"",ROUND(M175-N175,2))</f>
        <v/>
      </c>
      <c r="P175" s="43"/>
      <c r="Q175" s="41"/>
      <c r="R175" s="41"/>
      <c r="S175" s="43"/>
      <c r="T175" s="46"/>
      <c r="U175" s="41"/>
      <c r="V175" s="47"/>
      <c r="W175" s="34" t="str">
        <f aca="false">IF(OR(T175="",V175=""),"",ROUND(T175*V175,2))</f>
        <v/>
      </c>
      <c r="X175" s="50"/>
      <c r="Y175" s="48"/>
      <c r="Z175" s="43"/>
    </row>
    <row r="176" customFormat="false" ht="21.75" hidden="false" customHeight="true" outlineLevel="0" collapsed="false">
      <c r="A176" s="48"/>
      <c r="B176" s="43"/>
      <c r="C176" s="40"/>
      <c r="D176" s="41"/>
      <c r="E176" s="41"/>
      <c r="F176" s="46"/>
      <c r="G176" s="46"/>
      <c r="H176" s="46"/>
      <c r="I176" s="46"/>
      <c r="J176" s="46"/>
      <c r="K176" s="46"/>
      <c r="L176" s="46"/>
      <c r="M176" s="34" t="str">
        <f aca="false">IF(F176="","",F176-N(G176)-N(H176)-N(I176)-N(J176)-N(K176)-N(L176))</f>
        <v/>
      </c>
      <c r="N176" s="34" t="str">
        <f aca="false">IF(A176="","",SUMIFS(②销售核销!$L$4:$L$603,②销售核销!$B$4:$B$603,A176))</f>
        <v/>
      </c>
      <c r="O176" s="34" t="str">
        <f aca="false">IF(OR(M176="",N176=""),"",ROUND(M176-N176,2))</f>
        <v/>
      </c>
      <c r="P176" s="43"/>
      <c r="Q176" s="41"/>
      <c r="R176" s="41"/>
      <c r="S176" s="43"/>
      <c r="T176" s="46"/>
      <c r="U176" s="41"/>
      <c r="V176" s="47"/>
      <c r="W176" s="34" t="str">
        <f aca="false">IF(OR(T176="",V176=""),"",ROUND(T176*V176,2))</f>
        <v/>
      </c>
      <c r="X176" s="50"/>
      <c r="Y176" s="48"/>
      <c r="Z176" s="43"/>
    </row>
    <row r="177" customFormat="false" ht="21.75" hidden="false" customHeight="true" outlineLevel="0" collapsed="false">
      <c r="A177" s="48"/>
      <c r="B177" s="43"/>
      <c r="C177" s="40"/>
      <c r="D177" s="41"/>
      <c r="E177" s="41"/>
      <c r="F177" s="46"/>
      <c r="G177" s="46"/>
      <c r="H177" s="46"/>
      <c r="I177" s="46"/>
      <c r="J177" s="46"/>
      <c r="K177" s="46"/>
      <c r="L177" s="46"/>
      <c r="M177" s="34" t="str">
        <f aca="false">IF(F177="","",F177-N(G177)-N(H177)-N(I177)-N(J177)-N(K177)-N(L177))</f>
        <v/>
      </c>
      <c r="N177" s="34" t="str">
        <f aca="false">IF(A177="","",SUMIFS(②销售核销!$L$4:$L$603,②销售核销!$B$4:$B$603,A177))</f>
        <v/>
      </c>
      <c r="O177" s="34" t="str">
        <f aca="false">IF(OR(M177="",N177=""),"",ROUND(M177-N177,2))</f>
        <v/>
      </c>
      <c r="P177" s="43"/>
      <c r="Q177" s="41"/>
      <c r="R177" s="41"/>
      <c r="S177" s="43"/>
      <c r="T177" s="46"/>
      <c r="U177" s="41"/>
      <c r="V177" s="47"/>
      <c r="W177" s="34" t="str">
        <f aca="false">IF(OR(T177="",V177=""),"",ROUND(T177*V177,2))</f>
        <v/>
      </c>
      <c r="X177" s="50"/>
      <c r="Y177" s="48"/>
      <c r="Z177" s="43"/>
    </row>
    <row r="178" customFormat="false" ht="21.75" hidden="false" customHeight="true" outlineLevel="0" collapsed="false">
      <c r="A178" s="48"/>
      <c r="B178" s="43"/>
      <c r="C178" s="40"/>
      <c r="D178" s="41"/>
      <c r="E178" s="41"/>
      <c r="F178" s="46"/>
      <c r="G178" s="46"/>
      <c r="H178" s="46"/>
      <c r="I178" s="46"/>
      <c r="J178" s="46"/>
      <c r="K178" s="46"/>
      <c r="L178" s="46"/>
      <c r="M178" s="34" t="str">
        <f aca="false">IF(F178="","",F178-N(G178)-N(H178)-N(I178)-N(J178)-N(K178)-N(L178))</f>
        <v/>
      </c>
      <c r="N178" s="34" t="str">
        <f aca="false">IF(A178="","",SUMIFS(②销售核销!$L$4:$L$603,②销售核销!$B$4:$B$603,A178))</f>
        <v/>
      </c>
      <c r="O178" s="34" t="str">
        <f aca="false">IF(OR(M178="",N178=""),"",ROUND(M178-N178,2))</f>
        <v/>
      </c>
      <c r="P178" s="43"/>
      <c r="Q178" s="41"/>
      <c r="R178" s="41"/>
      <c r="S178" s="43"/>
      <c r="T178" s="46"/>
      <c r="U178" s="41"/>
      <c r="V178" s="47"/>
      <c r="W178" s="34" t="str">
        <f aca="false">IF(OR(T178="",V178=""),"",ROUND(T178*V178,2))</f>
        <v/>
      </c>
      <c r="X178" s="50"/>
      <c r="Y178" s="48"/>
      <c r="Z178" s="43"/>
    </row>
    <row r="179" customFormat="false" ht="21.75" hidden="false" customHeight="true" outlineLevel="0" collapsed="false">
      <c r="A179" s="48"/>
      <c r="B179" s="43"/>
      <c r="C179" s="40"/>
      <c r="D179" s="41"/>
      <c r="E179" s="41"/>
      <c r="F179" s="46"/>
      <c r="G179" s="46"/>
      <c r="H179" s="46"/>
      <c r="I179" s="46"/>
      <c r="J179" s="46"/>
      <c r="K179" s="46"/>
      <c r="L179" s="46"/>
      <c r="M179" s="34" t="str">
        <f aca="false">IF(F179="","",F179-N(G179)-N(H179)-N(I179)-N(J179)-N(K179)-N(L179))</f>
        <v/>
      </c>
      <c r="N179" s="34" t="str">
        <f aca="false">IF(A179="","",SUMIFS(②销售核销!$L$4:$L$603,②销售核销!$B$4:$B$603,A179))</f>
        <v/>
      </c>
      <c r="O179" s="34" t="str">
        <f aca="false">IF(OR(M179="",N179=""),"",ROUND(M179-N179,2))</f>
        <v/>
      </c>
      <c r="P179" s="43"/>
      <c r="Q179" s="41"/>
      <c r="R179" s="41"/>
      <c r="S179" s="43"/>
      <c r="T179" s="46"/>
      <c r="U179" s="41"/>
      <c r="V179" s="47"/>
      <c r="W179" s="34" t="str">
        <f aca="false">IF(OR(T179="",V179=""),"",ROUND(T179*V179,2))</f>
        <v/>
      </c>
      <c r="X179" s="50"/>
      <c r="Y179" s="48"/>
      <c r="Z179" s="43"/>
    </row>
    <row r="180" customFormat="false" ht="21.75" hidden="false" customHeight="true" outlineLevel="0" collapsed="false">
      <c r="A180" s="48"/>
      <c r="B180" s="43"/>
      <c r="C180" s="40"/>
      <c r="D180" s="41"/>
      <c r="E180" s="41"/>
      <c r="F180" s="46"/>
      <c r="G180" s="46"/>
      <c r="H180" s="46"/>
      <c r="I180" s="46"/>
      <c r="J180" s="46"/>
      <c r="K180" s="46"/>
      <c r="L180" s="46"/>
      <c r="M180" s="34" t="str">
        <f aca="false">IF(F180="","",F180-N(G180)-N(H180)-N(I180)-N(J180)-N(K180)-N(L180))</f>
        <v/>
      </c>
      <c r="N180" s="34" t="str">
        <f aca="false">IF(A180="","",SUMIFS(②销售核销!$L$4:$L$603,②销售核销!$B$4:$B$603,A180))</f>
        <v/>
      </c>
      <c r="O180" s="34" t="str">
        <f aca="false">IF(OR(M180="",N180=""),"",ROUND(M180-N180,2))</f>
        <v/>
      </c>
      <c r="P180" s="43"/>
      <c r="Q180" s="41"/>
      <c r="R180" s="41"/>
      <c r="S180" s="43"/>
      <c r="T180" s="46"/>
      <c r="U180" s="41"/>
      <c r="V180" s="47"/>
      <c r="W180" s="34" t="str">
        <f aca="false">IF(OR(T180="",V180=""),"",ROUND(T180*V180,2))</f>
        <v/>
      </c>
      <c r="X180" s="50"/>
      <c r="Y180" s="48"/>
      <c r="Z180" s="43"/>
    </row>
    <row r="181" customFormat="false" ht="21.75" hidden="false" customHeight="true" outlineLevel="0" collapsed="false">
      <c r="A181" s="48"/>
      <c r="B181" s="43"/>
      <c r="C181" s="40"/>
      <c r="D181" s="41"/>
      <c r="E181" s="41"/>
      <c r="F181" s="46"/>
      <c r="G181" s="46"/>
      <c r="H181" s="46"/>
      <c r="I181" s="46"/>
      <c r="J181" s="46"/>
      <c r="K181" s="46"/>
      <c r="L181" s="46"/>
      <c r="M181" s="34" t="str">
        <f aca="false">IF(F181="","",F181-N(G181)-N(H181)-N(I181)-N(J181)-N(K181)-N(L181))</f>
        <v/>
      </c>
      <c r="N181" s="34" t="str">
        <f aca="false">IF(A181="","",SUMIFS(②销售核销!$L$4:$L$603,②销售核销!$B$4:$B$603,A181))</f>
        <v/>
      </c>
      <c r="O181" s="34" t="str">
        <f aca="false">IF(OR(M181="",N181=""),"",ROUND(M181-N181,2))</f>
        <v/>
      </c>
      <c r="P181" s="43"/>
      <c r="Q181" s="41"/>
      <c r="R181" s="41"/>
      <c r="S181" s="43"/>
      <c r="T181" s="46"/>
      <c r="U181" s="41"/>
      <c r="V181" s="47"/>
      <c r="W181" s="34" t="str">
        <f aca="false">IF(OR(T181="",V181=""),"",ROUND(T181*V181,2))</f>
        <v/>
      </c>
      <c r="X181" s="50"/>
      <c r="Y181" s="48"/>
      <c r="Z181" s="43"/>
    </row>
    <row r="182" customFormat="false" ht="21.75" hidden="false" customHeight="true" outlineLevel="0" collapsed="false">
      <c r="A182" s="48"/>
      <c r="B182" s="43"/>
      <c r="C182" s="40"/>
      <c r="D182" s="41"/>
      <c r="E182" s="41"/>
      <c r="F182" s="46"/>
      <c r="G182" s="46"/>
      <c r="H182" s="46"/>
      <c r="I182" s="46"/>
      <c r="J182" s="46"/>
      <c r="K182" s="46"/>
      <c r="L182" s="46"/>
      <c r="M182" s="34" t="str">
        <f aca="false">IF(F182="","",F182-N(G182)-N(H182)-N(I182)-N(J182)-N(K182)-N(L182))</f>
        <v/>
      </c>
      <c r="N182" s="34" t="str">
        <f aca="false">IF(A182="","",SUMIFS(②销售核销!$L$4:$L$603,②销售核销!$B$4:$B$603,A182))</f>
        <v/>
      </c>
      <c r="O182" s="34" t="str">
        <f aca="false">IF(OR(M182="",N182=""),"",ROUND(M182-N182,2))</f>
        <v/>
      </c>
      <c r="P182" s="43"/>
      <c r="Q182" s="41"/>
      <c r="R182" s="41"/>
      <c r="S182" s="43"/>
      <c r="T182" s="46"/>
      <c r="U182" s="41"/>
      <c r="V182" s="47"/>
      <c r="W182" s="34" t="str">
        <f aca="false">IF(OR(T182="",V182=""),"",ROUND(T182*V182,2))</f>
        <v/>
      </c>
      <c r="X182" s="50"/>
      <c r="Y182" s="48"/>
      <c r="Z182" s="43"/>
    </row>
    <row r="183" customFormat="false" ht="21.75" hidden="false" customHeight="true" outlineLevel="0" collapsed="false">
      <c r="A183" s="48"/>
      <c r="B183" s="43"/>
      <c r="C183" s="40"/>
      <c r="D183" s="41"/>
      <c r="E183" s="41"/>
      <c r="F183" s="46"/>
      <c r="G183" s="46"/>
      <c r="H183" s="46"/>
      <c r="I183" s="46"/>
      <c r="J183" s="46"/>
      <c r="K183" s="46"/>
      <c r="L183" s="46"/>
      <c r="M183" s="34" t="str">
        <f aca="false">IF(F183="","",F183-N(G183)-N(H183)-N(I183)-N(J183)-N(K183)-N(L183))</f>
        <v/>
      </c>
      <c r="N183" s="34" t="str">
        <f aca="false">IF(A183="","",SUMIFS(②销售核销!$L$4:$L$603,②销售核销!$B$4:$B$603,A183))</f>
        <v/>
      </c>
      <c r="O183" s="34" t="str">
        <f aca="false">IF(OR(M183="",N183=""),"",ROUND(M183-N183,2))</f>
        <v/>
      </c>
      <c r="P183" s="43"/>
      <c r="Q183" s="41"/>
      <c r="R183" s="41"/>
      <c r="S183" s="43"/>
      <c r="T183" s="46"/>
      <c r="U183" s="41"/>
      <c r="V183" s="47"/>
      <c r="W183" s="34" t="str">
        <f aca="false">IF(OR(T183="",V183=""),"",ROUND(T183*V183,2))</f>
        <v/>
      </c>
      <c r="X183" s="50"/>
      <c r="Y183" s="48"/>
      <c r="Z183" s="43"/>
    </row>
    <row r="184" customFormat="false" ht="21.75" hidden="false" customHeight="true" outlineLevel="0" collapsed="false">
      <c r="A184" s="48"/>
      <c r="B184" s="43"/>
      <c r="C184" s="40"/>
      <c r="D184" s="41"/>
      <c r="E184" s="41"/>
      <c r="F184" s="46"/>
      <c r="G184" s="46"/>
      <c r="H184" s="46"/>
      <c r="I184" s="46"/>
      <c r="J184" s="46"/>
      <c r="K184" s="46"/>
      <c r="L184" s="46"/>
      <c r="M184" s="34" t="str">
        <f aca="false">IF(F184="","",F184-N(G184)-N(H184)-N(I184)-N(J184)-N(K184)-N(L184))</f>
        <v/>
      </c>
      <c r="N184" s="34" t="str">
        <f aca="false">IF(A184="","",SUMIFS(②销售核销!$L$4:$L$603,②销售核销!$B$4:$B$603,A184))</f>
        <v/>
      </c>
      <c r="O184" s="34" t="str">
        <f aca="false">IF(OR(M184="",N184=""),"",ROUND(M184-N184,2))</f>
        <v/>
      </c>
      <c r="P184" s="43"/>
      <c r="Q184" s="41"/>
      <c r="R184" s="41"/>
      <c r="S184" s="43"/>
      <c r="T184" s="46"/>
      <c r="U184" s="41"/>
      <c r="V184" s="47"/>
      <c r="W184" s="34" t="str">
        <f aca="false">IF(OR(T184="",V184=""),"",ROUND(T184*V184,2))</f>
        <v/>
      </c>
      <c r="X184" s="50"/>
      <c r="Y184" s="48"/>
      <c r="Z184" s="43"/>
    </row>
    <row r="185" customFormat="false" ht="21.75" hidden="false" customHeight="true" outlineLevel="0" collapsed="false">
      <c r="A185" s="48"/>
      <c r="B185" s="43"/>
      <c r="C185" s="40"/>
      <c r="D185" s="41"/>
      <c r="E185" s="41"/>
      <c r="F185" s="46"/>
      <c r="G185" s="46"/>
      <c r="H185" s="46"/>
      <c r="I185" s="46"/>
      <c r="J185" s="46"/>
      <c r="K185" s="46"/>
      <c r="L185" s="46"/>
      <c r="M185" s="34" t="str">
        <f aca="false">IF(F185="","",F185-N(G185)-N(H185)-N(I185)-N(J185)-N(K185)-N(L185))</f>
        <v/>
      </c>
      <c r="N185" s="34" t="str">
        <f aca="false">IF(A185="","",SUMIFS(②销售核销!$L$4:$L$603,②销售核销!$B$4:$B$603,A185))</f>
        <v/>
      </c>
      <c r="O185" s="34" t="str">
        <f aca="false">IF(OR(M185="",N185=""),"",ROUND(M185-N185,2))</f>
        <v/>
      </c>
      <c r="P185" s="43"/>
      <c r="Q185" s="41"/>
      <c r="R185" s="41"/>
      <c r="S185" s="43"/>
      <c r="T185" s="46"/>
      <c r="U185" s="41"/>
      <c r="V185" s="47"/>
      <c r="W185" s="34" t="str">
        <f aca="false">IF(OR(T185="",V185=""),"",ROUND(T185*V185,2))</f>
        <v/>
      </c>
      <c r="X185" s="50"/>
      <c r="Y185" s="48"/>
      <c r="Z185" s="43"/>
    </row>
    <row r="186" customFormat="false" ht="21.75" hidden="false" customHeight="true" outlineLevel="0" collapsed="false">
      <c r="A186" s="48"/>
      <c r="B186" s="43"/>
      <c r="C186" s="40"/>
      <c r="D186" s="41"/>
      <c r="E186" s="41"/>
      <c r="F186" s="46"/>
      <c r="G186" s="46"/>
      <c r="H186" s="46"/>
      <c r="I186" s="46"/>
      <c r="J186" s="46"/>
      <c r="K186" s="46"/>
      <c r="L186" s="46"/>
      <c r="M186" s="34" t="str">
        <f aca="false">IF(F186="","",F186-N(G186)-N(H186)-N(I186)-N(J186)-N(K186)-N(L186))</f>
        <v/>
      </c>
      <c r="N186" s="34" t="str">
        <f aca="false">IF(A186="","",SUMIFS(②销售核销!$L$4:$L$603,②销售核销!$B$4:$B$603,A186))</f>
        <v/>
      </c>
      <c r="O186" s="34" t="str">
        <f aca="false">IF(OR(M186="",N186=""),"",ROUND(M186-N186,2))</f>
        <v/>
      </c>
      <c r="P186" s="43"/>
      <c r="Q186" s="41"/>
      <c r="R186" s="41"/>
      <c r="S186" s="43"/>
      <c r="T186" s="46"/>
      <c r="U186" s="41"/>
      <c r="V186" s="47"/>
      <c r="W186" s="34" t="str">
        <f aca="false">IF(OR(T186="",V186=""),"",ROUND(T186*V186,2))</f>
        <v/>
      </c>
      <c r="X186" s="50"/>
      <c r="Y186" s="48"/>
      <c r="Z186" s="43"/>
    </row>
    <row r="187" customFormat="false" ht="21.75" hidden="false" customHeight="true" outlineLevel="0" collapsed="false">
      <c r="A187" s="48"/>
      <c r="B187" s="43"/>
      <c r="C187" s="40"/>
      <c r="D187" s="41"/>
      <c r="E187" s="41"/>
      <c r="F187" s="46"/>
      <c r="G187" s="46"/>
      <c r="H187" s="46"/>
      <c r="I187" s="46"/>
      <c r="J187" s="46"/>
      <c r="K187" s="46"/>
      <c r="L187" s="46"/>
      <c r="M187" s="34" t="str">
        <f aca="false">IF(F187="","",F187-N(G187)-N(H187)-N(I187)-N(J187)-N(K187)-N(L187))</f>
        <v/>
      </c>
      <c r="N187" s="34" t="str">
        <f aca="false">IF(A187="","",SUMIFS(②销售核销!$L$4:$L$603,②销售核销!$B$4:$B$603,A187))</f>
        <v/>
      </c>
      <c r="O187" s="34" t="str">
        <f aca="false">IF(OR(M187="",N187=""),"",ROUND(M187-N187,2))</f>
        <v/>
      </c>
      <c r="P187" s="43"/>
      <c r="Q187" s="41"/>
      <c r="R187" s="41"/>
      <c r="S187" s="43"/>
      <c r="T187" s="46"/>
      <c r="U187" s="41"/>
      <c r="V187" s="47"/>
      <c r="W187" s="34" t="str">
        <f aca="false">IF(OR(T187="",V187=""),"",ROUND(T187*V187,2))</f>
        <v/>
      </c>
      <c r="X187" s="50"/>
      <c r="Y187" s="48"/>
      <c r="Z187" s="43"/>
    </row>
    <row r="188" customFormat="false" ht="21.75" hidden="false" customHeight="true" outlineLevel="0" collapsed="false">
      <c r="A188" s="48"/>
      <c r="B188" s="43"/>
      <c r="C188" s="40"/>
      <c r="D188" s="41"/>
      <c r="E188" s="41"/>
      <c r="F188" s="46"/>
      <c r="G188" s="46"/>
      <c r="H188" s="46"/>
      <c r="I188" s="46"/>
      <c r="J188" s="46"/>
      <c r="K188" s="46"/>
      <c r="L188" s="46"/>
      <c r="M188" s="34" t="str">
        <f aca="false">IF(F188="","",F188-N(G188)-N(H188)-N(I188)-N(J188)-N(K188)-N(L188))</f>
        <v/>
      </c>
      <c r="N188" s="34" t="str">
        <f aca="false">IF(A188="","",SUMIFS(②销售核销!$L$4:$L$603,②销售核销!$B$4:$B$603,A188))</f>
        <v/>
      </c>
      <c r="O188" s="34" t="str">
        <f aca="false">IF(OR(M188="",N188=""),"",ROUND(M188-N188,2))</f>
        <v/>
      </c>
      <c r="P188" s="43"/>
      <c r="Q188" s="41"/>
      <c r="R188" s="41"/>
      <c r="S188" s="43"/>
      <c r="T188" s="46"/>
      <c r="U188" s="41"/>
      <c r="V188" s="47"/>
      <c r="W188" s="34" t="str">
        <f aca="false">IF(OR(T188="",V188=""),"",ROUND(T188*V188,2))</f>
        <v/>
      </c>
      <c r="X188" s="50"/>
      <c r="Y188" s="48"/>
      <c r="Z188" s="43"/>
    </row>
    <row r="189" customFormat="false" ht="21.75" hidden="false" customHeight="true" outlineLevel="0" collapsed="false">
      <c r="A189" s="48"/>
      <c r="B189" s="43"/>
      <c r="C189" s="40"/>
      <c r="D189" s="41"/>
      <c r="E189" s="41"/>
      <c r="F189" s="46"/>
      <c r="G189" s="46"/>
      <c r="H189" s="46"/>
      <c r="I189" s="46"/>
      <c r="J189" s="46"/>
      <c r="K189" s="46"/>
      <c r="L189" s="46"/>
      <c r="M189" s="34" t="str">
        <f aca="false">IF(F189="","",F189-N(G189)-N(H189)-N(I189)-N(J189)-N(K189)-N(L189))</f>
        <v/>
      </c>
      <c r="N189" s="34" t="str">
        <f aca="false">IF(A189="","",SUMIFS(②销售核销!$L$4:$L$603,②销售核销!$B$4:$B$603,A189))</f>
        <v/>
      </c>
      <c r="O189" s="34" t="str">
        <f aca="false">IF(OR(M189="",N189=""),"",ROUND(M189-N189,2))</f>
        <v/>
      </c>
      <c r="P189" s="43"/>
      <c r="Q189" s="41"/>
      <c r="R189" s="41"/>
      <c r="S189" s="43"/>
      <c r="T189" s="46"/>
      <c r="U189" s="41"/>
      <c r="V189" s="47"/>
      <c r="W189" s="34" t="str">
        <f aca="false">IF(OR(T189="",V189=""),"",ROUND(T189*V189,2))</f>
        <v/>
      </c>
      <c r="X189" s="50"/>
      <c r="Y189" s="48"/>
      <c r="Z189" s="43"/>
    </row>
    <row r="190" customFormat="false" ht="21.75" hidden="false" customHeight="true" outlineLevel="0" collapsed="false">
      <c r="A190" s="48"/>
      <c r="B190" s="43"/>
      <c r="C190" s="40"/>
      <c r="D190" s="41"/>
      <c r="E190" s="41"/>
      <c r="F190" s="46"/>
      <c r="G190" s="46"/>
      <c r="H190" s="46"/>
      <c r="I190" s="46"/>
      <c r="J190" s="46"/>
      <c r="K190" s="46"/>
      <c r="L190" s="46"/>
      <c r="M190" s="34" t="str">
        <f aca="false">IF(F190="","",F190-N(G190)-N(H190)-N(I190)-N(J190)-N(K190)-N(L190))</f>
        <v/>
      </c>
      <c r="N190" s="34" t="str">
        <f aca="false">IF(A190="","",SUMIFS(②销售核销!$L$4:$L$603,②销售核销!$B$4:$B$603,A190))</f>
        <v/>
      </c>
      <c r="O190" s="34" t="str">
        <f aca="false">IF(OR(M190="",N190=""),"",ROUND(M190-N190,2))</f>
        <v/>
      </c>
      <c r="P190" s="43"/>
      <c r="Q190" s="41"/>
      <c r="R190" s="41"/>
      <c r="S190" s="43"/>
      <c r="T190" s="46"/>
      <c r="U190" s="41"/>
      <c r="V190" s="47"/>
      <c r="W190" s="34" t="str">
        <f aca="false">IF(OR(T190="",V190=""),"",ROUND(T190*V190,2))</f>
        <v/>
      </c>
      <c r="X190" s="50"/>
      <c r="Y190" s="48"/>
      <c r="Z190" s="43"/>
    </row>
    <row r="191" customFormat="false" ht="21.75" hidden="false" customHeight="true" outlineLevel="0" collapsed="false">
      <c r="A191" s="48"/>
      <c r="B191" s="43"/>
      <c r="C191" s="40"/>
      <c r="D191" s="41"/>
      <c r="E191" s="41"/>
      <c r="F191" s="46"/>
      <c r="G191" s="46"/>
      <c r="H191" s="46"/>
      <c r="I191" s="46"/>
      <c r="J191" s="46"/>
      <c r="K191" s="46"/>
      <c r="L191" s="46"/>
      <c r="M191" s="34" t="str">
        <f aca="false">IF(F191="","",F191-N(G191)-N(H191)-N(I191)-N(J191)-N(K191)-N(L191))</f>
        <v/>
      </c>
      <c r="N191" s="34" t="str">
        <f aca="false">IF(A191="","",SUMIFS(②销售核销!$L$4:$L$603,②销售核销!$B$4:$B$603,A191))</f>
        <v/>
      </c>
      <c r="O191" s="34" t="str">
        <f aca="false">IF(OR(M191="",N191=""),"",ROUND(M191-N191,2))</f>
        <v/>
      </c>
      <c r="P191" s="43"/>
      <c r="Q191" s="41"/>
      <c r="R191" s="41"/>
      <c r="S191" s="43"/>
      <c r="T191" s="46"/>
      <c r="U191" s="41"/>
      <c r="V191" s="47"/>
      <c r="W191" s="34" t="str">
        <f aca="false">IF(OR(T191="",V191=""),"",ROUND(T191*V191,2))</f>
        <v/>
      </c>
      <c r="X191" s="50"/>
      <c r="Y191" s="48"/>
      <c r="Z191" s="43"/>
    </row>
    <row r="192" customFormat="false" ht="21.75" hidden="false" customHeight="true" outlineLevel="0" collapsed="false">
      <c r="A192" s="48"/>
      <c r="B192" s="43"/>
      <c r="C192" s="40"/>
      <c r="D192" s="41"/>
      <c r="E192" s="41"/>
      <c r="F192" s="46"/>
      <c r="G192" s="46"/>
      <c r="H192" s="46"/>
      <c r="I192" s="46"/>
      <c r="J192" s="46"/>
      <c r="K192" s="46"/>
      <c r="L192" s="46"/>
      <c r="M192" s="34" t="str">
        <f aca="false">IF(F192="","",F192-N(G192)-N(H192)-N(I192)-N(J192)-N(K192)-N(L192))</f>
        <v/>
      </c>
      <c r="N192" s="34" t="str">
        <f aca="false">IF(A192="","",SUMIFS(②销售核销!$L$4:$L$603,②销售核销!$B$4:$B$603,A192))</f>
        <v/>
      </c>
      <c r="O192" s="34" t="str">
        <f aca="false">IF(OR(M192="",N192=""),"",ROUND(M192-N192,2))</f>
        <v/>
      </c>
      <c r="P192" s="43"/>
      <c r="Q192" s="41"/>
      <c r="R192" s="41"/>
      <c r="S192" s="43"/>
      <c r="T192" s="46"/>
      <c r="U192" s="41"/>
      <c r="V192" s="47"/>
      <c r="W192" s="34" t="str">
        <f aca="false">IF(OR(T192="",V192=""),"",ROUND(T192*V192,2))</f>
        <v/>
      </c>
      <c r="X192" s="50"/>
      <c r="Y192" s="48"/>
      <c r="Z192" s="43"/>
    </row>
    <row r="193" customFormat="false" ht="21.75" hidden="false" customHeight="true" outlineLevel="0" collapsed="false">
      <c r="A193" s="48"/>
      <c r="B193" s="43"/>
      <c r="C193" s="40"/>
      <c r="D193" s="41"/>
      <c r="E193" s="41"/>
      <c r="F193" s="46"/>
      <c r="G193" s="46"/>
      <c r="H193" s="46"/>
      <c r="I193" s="46"/>
      <c r="J193" s="46"/>
      <c r="K193" s="46"/>
      <c r="L193" s="46"/>
      <c r="M193" s="34" t="str">
        <f aca="false">IF(F193="","",F193-N(G193)-N(H193)-N(I193)-N(J193)-N(K193)-N(L193))</f>
        <v/>
      </c>
      <c r="N193" s="34" t="str">
        <f aca="false">IF(A193="","",SUMIFS(②销售核销!$L$4:$L$603,②销售核销!$B$4:$B$603,A193))</f>
        <v/>
      </c>
      <c r="O193" s="34" t="str">
        <f aca="false">IF(OR(M193="",N193=""),"",ROUND(M193-N193,2))</f>
        <v/>
      </c>
      <c r="P193" s="43"/>
      <c r="Q193" s="41"/>
      <c r="R193" s="41"/>
      <c r="S193" s="43"/>
      <c r="T193" s="46"/>
      <c r="U193" s="41"/>
      <c r="V193" s="47"/>
      <c r="W193" s="34" t="str">
        <f aca="false">IF(OR(T193="",V193=""),"",ROUND(T193*V193,2))</f>
        <v/>
      </c>
      <c r="X193" s="50"/>
      <c r="Y193" s="48"/>
      <c r="Z193" s="43"/>
    </row>
    <row r="194" customFormat="false" ht="21.75" hidden="false" customHeight="true" outlineLevel="0" collapsed="false">
      <c r="A194" s="48"/>
      <c r="B194" s="43"/>
      <c r="C194" s="40"/>
      <c r="D194" s="41"/>
      <c r="E194" s="41"/>
      <c r="F194" s="46"/>
      <c r="G194" s="46"/>
      <c r="H194" s="46"/>
      <c r="I194" s="46"/>
      <c r="J194" s="46"/>
      <c r="K194" s="46"/>
      <c r="L194" s="46"/>
      <c r="M194" s="34" t="str">
        <f aca="false">IF(F194="","",F194-N(G194)-N(H194)-N(I194)-N(J194)-N(K194)-N(L194))</f>
        <v/>
      </c>
      <c r="N194" s="34" t="str">
        <f aca="false">IF(A194="","",SUMIFS(②销售核销!$L$4:$L$603,②销售核销!$B$4:$B$603,A194))</f>
        <v/>
      </c>
      <c r="O194" s="34" t="str">
        <f aca="false">IF(OR(M194="",N194=""),"",ROUND(M194-N194,2))</f>
        <v/>
      </c>
      <c r="P194" s="43"/>
      <c r="Q194" s="41"/>
      <c r="R194" s="41"/>
      <c r="S194" s="43"/>
      <c r="T194" s="46"/>
      <c r="U194" s="41"/>
      <c r="V194" s="47"/>
      <c r="W194" s="34" t="str">
        <f aca="false">IF(OR(T194="",V194=""),"",ROUND(T194*V194,2))</f>
        <v/>
      </c>
      <c r="X194" s="50"/>
      <c r="Y194" s="48"/>
      <c r="Z194" s="43"/>
    </row>
    <row r="195" customFormat="false" ht="21.75" hidden="false" customHeight="true" outlineLevel="0" collapsed="false">
      <c r="A195" s="48"/>
      <c r="B195" s="43"/>
      <c r="C195" s="40"/>
      <c r="D195" s="41"/>
      <c r="E195" s="41"/>
      <c r="F195" s="46"/>
      <c r="G195" s="46"/>
      <c r="H195" s="46"/>
      <c r="I195" s="46"/>
      <c r="J195" s="46"/>
      <c r="K195" s="46"/>
      <c r="L195" s="46"/>
      <c r="M195" s="34" t="str">
        <f aca="false">IF(F195="","",F195-N(G195)-N(H195)-N(I195)-N(J195)-N(K195)-N(L195))</f>
        <v/>
      </c>
      <c r="N195" s="34" t="str">
        <f aca="false">IF(A195="","",SUMIFS(②销售核销!$L$4:$L$603,②销售核销!$B$4:$B$603,A195))</f>
        <v/>
      </c>
      <c r="O195" s="34" t="str">
        <f aca="false">IF(OR(M195="",N195=""),"",ROUND(M195-N195,2))</f>
        <v/>
      </c>
      <c r="P195" s="43"/>
      <c r="Q195" s="41"/>
      <c r="R195" s="41"/>
      <c r="S195" s="43"/>
      <c r="T195" s="46"/>
      <c r="U195" s="41"/>
      <c r="V195" s="47"/>
      <c r="W195" s="34" t="str">
        <f aca="false">IF(OR(T195="",V195=""),"",ROUND(T195*V195,2))</f>
        <v/>
      </c>
      <c r="X195" s="50"/>
      <c r="Y195" s="48"/>
      <c r="Z195" s="43"/>
    </row>
    <row r="196" customFormat="false" ht="21.75" hidden="false" customHeight="true" outlineLevel="0" collapsed="false">
      <c r="A196" s="48"/>
      <c r="B196" s="43"/>
      <c r="C196" s="40"/>
      <c r="D196" s="41"/>
      <c r="E196" s="41"/>
      <c r="F196" s="46"/>
      <c r="G196" s="46"/>
      <c r="H196" s="46"/>
      <c r="I196" s="46"/>
      <c r="J196" s="46"/>
      <c r="K196" s="46"/>
      <c r="L196" s="46"/>
      <c r="M196" s="34" t="str">
        <f aca="false">IF(F196="","",F196-N(G196)-N(H196)-N(I196)-N(J196)-N(K196)-N(L196))</f>
        <v/>
      </c>
      <c r="N196" s="34" t="str">
        <f aca="false">IF(A196="","",SUMIFS(②销售核销!$L$4:$L$603,②销售核销!$B$4:$B$603,A196))</f>
        <v/>
      </c>
      <c r="O196" s="34" t="str">
        <f aca="false">IF(OR(M196="",N196=""),"",ROUND(M196-N196,2))</f>
        <v/>
      </c>
      <c r="P196" s="43"/>
      <c r="Q196" s="41"/>
      <c r="R196" s="41"/>
      <c r="S196" s="43"/>
      <c r="T196" s="46"/>
      <c r="U196" s="41"/>
      <c r="V196" s="47"/>
      <c r="W196" s="34" t="str">
        <f aca="false">IF(OR(T196="",V196=""),"",ROUND(T196*V196,2))</f>
        <v/>
      </c>
      <c r="X196" s="50"/>
      <c r="Y196" s="48"/>
      <c r="Z196" s="43"/>
    </row>
    <row r="197" customFormat="false" ht="21.75" hidden="false" customHeight="true" outlineLevel="0" collapsed="false">
      <c r="A197" s="48"/>
      <c r="B197" s="43"/>
      <c r="C197" s="40"/>
      <c r="D197" s="41"/>
      <c r="E197" s="41"/>
      <c r="F197" s="46"/>
      <c r="G197" s="46"/>
      <c r="H197" s="46"/>
      <c r="I197" s="46"/>
      <c r="J197" s="46"/>
      <c r="K197" s="46"/>
      <c r="L197" s="46"/>
      <c r="M197" s="34" t="str">
        <f aca="false">IF(F197="","",F197-N(G197)-N(H197)-N(I197)-N(J197)-N(K197)-N(L197))</f>
        <v/>
      </c>
      <c r="N197" s="34" t="str">
        <f aca="false">IF(A197="","",SUMIFS(②销售核销!$L$4:$L$603,②销售核销!$B$4:$B$603,A197))</f>
        <v/>
      </c>
      <c r="O197" s="34" t="str">
        <f aca="false">IF(OR(M197="",N197=""),"",ROUND(M197-N197,2))</f>
        <v/>
      </c>
      <c r="P197" s="43"/>
      <c r="Q197" s="41"/>
      <c r="R197" s="41"/>
      <c r="S197" s="43"/>
      <c r="T197" s="46"/>
      <c r="U197" s="41"/>
      <c r="V197" s="47"/>
      <c r="W197" s="34" t="str">
        <f aca="false">IF(OR(T197="",V197=""),"",ROUND(T197*V197,2))</f>
        <v/>
      </c>
      <c r="X197" s="50"/>
      <c r="Y197" s="48"/>
      <c r="Z197" s="43"/>
    </row>
    <row r="198" customFormat="false" ht="21.75" hidden="false" customHeight="true" outlineLevel="0" collapsed="false">
      <c r="A198" s="48"/>
      <c r="B198" s="43"/>
      <c r="C198" s="40"/>
      <c r="D198" s="41"/>
      <c r="E198" s="41"/>
      <c r="F198" s="46"/>
      <c r="G198" s="46"/>
      <c r="H198" s="46"/>
      <c r="I198" s="46"/>
      <c r="J198" s="46"/>
      <c r="K198" s="46"/>
      <c r="L198" s="46"/>
      <c r="M198" s="34" t="str">
        <f aca="false">IF(F198="","",F198-N(G198)-N(H198)-N(I198)-N(J198)-N(K198)-N(L198))</f>
        <v/>
      </c>
      <c r="N198" s="34" t="str">
        <f aca="false">IF(A198="","",SUMIFS(②销售核销!$L$4:$L$603,②销售核销!$B$4:$B$603,A198))</f>
        <v/>
      </c>
      <c r="O198" s="34" t="str">
        <f aca="false">IF(OR(M198="",N198=""),"",ROUND(M198-N198,2))</f>
        <v/>
      </c>
      <c r="P198" s="43"/>
      <c r="Q198" s="41"/>
      <c r="R198" s="41"/>
      <c r="S198" s="43"/>
      <c r="T198" s="46"/>
      <c r="U198" s="41"/>
      <c r="V198" s="47"/>
      <c r="W198" s="34" t="str">
        <f aca="false">IF(OR(T198="",V198=""),"",ROUND(T198*V198,2))</f>
        <v/>
      </c>
      <c r="X198" s="50"/>
      <c r="Y198" s="48"/>
      <c r="Z198" s="43"/>
    </row>
    <row r="199" customFormat="false" ht="21.75" hidden="false" customHeight="true" outlineLevel="0" collapsed="false">
      <c r="A199" s="48"/>
      <c r="B199" s="43"/>
      <c r="C199" s="40"/>
      <c r="D199" s="41"/>
      <c r="E199" s="41"/>
      <c r="F199" s="46"/>
      <c r="G199" s="46"/>
      <c r="H199" s="46"/>
      <c r="I199" s="46"/>
      <c r="J199" s="46"/>
      <c r="K199" s="46"/>
      <c r="L199" s="46"/>
      <c r="M199" s="34" t="str">
        <f aca="false">IF(F199="","",F199-N(G199)-N(H199)-N(I199)-N(J199)-N(K199)-N(L199))</f>
        <v/>
      </c>
      <c r="N199" s="34" t="str">
        <f aca="false">IF(A199="","",SUMIFS(②销售核销!$L$4:$L$603,②销售核销!$B$4:$B$603,A199))</f>
        <v/>
      </c>
      <c r="O199" s="34" t="str">
        <f aca="false">IF(OR(M199="",N199=""),"",ROUND(M199-N199,2))</f>
        <v/>
      </c>
      <c r="P199" s="43"/>
      <c r="Q199" s="41"/>
      <c r="R199" s="41"/>
      <c r="S199" s="43"/>
      <c r="T199" s="46"/>
      <c r="U199" s="41"/>
      <c r="V199" s="47"/>
      <c r="W199" s="34" t="str">
        <f aca="false">IF(OR(T199="",V199=""),"",ROUND(T199*V199,2))</f>
        <v/>
      </c>
      <c r="X199" s="50"/>
      <c r="Y199" s="48"/>
      <c r="Z199" s="43"/>
    </row>
    <row r="200" customFormat="false" ht="21.75" hidden="false" customHeight="true" outlineLevel="0" collapsed="false">
      <c r="A200" s="48"/>
      <c r="B200" s="43"/>
      <c r="C200" s="40"/>
      <c r="D200" s="41"/>
      <c r="E200" s="41"/>
      <c r="F200" s="46"/>
      <c r="G200" s="46"/>
      <c r="H200" s="46"/>
      <c r="I200" s="46"/>
      <c r="J200" s="46"/>
      <c r="K200" s="46"/>
      <c r="L200" s="46"/>
      <c r="M200" s="34" t="str">
        <f aca="false">IF(F200="","",F200-N(G200)-N(H200)-N(I200)-N(J200)-N(K200)-N(L200))</f>
        <v/>
      </c>
      <c r="N200" s="34" t="str">
        <f aca="false">IF(A200="","",SUMIFS(②销售核销!$L$4:$L$603,②销售核销!$B$4:$B$603,A200))</f>
        <v/>
      </c>
      <c r="O200" s="34" t="str">
        <f aca="false">IF(OR(M200="",N200=""),"",ROUND(M200-N200,2))</f>
        <v/>
      </c>
      <c r="P200" s="43"/>
      <c r="Q200" s="41"/>
      <c r="R200" s="41"/>
      <c r="S200" s="43"/>
      <c r="T200" s="46"/>
      <c r="U200" s="41"/>
      <c r="V200" s="47"/>
      <c r="W200" s="34" t="str">
        <f aca="false">IF(OR(T200="",V200=""),"",ROUND(T200*V200,2))</f>
        <v/>
      </c>
      <c r="X200" s="50"/>
      <c r="Y200" s="48"/>
      <c r="Z200" s="43"/>
    </row>
    <row r="201" customFormat="false" ht="21.75" hidden="false" customHeight="true" outlineLevel="0" collapsed="false">
      <c r="A201" s="48"/>
      <c r="B201" s="43"/>
      <c r="C201" s="40"/>
      <c r="D201" s="41"/>
      <c r="E201" s="41"/>
      <c r="F201" s="46"/>
      <c r="G201" s="46"/>
      <c r="H201" s="46"/>
      <c r="I201" s="46"/>
      <c r="J201" s="46"/>
      <c r="K201" s="46"/>
      <c r="L201" s="46"/>
      <c r="M201" s="34" t="str">
        <f aca="false">IF(F201="","",F201-N(G201)-N(H201)-N(I201)-N(J201)-N(K201)-N(L201))</f>
        <v/>
      </c>
      <c r="N201" s="34" t="str">
        <f aca="false">IF(A201="","",SUMIFS(②销售核销!$L$4:$L$603,②销售核销!$B$4:$B$603,A201))</f>
        <v/>
      </c>
      <c r="O201" s="34" t="str">
        <f aca="false">IF(OR(M201="",N201=""),"",ROUND(M201-N201,2))</f>
        <v/>
      </c>
      <c r="P201" s="43"/>
      <c r="Q201" s="41"/>
      <c r="R201" s="41"/>
      <c r="S201" s="43"/>
      <c r="T201" s="46"/>
      <c r="U201" s="41"/>
      <c r="V201" s="47"/>
      <c r="W201" s="34" t="str">
        <f aca="false">IF(OR(T201="",V201=""),"",ROUND(T201*V201,2))</f>
        <v/>
      </c>
      <c r="X201" s="50"/>
      <c r="Y201" s="48"/>
      <c r="Z201" s="43"/>
    </row>
    <row r="202" customFormat="false" ht="21.75" hidden="false" customHeight="true" outlineLevel="0" collapsed="false">
      <c r="A202" s="48"/>
      <c r="B202" s="43"/>
      <c r="C202" s="40"/>
      <c r="D202" s="41"/>
      <c r="E202" s="41"/>
      <c r="F202" s="46"/>
      <c r="G202" s="46"/>
      <c r="H202" s="46"/>
      <c r="I202" s="46"/>
      <c r="J202" s="46"/>
      <c r="K202" s="46"/>
      <c r="L202" s="46"/>
      <c r="M202" s="34" t="str">
        <f aca="false">IF(F202="","",F202-N(G202)-N(H202)-N(I202)-N(J202)-N(K202)-N(L202))</f>
        <v/>
      </c>
      <c r="N202" s="34" t="str">
        <f aca="false">IF(A202="","",SUMIFS(②销售核销!$L$4:$L$603,②销售核销!$B$4:$B$603,A202))</f>
        <v/>
      </c>
      <c r="O202" s="34" t="str">
        <f aca="false">IF(OR(M202="",N202=""),"",ROUND(M202-N202,2))</f>
        <v/>
      </c>
      <c r="P202" s="43"/>
      <c r="Q202" s="41"/>
      <c r="R202" s="41"/>
      <c r="S202" s="43"/>
      <c r="T202" s="46"/>
      <c r="U202" s="41"/>
      <c r="V202" s="47"/>
      <c r="W202" s="34" t="str">
        <f aca="false">IF(OR(T202="",V202=""),"",ROUND(T202*V202,2))</f>
        <v/>
      </c>
      <c r="X202" s="50"/>
      <c r="Y202" s="48"/>
      <c r="Z202" s="43"/>
    </row>
    <row r="203" customFormat="false" ht="21.75" hidden="false" customHeight="true" outlineLevel="0" collapsed="false">
      <c r="A203" s="48"/>
      <c r="B203" s="43"/>
      <c r="C203" s="40"/>
      <c r="D203" s="41"/>
      <c r="E203" s="41"/>
      <c r="F203" s="46"/>
      <c r="G203" s="46"/>
      <c r="H203" s="46"/>
      <c r="I203" s="46"/>
      <c r="J203" s="46"/>
      <c r="K203" s="46"/>
      <c r="L203" s="46"/>
      <c r="M203" s="34" t="str">
        <f aca="false">IF(F203="","",F203-N(G203)-N(H203)-N(I203)-N(J203)-N(K203)-N(L203))</f>
        <v/>
      </c>
      <c r="N203" s="34" t="str">
        <f aca="false">IF(A203="","",SUMIFS(②销售核销!$L$4:$L$603,②销售核销!$B$4:$B$603,A203))</f>
        <v/>
      </c>
      <c r="O203" s="34" t="str">
        <f aca="false">IF(OR(M203="",N203=""),"",ROUND(M203-N203,2))</f>
        <v/>
      </c>
      <c r="P203" s="43"/>
      <c r="Q203" s="41"/>
      <c r="R203" s="41"/>
      <c r="S203" s="43"/>
      <c r="T203" s="46"/>
      <c r="U203" s="41"/>
      <c r="V203" s="47"/>
      <c r="W203" s="34" t="str">
        <f aca="false">IF(OR(T203="",V203=""),"",ROUND(T203*V203,2))</f>
        <v/>
      </c>
      <c r="X203" s="50"/>
      <c r="Y203" s="48"/>
      <c r="Z203" s="43"/>
    </row>
  </sheetData>
  <mergeCells count="1">
    <mergeCell ref="A2:Z2"/>
  </mergeCells>
  <conditionalFormatting sqref="O4:O203">
    <cfRule type="expression" priority="2" aboveAverage="0" equalAverage="0" bottom="0" percent="0" rank="0" text="" dxfId="0">
      <formula>AND(ISNUMBER(O4),O4&lt;&gt;0)</formula>
    </cfRule>
  </conditionalFormatting>
  <conditionalFormatting sqref="X4:X203">
    <cfRule type="expression" priority="3" aboveAverage="0" equalAverage="0" bottom="0" percent="0" rank="0" text="" dxfId="0">
      <formula>X4="否"</formula>
    </cfRule>
  </conditionalFormatting>
  <dataValidations count="4">
    <dataValidation allowBlank="true" errorStyle="stop" operator="between" showDropDown="false" showErrorMessage="false" showInputMessage="false" sqref="B4:B203" type="list">
      <formula1>参数表!$K$13:$K$40</formula1>
      <formula2>0</formula2>
    </dataValidation>
    <dataValidation allowBlank="true" errorStyle="stop" operator="between" showDropDown="false" showErrorMessage="false" showInputMessage="false" sqref="C4:C203" type="list">
      <formula1>参数表!$L$13:$L$40</formula1>
      <formula2>0</formula2>
    </dataValidation>
    <dataValidation allowBlank="true" errorStyle="stop" operator="between" showDropDown="false" showErrorMessage="false" showInputMessage="false" sqref="P4:P203" type="list">
      <formula1>参数表!$R$13:$R$40</formula1>
      <formula2>0</formula2>
    </dataValidation>
    <dataValidation allowBlank="true" errorStyle="stop" operator="between" showDropDown="false" showErrorMessage="false" showInputMessage="false" sqref="X4:X203" type="list">
      <formula1>参数表!$S$13:$S$40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6C8"/>
    <pageSetUpPr fitToPage="true"/>
  </sheetPr>
  <dimension ref="A1:U3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10" min="9" style="0" width="12"/>
    <col collapsed="false" customWidth="true" hidden="false" outlineLevel="0" max="11" min="11" style="0" width="9"/>
    <col collapsed="false" customWidth="true" hidden="false" outlineLevel="0" max="14" min="12" style="0" width="13"/>
    <col collapsed="false" customWidth="true" hidden="false" outlineLevel="0" max="15" min="15" style="0" width="11"/>
    <col collapsed="false" customWidth="true" hidden="false" outlineLevel="0" max="16" min="16" style="0" width="30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20"/>
    <col collapsed="false" customWidth="true" hidden="false" outlineLevel="0" max="21" min="20" style="0" width="12"/>
  </cols>
  <sheetData>
    <row r="1" customFormat="false" ht="36" hidden="false" customHeight="true" outlineLevel="0" collapsed="false">
      <c r="A1" s="23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33.75" hidden="false" customHeight="true" outlineLevel="0" collapsed="false">
      <c r="A2" s="22" t="s">
        <v>234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customFormat="false" ht="61.5" hidden="false" customHeight="true" outlineLevel="0" collapsed="false">
      <c r="A3" s="37" t="s">
        <v>124</v>
      </c>
      <c r="B3" s="28" t="s">
        <v>235</v>
      </c>
      <c r="C3" s="27" t="s">
        <v>236</v>
      </c>
      <c r="D3" s="37" t="s">
        <v>237</v>
      </c>
      <c r="E3" s="37" t="s">
        <v>238</v>
      </c>
      <c r="F3" s="37" t="s">
        <v>239</v>
      </c>
      <c r="G3" s="37" t="s">
        <v>240</v>
      </c>
      <c r="H3" s="37" t="s">
        <v>241</v>
      </c>
      <c r="I3" s="37" t="s">
        <v>242</v>
      </c>
      <c r="J3" s="27" t="s">
        <v>243</v>
      </c>
      <c r="K3" s="27" t="s">
        <v>244</v>
      </c>
      <c r="L3" s="27" t="s">
        <v>245</v>
      </c>
      <c r="M3" s="27" t="s">
        <v>246</v>
      </c>
      <c r="N3" s="37" t="s">
        <v>247</v>
      </c>
      <c r="O3" s="27" t="s">
        <v>248</v>
      </c>
      <c r="P3" s="27" t="s">
        <v>249</v>
      </c>
      <c r="Q3" s="37" t="s">
        <v>250</v>
      </c>
      <c r="R3" s="37" t="s">
        <v>251</v>
      </c>
      <c r="S3" s="27" t="s">
        <v>252</v>
      </c>
      <c r="T3" s="27" t="s">
        <v>253</v>
      </c>
      <c r="U3" s="37" t="s">
        <v>168</v>
      </c>
    </row>
    <row r="4" customFormat="false" ht="21.75" hidden="false" customHeight="true" outlineLevel="0" collapsed="false">
      <c r="A4" s="44" t="s">
        <v>200</v>
      </c>
      <c r="B4" s="36" t="str">
        <f aca="false">IF(A4="","",IFERROR(INDEX(①出口报关!$I$4:$I$303,MATCH(A4,①出口报关!$A$4:$A$303,0)),"编号不存在"))</f>
        <v>DEMO-A01</v>
      </c>
      <c r="C4" s="30" t="n">
        <f aca="false">IF(A4="","",IFERROR(IF(INDEX(①出口报关!$D$4:$D$303,MATCH(A4,①出口报关!$A$4:$A$303,0))=0,"",INDEX(①出口报关!$D$4:$D$303,MATCH(A4,①出口报关!$A$4:$A$303,0))),"编号不存在"))</f>
        <v>46091</v>
      </c>
      <c r="D4" s="43" t="s">
        <v>254</v>
      </c>
      <c r="E4" s="45" t="n">
        <v>1000</v>
      </c>
      <c r="F4" s="41" t="n">
        <v>46101</v>
      </c>
      <c r="G4" s="48" t="s">
        <v>255</v>
      </c>
      <c r="H4" s="46" t="n">
        <v>4680</v>
      </c>
      <c r="I4" s="41" t="n">
        <v>46108</v>
      </c>
      <c r="J4" s="30" t="n">
        <f aca="false">IF(AND(D4="未售-海外仓预退（HWC-YT）",ISNUMBER(I4)),DATE(YEAR(I4)+1,4,30),"")</f>
        <v>46507</v>
      </c>
      <c r="K4" s="51" t="n">
        <f aca="true">IF(J4="","",IF(Q4&lt;&gt;"","",J4-TODAY()))</f>
        <v>190</v>
      </c>
      <c r="L4" s="31" t="n">
        <f aca="false">IF(OR(A4="",D4&lt;&gt;"未售-海外仓预退（HWC-YT）"),"",MIN(N(E4),MAX(0,SUMIFS(②销售核销!$I$4:$I$603,②销售核销!$E$4:$E$603,A4)-SUMIFS($E$4:$E$303,$A$4:$A$303,A4,$D$4:$D$303,"已售-按现行规定申报"))))</f>
        <v>685</v>
      </c>
      <c r="M4" s="34" t="n">
        <f aca="false">IF(OR(L4="",N(E4)=0,H4=""),"",ROUND(H4/E4*L4,2))</f>
        <v>3205.8</v>
      </c>
      <c r="N4" s="46"/>
      <c r="O4" s="34" t="str">
        <f aca="false">IF(OR(N4="",H4=""),"",ROUND(N4-H4,2))</f>
        <v/>
      </c>
      <c r="P4" s="36" t="str">
        <f aca="false">IF(OR(A4="",D4&lt;&gt;"未售-海外仓预退（HWC-YT）"),"",IF(L4=0,"仍未销售：需要调整申报，全额缴回预退税",IF(L4&lt;N(E4),"部分已售：需要调整申报，全额冲减后按已售部分重报",IF(N4="","全部已售：填入实际应退税额后判断",IF(O4=0,"全部已售、无差异：无需调整申报","全部已售、有差异：需要调整申报")))))</f>
        <v>部分已售：需要调整申报，全额冲减后按已售部分重报</v>
      </c>
      <c r="Q4" s="41"/>
      <c r="R4" s="44"/>
      <c r="S4" s="36" t="str">
        <f aca="false">IF(A4="","",IF(D4="","请选择申报方式",IF(D4&lt;&gt;"未售-海外仓预退（HWC-YT）","不涉及核算",IF(Q4&lt;&gt;"","已核算",IF(J4="","待税务办结",IF(K4&lt;0,"已逾期：税务将追回预退税",IF(K4&lt;=60,"临近截止（60天内）","待核算")))))))</f>
        <v>待核算</v>
      </c>
      <c r="T4" s="30" t="n">
        <f aca="false">IF(ISNUMBER(C4),DATE(YEAR(C4)+1,4,30),"")</f>
        <v>46507</v>
      </c>
      <c r="U4" s="43" t="s">
        <v>180</v>
      </c>
    </row>
    <row r="5" customFormat="false" ht="21.75" hidden="false" customHeight="true" outlineLevel="0" collapsed="false">
      <c r="A5" s="44" t="s">
        <v>201</v>
      </c>
      <c r="B5" s="36" t="str">
        <f aca="false">IF(A5="","",IFERROR(INDEX(①出口报关!$I$4:$I$303,MATCH(A5,①出口报关!$A$4:$A$303,0)),"编号不存在"))</f>
        <v>DEMO-B02</v>
      </c>
      <c r="C5" s="30" t="n">
        <f aca="false">IF(A5="","",IFERROR(IF(INDEX(①出口报关!$D$4:$D$303,MATCH(A5,①出口报关!$A$4:$A$303,0))=0,"",INDEX(①出口报关!$D$4:$D$303,MATCH(A5,①出口报关!$A$4:$A$303,0))),"编号不存在"))</f>
        <v>46091</v>
      </c>
      <c r="D5" s="43" t="s">
        <v>254</v>
      </c>
      <c r="E5" s="45" t="n">
        <v>500</v>
      </c>
      <c r="F5" s="41" t="n">
        <v>46101</v>
      </c>
      <c r="G5" s="48" t="s">
        <v>255</v>
      </c>
      <c r="H5" s="46" t="n">
        <v>2860</v>
      </c>
      <c r="I5" s="41" t="n">
        <v>46108</v>
      </c>
      <c r="J5" s="30" t="n">
        <f aca="false">IF(AND(D5="未售-海外仓预退（HWC-YT）",ISNUMBER(I5)),DATE(YEAR(I5)+1,4,30),"")</f>
        <v>46507</v>
      </c>
      <c r="K5" s="51" t="n">
        <f aca="true">IF(J5="","",IF(Q5&lt;&gt;"","",J5-TODAY()))</f>
        <v>190</v>
      </c>
      <c r="L5" s="31" t="n">
        <f aca="false">IF(OR(A5="",D5&lt;&gt;"未售-海外仓预退（HWC-YT）"),"",MIN(N(E5),MAX(0,SUMIFS(②销售核销!$I$4:$I$603,②销售核销!$E$4:$E$603,A5)-SUMIFS($E$4:$E$303,$A$4:$A$303,A5,$D$4:$D$303,"已售-按现行规定申报"))))</f>
        <v>200</v>
      </c>
      <c r="M5" s="34" t="n">
        <f aca="false">IF(OR(L5="",N(E5)=0,H5=""),"",ROUND(H5/E5*L5,2))</f>
        <v>1144</v>
      </c>
      <c r="N5" s="46"/>
      <c r="O5" s="34" t="str">
        <f aca="false">IF(OR(N5="",H5=""),"",ROUND(N5-H5,2))</f>
        <v/>
      </c>
      <c r="P5" s="36" t="str">
        <f aca="false">IF(OR(A5="",D5&lt;&gt;"未售-海外仓预退（HWC-YT）"),"",IF(L5=0,"仍未销售：需要调整申报，全额缴回预退税",IF(L5&lt;N(E5),"部分已售：需要调整申报，全额冲减后按已售部分重报",IF(N5="","全部已售：填入实际应退税额后判断",IF(O5=0,"全部已售、无差异：无需调整申报","全部已售、有差异：需要调整申报")))))</f>
        <v>部分已售：需要调整申报，全额冲减后按已售部分重报</v>
      </c>
      <c r="Q5" s="41"/>
      <c r="R5" s="44"/>
      <c r="S5" s="36" t="str">
        <f aca="false">IF(A5="","",IF(D5="","请选择申报方式",IF(D5&lt;&gt;"未售-海外仓预退（HWC-YT）","不涉及核算",IF(Q5&lt;&gt;"","已核算",IF(J5="","待税务办结",IF(K5&lt;0,"已逾期：税务将追回预退税",IF(K5&lt;=60,"临近截止（60天内）","待核算")))))))</f>
        <v>待核算</v>
      </c>
      <c r="T5" s="30" t="n">
        <f aca="false">IF(ISNUMBER(C5),DATE(YEAR(C5)+1,4,30),"")</f>
        <v>46507</v>
      </c>
      <c r="U5" s="43" t="s">
        <v>180</v>
      </c>
    </row>
    <row r="6" customFormat="false" ht="21.75" hidden="false" customHeight="true" outlineLevel="0" collapsed="false">
      <c r="A6" s="44"/>
      <c r="B6" s="36" t="str">
        <f aca="false">IF(A6="","",IFERROR(INDEX(①出口报关!$I$4:$I$303,MATCH(A6,①出口报关!$A$4:$A$303,0)),"编号不存在"))</f>
        <v/>
      </c>
      <c r="C6" s="30" t="str">
        <f aca="false">IF(A6="","",IFERROR(IF(INDEX(①出口报关!$D$4:$D$303,MATCH(A6,①出口报关!$A$4:$A$303,0))=0,"",INDEX(①出口报关!$D$4:$D$303,MATCH(A6,①出口报关!$A$4:$A$303,0))),"编号不存在"))</f>
        <v/>
      </c>
      <c r="D6" s="43"/>
      <c r="E6" s="45"/>
      <c r="F6" s="41"/>
      <c r="G6" s="48"/>
      <c r="H6" s="46"/>
      <c r="I6" s="41"/>
      <c r="J6" s="30" t="str">
        <f aca="false">IF(AND(D6="未售-海外仓预退（HWC-YT）",ISNUMBER(I6)),DATE(YEAR(I6)+1,4,30),"")</f>
        <v/>
      </c>
      <c r="K6" s="51" t="str">
        <f aca="true">IF(J6="","",IF(Q6&lt;&gt;"","",J6-TODAY()))</f>
        <v/>
      </c>
      <c r="L6" s="31" t="str">
        <f aca="false">IF(OR(A6="",D6&lt;&gt;"未售-海外仓预退（HWC-YT）"),"",MIN(N(E6),MAX(0,SUMIFS(②销售核销!$I$4:$I$603,②销售核销!$E$4:$E$603,A6)-SUMIFS($E$4:$E$303,$A$4:$A$303,A6,$D$4:$D$303,"已售-按现行规定申报"))))</f>
        <v/>
      </c>
      <c r="M6" s="34" t="str">
        <f aca="false">IF(OR(L6="",N(E6)=0,H6=""),"",ROUND(H6/E6*L6,2))</f>
        <v/>
      </c>
      <c r="N6" s="46"/>
      <c r="O6" s="34" t="str">
        <f aca="false">IF(OR(N6="",H6=""),"",ROUND(N6-H6,2))</f>
        <v/>
      </c>
      <c r="P6" s="36" t="str">
        <f aca="false">IF(OR(A6="",D6&lt;&gt;"未售-海外仓预退（HWC-YT）"),"",IF(L6=0,"仍未销售：需要调整申报，全额缴回预退税",IF(L6&lt;N(E6),"部分已售：需要调整申报，全额冲减后按已售部分重报",IF(N6="","全部已售：填入实际应退税额后判断",IF(O6=0,"全部已售、无差异：无需调整申报","全部已售、有差异：需要调整申报")))))</f>
        <v/>
      </c>
      <c r="Q6" s="41"/>
      <c r="R6" s="44"/>
      <c r="S6" s="36" t="str">
        <f aca="false">IF(A6="","",IF(D6="","请选择申报方式",IF(D6&lt;&gt;"未售-海外仓预退（HWC-YT）","不涉及核算",IF(Q6&lt;&gt;"","已核算",IF(J6="","待税务办结",IF(K6&lt;0,"已逾期：税务将追回预退税",IF(K6&lt;=60,"临近截止（60天内）","待核算")))))))</f>
        <v/>
      </c>
      <c r="T6" s="30" t="str">
        <f aca="false">IF(ISNUMBER(C6),DATE(YEAR(C6)+1,4,30),"")</f>
        <v/>
      </c>
      <c r="U6" s="43"/>
    </row>
    <row r="7" customFormat="false" ht="21.75" hidden="false" customHeight="true" outlineLevel="0" collapsed="false">
      <c r="A7" s="44"/>
      <c r="B7" s="36" t="str">
        <f aca="false">IF(A7="","",IFERROR(INDEX(①出口报关!$I$4:$I$303,MATCH(A7,①出口报关!$A$4:$A$303,0)),"编号不存在"))</f>
        <v/>
      </c>
      <c r="C7" s="30" t="str">
        <f aca="false">IF(A7="","",IFERROR(IF(INDEX(①出口报关!$D$4:$D$303,MATCH(A7,①出口报关!$A$4:$A$303,0))=0,"",INDEX(①出口报关!$D$4:$D$303,MATCH(A7,①出口报关!$A$4:$A$303,0))),"编号不存在"))</f>
        <v/>
      </c>
      <c r="D7" s="43"/>
      <c r="E7" s="45"/>
      <c r="F7" s="41"/>
      <c r="G7" s="48"/>
      <c r="H7" s="46"/>
      <c r="I7" s="41"/>
      <c r="J7" s="30" t="str">
        <f aca="false">IF(AND(D7="未售-海外仓预退（HWC-YT）",ISNUMBER(I7)),DATE(YEAR(I7)+1,4,30),"")</f>
        <v/>
      </c>
      <c r="K7" s="51" t="str">
        <f aca="true">IF(J7="","",IF(Q7&lt;&gt;"","",J7-TODAY()))</f>
        <v/>
      </c>
      <c r="L7" s="31" t="str">
        <f aca="false">IF(OR(A7="",D7&lt;&gt;"未售-海外仓预退（HWC-YT）"),"",MIN(N(E7),MAX(0,SUMIFS(②销售核销!$I$4:$I$603,②销售核销!$E$4:$E$603,A7)-SUMIFS($E$4:$E$303,$A$4:$A$303,A7,$D$4:$D$303,"已售-按现行规定申报"))))</f>
        <v/>
      </c>
      <c r="M7" s="34" t="str">
        <f aca="false">IF(OR(L7="",N(E7)=0,H7=""),"",ROUND(H7/E7*L7,2))</f>
        <v/>
      </c>
      <c r="N7" s="46"/>
      <c r="O7" s="34" t="str">
        <f aca="false">IF(OR(N7="",H7=""),"",ROUND(N7-H7,2))</f>
        <v/>
      </c>
      <c r="P7" s="36" t="str">
        <f aca="false">IF(OR(A7="",D7&lt;&gt;"未售-海外仓预退（HWC-YT）"),"",IF(L7=0,"仍未销售：需要调整申报，全额缴回预退税",IF(L7&lt;N(E7),"部分已售：需要调整申报，全额冲减后按已售部分重报",IF(N7="","全部已售：填入实际应退税额后判断",IF(O7=0,"全部已售、无差异：无需调整申报","全部已售、有差异：需要调整申报")))))</f>
        <v/>
      </c>
      <c r="Q7" s="41"/>
      <c r="R7" s="44"/>
      <c r="S7" s="36" t="str">
        <f aca="false">IF(A7="","",IF(D7="","请选择申报方式",IF(D7&lt;&gt;"未售-海外仓预退（HWC-YT）","不涉及核算",IF(Q7&lt;&gt;"","已核算",IF(J7="","待税务办结",IF(K7&lt;0,"已逾期：税务将追回预退税",IF(K7&lt;=60,"临近截止（60天内）","待核算")))))))</f>
        <v/>
      </c>
      <c r="T7" s="30" t="str">
        <f aca="false">IF(ISNUMBER(C7),DATE(YEAR(C7)+1,4,30),"")</f>
        <v/>
      </c>
      <c r="U7" s="43"/>
    </row>
    <row r="8" customFormat="false" ht="21.75" hidden="false" customHeight="true" outlineLevel="0" collapsed="false">
      <c r="A8" s="44"/>
      <c r="B8" s="36" t="str">
        <f aca="false">IF(A8="","",IFERROR(INDEX(①出口报关!$I$4:$I$303,MATCH(A8,①出口报关!$A$4:$A$303,0)),"编号不存在"))</f>
        <v/>
      </c>
      <c r="C8" s="30" t="str">
        <f aca="false">IF(A8="","",IFERROR(IF(INDEX(①出口报关!$D$4:$D$303,MATCH(A8,①出口报关!$A$4:$A$303,0))=0,"",INDEX(①出口报关!$D$4:$D$303,MATCH(A8,①出口报关!$A$4:$A$303,0))),"编号不存在"))</f>
        <v/>
      </c>
      <c r="D8" s="43"/>
      <c r="E8" s="45"/>
      <c r="F8" s="41"/>
      <c r="G8" s="48"/>
      <c r="H8" s="46"/>
      <c r="I8" s="41"/>
      <c r="J8" s="30" t="str">
        <f aca="false">IF(AND(D8="未售-海外仓预退（HWC-YT）",ISNUMBER(I8)),DATE(YEAR(I8)+1,4,30),"")</f>
        <v/>
      </c>
      <c r="K8" s="51" t="str">
        <f aca="true">IF(J8="","",IF(Q8&lt;&gt;"","",J8-TODAY()))</f>
        <v/>
      </c>
      <c r="L8" s="31" t="str">
        <f aca="false">IF(OR(A8="",D8&lt;&gt;"未售-海外仓预退（HWC-YT）"),"",MIN(N(E8),MAX(0,SUMIFS(②销售核销!$I$4:$I$603,②销售核销!$E$4:$E$603,A8)-SUMIFS($E$4:$E$303,$A$4:$A$303,A8,$D$4:$D$303,"已售-按现行规定申报"))))</f>
        <v/>
      </c>
      <c r="M8" s="34" t="str">
        <f aca="false">IF(OR(L8="",N(E8)=0,H8=""),"",ROUND(H8/E8*L8,2))</f>
        <v/>
      </c>
      <c r="N8" s="46"/>
      <c r="O8" s="34" t="str">
        <f aca="false">IF(OR(N8="",H8=""),"",ROUND(N8-H8,2))</f>
        <v/>
      </c>
      <c r="P8" s="36" t="str">
        <f aca="false">IF(OR(A8="",D8&lt;&gt;"未售-海外仓预退（HWC-YT）"),"",IF(L8=0,"仍未销售：需要调整申报，全额缴回预退税",IF(L8&lt;N(E8),"部分已售：需要调整申报，全额冲减后按已售部分重报",IF(N8="","全部已售：填入实际应退税额后判断",IF(O8=0,"全部已售、无差异：无需调整申报","全部已售、有差异：需要调整申报")))))</f>
        <v/>
      </c>
      <c r="Q8" s="41"/>
      <c r="R8" s="44"/>
      <c r="S8" s="36" t="str">
        <f aca="false">IF(A8="","",IF(D8="","请选择申报方式",IF(D8&lt;&gt;"未售-海外仓预退（HWC-YT）","不涉及核算",IF(Q8&lt;&gt;"","已核算",IF(J8="","待税务办结",IF(K8&lt;0,"已逾期：税务将追回预退税",IF(K8&lt;=60,"临近截止（60天内）","待核算")))))))</f>
        <v/>
      </c>
      <c r="T8" s="30" t="str">
        <f aca="false">IF(ISNUMBER(C8),DATE(YEAR(C8)+1,4,30),"")</f>
        <v/>
      </c>
      <c r="U8" s="43"/>
    </row>
    <row r="9" customFormat="false" ht="21.75" hidden="false" customHeight="true" outlineLevel="0" collapsed="false">
      <c r="A9" s="44"/>
      <c r="B9" s="36" t="str">
        <f aca="false">IF(A9="","",IFERROR(INDEX(①出口报关!$I$4:$I$303,MATCH(A9,①出口报关!$A$4:$A$303,0)),"编号不存在"))</f>
        <v/>
      </c>
      <c r="C9" s="30" t="str">
        <f aca="false">IF(A9="","",IFERROR(IF(INDEX(①出口报关!$D$4:$D$303,MATCH(A9,①出口报关!$A$4:$A$303,0))=0,"",INDEX(①出口报关!$D$4:$D$303,MATCH(A9,①出口报关!$A$4:$A$303,0))),"编号不存在"))</f>
        <v/>
      </c>
      <c r="D9" s="43"/>
      <c r="E9" s="45"/>
      <c r="F9" s="41"/>
      <c r="G9" s="48"/>
      <c r="H9" s="46"/>
      <c r="I9" s="41"/>
      <c r="J9" s="30" t="str">
        <f aca="false">IF(AND(D9="未售-海外仓预退（HWC-YT）",ISNUMBER(I9)),DATE(YEAR(I9)+1,4,30),"")</f>
        <v/>
      </c>
      <c r="K9" s="51" t="str">
        <f aca="true">IF(J9="","",IF(Q9&lt;&gt;"","",J9-TODAY()))</f>
        <v/>
      </c>
      <c r="L9" s="31" t="str">
        <f aca="false">IF(OR(A9="",D9&lt;&gt;"未售-海外仓预退（HWC-YT）"),"",MIN(N(E9),MAX(0,SUMIFS(②销售核销!$I$4:$I$603,②销售核销!$E$4:$E$603,A9)-SUMIFS($E$4:$E$303,$A$4:$A$303,A9,$D$4:$D$303,"已售-按现行规定申报"))))</f>
        <v/>
      </c>
      <c r="M9" s="34" t="str">
        <f aca="false">IF(OR(L9="",N(E9)=0,H9=""),"",ROUND(H9/E9*L9,2))</f>
        <v/>
      </c>
      <c r="N9" s="46"/>
      <c r="O9" s="34" t="str">
        <f aca="false">IF(OR(N9="",H9=""),"",ROUND(N9-H9,2))</f>
        <v/>
      </c>
      <c r="P9" s="36" t="str">
        <f aca="false">IF(OR(A9="",D9&lt;&gt;"未售-海外仓预退（HWC-YT）"),"",IF(L9=0,"仍未销售：需要调整申报，全额缴回预退税",IF(L9&lt;N(E9),"部分已售：需要调整申报，全额冲减后按已售部分重报",IF(N9="","全部已售：填入实际应退税额后判断",IF(O9=0,"全部已售、无差异：无需调整申报","全部已售、有差异：需要调整申报")))))</f>
        <v/>
      </c>
      <c r="Q9" s="41"/>
      <c r="R9" s="44"/>
      <c r="S9" s="36" t="str">
        <f aca="false">IF(A9="","",IF(D9="","请选择申报方式",IF(D9&lt;&gt;"未售-海外仓预退（HWC-YT）","不涉及核算",IF(Q9&lt;&gt;"","已核算",IF(J9="","待税务办结",IF(K9&lt;0,"已逾期：税务将追回预退税",IF(K9&lt;=60,"临近截止（60天内）","待核算")))))))</f>
        <v/>
      </c>
      <c r="T9" s="30" t="str">
        <f aca="false">IF(ISNUMBER(C9),DATE(YEAR(C9)+1,4,30),"")</f>
        <v/>
      </c>
      <c r="U9" s="43"/>
    </row>
    <row r="10" customFormat="false" ht="21.75" hidden="false" customHeight="true" outlineLevel="0" collapsed="false">
      <c r="A10" s="44"/>
      <c r="B10" s="36" t="str">
        <f aca="false">IF(A10="","",IFERROR(INDEX(①出口报关!$I$4:$I$303,MATCH(A10,①出口报关!$A$4:$A$303,0)),"编号不存在"))</f>
        <v/>
      </c>
      <c r="C10" s="30" t="str">
        <f aca="false">IF(A10="","",IFERROR(IF(INDEX(①出口报关!$D$4:$D$303,MATCH(A10,①出口报关!$A$4:$A$303,0))=0,"",INDEX(①出口报关!$D$4:$D$303,MATCH(A10,①出口报关!$A$4:$A$303,0))),"编号不存在"))</f>
        <v/>
      </c>
      <c r="D10" s="43"/>
      <c r="E10" s="45"/>
      <c r="F10" s="41"/>
      <c r="G10" s="48"/>
      <c r="H10" s="46"/>
      <c r="I10" s="41"/>
      <c r="J10" s="30" t="str">
        <f aca="false">IF(AND(D10="未售-海外仓预退（HWC-YT）",ISNUMBER(I10)),DATE(YEAR(I10)+1,4,30),"")</f>
        <v/>
      </c>
      <c r="K10" s="51" t="str">
        <f aca="true">IF(J10="","",IF(Q10&lt;&gt;"","",J10-TODAY()))</f>
        <v/>
      </c>
      <c r="L10" s="31" t="str">
        <f aca="false">IF(OR(A10="",D10&lt;&gt;"未售-海外仓预退（HWC-YT）"),"",MIN(N(E10),MAX(0,SUMIFS(②销售核销!$I$4:$I$603,②销售核销!$E$4:$E$603,A10)-SUMIFS($E$4:$E$303,$A$4:$A$303,A10,$D$4:$D$303,"已售-按现行规定申报"))))</f>
        <v/>
      </c>
      <c r="M10" s="34" t="str">
        <f aca="false">IF(OR(L10="",N(E10)=0,H10=""),"",ROUND(H10/E10*L10,2))</f>
        <v/>
      </c>
      <c r="N10" s="46"/>
      <c r="O10" s="34" t="str">
        <f aca="false">IF(OR(N10="",H10=""),"",ROUND(N10-H10,2))</f>
        <v/>
      </c>
      <c r="P10" s="36" t="str">
        <f aca="false">IF(OR(A10="",D10&lt;&gt;"未售-海外仓预退（HWC-YT）"),"",IF(L10=0,"仍未销售：需要调整申报，全额缴回预退税",IF(L10&lt;N(E10),"部分已售：需要调整申报，全额冲减后按已售部分重报",IF(N10="","全部已售：填入实际应退税额后判断",IF(O10=0,"全部已售、无差异：无需调整申报","全部已售、有差异：需要调整申报")))))</f>
        <v/>
      </c>
      <c r="Q10" s="41"/>
      <c r="R10" s="44"/>
      <c r="S10" s="36" t="str">
        <f aca="false">IF(A10="","",IF(D10="","请选择申报方式",IF(D10&lt;&gt;"未售-海外仓预退（HWC-YT）","不涉及核算",IF(Q10&lt;&gt;"","已核算",IF(J10="","待税务办结",IF(K10&lt;0,"已逾期：税务将追回预退税",IF(K10&lt;=60,"临近截止（60天内）","待核算")))))))</f>
        <v/>
      </c>
      <c r="T10" s="30" t="str">
        <f aca="false">IF(ISNUMBER(C10),DATE(YEAR(C10)+1,4,30),"")</f>
        <v/>
      </c>
      <c r="U10" s="43"/>
    </row>
    <row r="11" customFormat="false" ht="21.75" hidden="false" customHeight="true" outlineLevel="0" collapsed="false">
      <c r="A11" s="44"/>
      <c r="B11" s="36" t="str">
        <f aca="false">IF(A11="","",IFERROR(INDEX(①出口报关!$I$4:$I$303,MATCH(A11,①出口报关!$A$4:$A$303,0)),"编号不存在"))</f>
        <v/>
      </c>
      <c r="C11" s="30" t="str">
        <f aca="false">IF(A11="","",IFERROR(IF(INDEX(①出口报关!$D$4:$D$303,MATCH(A11,①出口报关!$A$4:$A$303,0))=0,"",INDEX(①出口报关!$D$4:$D$303,MATCH(A11,①出口报关!$A$4:$A$303,0))),"编号不存在"))</f>
        <v/>
      </c>
      <c r="D11" s="43"/>
      <c r="E11" s="45"/>
      <c r="F11" s="41"/>
      <c r="G11" s="48"/>
      <c r="H11" s="46"/>
      <c r="I11" s="41"/>
      <c r="J11" s="30" t="str">
        <f aca="false">IF(AND(D11="未售-海外仓预退（HWC-YT）",ISNUMBER(I11)),DATE(YEAR(I11)+1,4,30),"")</f>
        <v/>
      </c>
      <c r="K11" s="51" t="str">
        <f aca="true">IF(J11="","",IF(Q11&lt;&gt;"","",J11-TODAY()))</f>
        <v/>
      </c>
      <c r="L11" s="31" t="str">
        <f aca="false">IF(OR(A11="",D11&lt;&gt;"未售-海外仓预退（HWC-YT）"),"",MIN(N(E11),MAX(0,SUMIFS(②销售核销!$I$4:$I$603,②销售核销!$E$4:$E$603,A11)-SUMIFS($E$4:$E$303,$A$4:$A$303,A11,$D$4:$D$303,"已售-按现行规定申报"))))</f>
        <v/>
      </c>
      <c r="M11" s="34" t="str">
        <f aca="false">IF(OR(L11="",N(E11)=0,H11=""),"",ROUND(H11/E11*L11,2))</f>
        <v/>
      </c>
      <c r="N11" s="46"/>
      <c r="O11" s="34" t="str">
        <f aca="false">IF(OR(N11="",H11=""),"",ROUND(N11-H11,2))</f>
        <v/>
      </c>
      <c r="P11" s="36" t="str">
        <f aca="false">IF(OR(A11="",D11&lt;&gt;"未售-海外仓预退（HWC-YT）"),"",IF(L11=0,"仍未销售：需要调整申报，全额缴回预退税",IF(L11&lt;N(E11),"部分已售：需要调整申报，全额冲减后按已售部分重报",IF(N11="","全部已售：填入实际应退税额后判断",IF(O11=0,"全部已售、无差异：无需调整申报","全部已售、有差异：需要调整申报")))))</f>
        <v/>
      </c>
      <c r="Q11" s="41"/>
      <c r="R11" s="44"/>
      <c r="S11" s="36" t="str">
        <f aca="false">IF(A11="","",IF(D11="","请选择申报方式",IF(D11&lt;&gt;"未售-海外仓预退（HWC-YT）","不涉及核算",IF(Q11&lt;&gt;"","已核算",IF(J11="","待税务办结",IF(K11&lt;0,"已逾期：税务将追回预退税",IF(K11&lt;=60,"临近截止（60天内）","待核算")))))))</f>
        <v/>
      </c>
      <c r="T11" s="30" t="str">
        <f aca="false">IF(ISNUMBER(C11),DATE(YEAR(C11)+1,4,30),"")</f>
        <v/>
      </c>
      <c r="U11" s="43"/>
    </row>
    <row r="12" customFormat="false" ht="21.75" hidden="false" customHeight="true" outlineLevel="0" collapsed="false">
      <c r="A12" s="44"/>
      <c r="B12" s="36" t="str">
        <f aca="false">IF(A12="","",IFERROR(INDEX(①出口报关!$I$4:$I$303,MATCH(A12,①出口报关!$A$4:$A$303,0)),"编号不存在"))</f>
        <v/>
      </c>
      <c r="C12" s="30" t="str">
        <f aca="false">IF(A12="","",IFERROR(IF(INDEX(①出口报关!$D$4:$D$303,MATCH(A12,①出口报关!$A$4:$A$303,0))=0,"",INDEX(①出口报关!$D$4:$D$303,MATCH(A12,①出口报关!$A$4:$A$303,0))),"编号不存在"))</f>
        <v/>
      </c>
      <c r="D12" s="43"/>
      <c r="E12" s="45"/>
      <c r="F12" s="41"/>
      <c r="G12" s="48"/>
      <c r="H12" s="46"/>
      <c r="I12" s="41"/>
      <c r="J12" s="30" t="str">
        <f aca="false">IF(AND(D12="未售-海外仓预退（HWC-YT）",ISNUMBER(I12)),DATE(YEAR(I12)+1,4,30),"")</f>
        <v/>
      </c>
      <c r="K12" s="51" t="str">
        <f aca="true">IF(J12="","",IF(Q12&lt;&gt;"","",J12-TODAY()))</f>
        <v/>
      </c>
      <c r="L12" s="31" t="str">
        <f aca="false">IF(OR(A12="",D12&lt;&gt;"未售-海外仓预退（HWC-YT）"),"",MIN(N(E12),MAX(0,SUMIFS(②销售核销!$I$4:$I$603,②销售核销!$E$4:$E$603,A12)-SUMIFS($E$4:$E$303,$A$4:$A$303,A12,$D$4:$D$303,"已售-按现行规定申报"))))</f>
        <v/>
      </c>
      <c r="M12" s="34" t="str">
        <f aca="false">IF(OR(L12="",N(E12)=0,H12=""),"",ROUND(H12/E12*L12,2))</f>
        <v/>
      </c>
      <c r="N12" s="46"/>
      <c r="O12" s="34" t="str">
        <f aca="false">IF(OR(N12="",H12=""),"",ROUND(N12-H12,2))</f>
        <v/>
      </c>
      <c r="P12" s="36" t="str">
        <f aca="false">IF(OR(A12="",D12&lt;&gt;"未售-海外仓预退（HWC-YT）"),"",IF(L12=0,"仍未销售：需要调整申报，全额缴回预退税",IF(L12&lt;N(E12),"部分已售：需要调整申报，全额冲减后按已售部分重报",IF(N12="","全部已售：填入实际应退税额后判断",IF(O12=0,"全部已售、无差异：无需调整申报","全部已售、有差异：需要调整申报")))))</f>
        <v/>
      </c>
      <c r="Q12" s="41"/>
      <c r="R12" s="44"/>
      <c r="S12" s="36" t="str">
        <f aca="false">IF(A12="","",IF(D12="","请选择申报方式",IF(D12&lt;&gt;"未售-海外仓预退（HWC-YT）","不涉及核算",IF(Q12&lt;&gt;"","已核算",IF(J12="","待税务办结",IF(K12&lt;0,"已逾期：税务将追回预退税",IF(K12&lt;=60,"临近截止（60天内）","待核算")))))))</f>
        <v/>
      </c>
      <c r="T12" s="30" t="str">
        <f aca="false">IF(ISNUMBER(C12),DATE(YEAR(C12)+1,4,30),"")</f>
        <v/>
      </c>
      <c r="U12" s="43"/>
    </row>
    <row r="13" customFormat="false" ht="21.75" hidden="false" customHeight="true" outlineLevel="0" collapsed="false">
      <c r="A13" s="44"/>
      <c r="B13" s="36" t="str">
        <f aca="false">IF(A13="","",IFERROR(INDEX(①出口报关!$I$4:$I$303,MATCH(A13,①出口报关!$A$4:$A$303,0)),"编号不存在"))</f>
        <v/>
      </c>
      <c r="C13" s="30" t="str">
        <f aca="false">IF(A13="","",IFERROR(IF(INDEX(①出口报关!$D$4:$D$303,MATCH(A13,①出口报关!$A$4:$A$303,0))=0,"",INDEX(①出口报关!$D$4:$D$303,MATCH(A13,①出口报关!$A$4:$A$303,0))),"编号不存在"))</f>
        <v/>
      </c>
      <c r="D13" s="43"/>
      <c r="E13" s="45"/>
      <c r="F13" s="41"/>
      <c r="G13" s="48"/>
      <c r="H13" s="46"/>
      <c r="I13" s="41"/>
      <c r="J13" s="30" t="str">
        <f aca="false">IF(AND(D13="未售-海外仓预退（HWC-YT）",ISNUMBER(I13)),DATE(YEAR(I13)+1,4,30),"")</f>
        <v/>
      </c>
      <c r="K13" s="51" t="str">
        <f aca="true">IF(J13="","",IF(Q13&lt;&gt;"","",J13-TODAY()))</f>
        <v/>
      </c>
      <c r="L13" s="31" t="str">
        <f aca="false">IF(OR(A13="",D13&lt;&gt;"未售-海外仓预退（HWC-YT）"),"",MIN(N(E13),MAX(0,SUMIFS(②销售核销!$I$4:$I$603,②销售核销!$E$4:$E$603,A13)-SUMIFS($E$4:$E$303,$A$4:$A$303,A13,$D$4:$D$303,"已售-按现行规定申报"))))</f>
        <v/>
      </c>
      <c r="M13" s="34" t="str">
        <f aca="false">IF(OR(L13="",N(E13)=0,H13=""),"",ROUND(H13/E13*L13,2))</f>
        <v/>
      </c>
      <c r="N13" s="46"/>
      <c r="O13" s="34" t="str">
        <f aca="false">IF(OR(N13="",H13=""),"",ROUND(N13-H13,2))</f>
        <v/>
      </c>
      <c r="P13" s="36" t="str">
        <f aca="false">IF(OR(A13="",D13&lt;&gt;"未售-海外仓预退（HWC-YT）"),"",IF(L13=0,"仍未销售：需要调整申报，全额缴回预退税",IF(L13&lt;N(E13),"部分已售：需要调整申报，全额冲减后按已售部分重报",IF(N13="","全部已售：填入实际应退税额后判断",IF(O13=0,"全部已售、无差异：无需调整申报","全部已售、有差异：需要调整申报")))))</f>
        <v/>
      </c>
      <c r="Q13" s="41"/>
      <c r="R13" s="44"/>
      <c r="S13" s="36" t="str">
        <f aca="false">IF(A13="","",IF(D13="","请选择申报方式",IF(D13&lt;&gt;"未售-海外仓预退（HWC-YT）","不涉及核算",IF(Q13&lt;&gt;"","已核算",IF(J13="","待税务办结",IF(K13&lt;0,"已逾期：税务将追回预退税",IF(K13&lt;=60,"临近截止（60天内）","待核算")))))))</f>
        <v/>
      </c>
      <c r="T13" s="30" t="str">
        <f aca="false">IF(ISNUMBER(C13),DATE(YEAR(C13)+1,4,30),"")</f>
        <v/>
      </c>
      <c r="U13" s="43"/>
    </row>
    <row r="14" customFormat="false" ht="21.75" hidden="false" customHeight="true" outlineLevel="0" collapsed="false">
      <c r="A14" s="44"/>
      <c r="B14" s="36" t="str">
        <f aca="false">IF(A14="","",IFERROR(INDEX(①出口报关!$I$4:$I$303,MATCH(A14,①出口报关!$A$4:$A$303,0)),"编号不存在"))</f>
        <v/>
      </c>
      <c r="C14" s="30" t="str">
        <f aca="false">IF(A14="","",IFERROR(IF(INDEX(①出口报关!$D$4:$D$303,MATCH(A14,①出口报关!$A$4:$A$303,0))=0,"",INDEX(①出口报关!$D$4:$D$303,MATCH(A14,①出口报关!$A$4:$A$303,0))),"编号不存在"))</f>
        <v/>
      </c>
      <c r="D14" s="43"/>
      <c r="E14" s="45"/>
      <c r="F14" s="41"/>
      <c r="G14" s="48"/>
      <c r="H14" s="46"/>
      <c r="I14" s="41"/>
      <c r="J14" s="30" t="str">
        <f aca="false">IF(AND(D14="未售-海外仓预退（HWC-YT）",ISNUMBER(I14)),DATE(YEAR(I14)+1,4,30),"")</f>
        <v/>
      </c>
      <c r="K14" s="51" t="str">
        <f aca="true">IF(J14="","",IF(Q14&lt;&gt;"","",J14-TODAY()))</f>
        <v/>
      </c>
      <c r="L14" s="31" t="str">
        <f aca="false">IF(OR(A14="",D14&lt;&gt;"未售-海外仓预退（HWC-YT）"),"",MIN(N(E14),MAX(0,SUMIFS(②销售核销!$I$4:$I$603,②销售核销!$E$4:$E$603,A14)-SUMIFS($E$4:$E$303,$A$4:$A$303,A14,$D$4:$D$303,"已售-按现行规定申报"))))</f>
        <v/>
      </c>
      <c r="M14" s="34" t="str">
        <f aca="false">IF(OR(L14="",N(E14)=0,H14=""),"",ROUND(H14/E14*L14,2))</f>
        <v/>
      </c>
      <c r="N14" s="46"/>
      <c r="O14" s="34" t="str">
        <f aca="false">IF(OR(N14="",H14=""),"",ROUND(N14-H14,2))</f>
        <v/>
      </c>
      <c r="P14" s="36" t="str">
        <f aca="false">IF(OR(A14="",D14&lt;&gt;"未售-海外仓预退（HWC-YT）"),"",IF(L14=0,"仍未销售：需要调整申报，全额缴回预退税",IF(L14&lt;N(E14),"部分已售：需要调整申报，全额冲减后按已售部分重报",IF(N14="","全部已售：填入实际应退税额后判断",IF(O14=0,"全部已售、无差异：无需调整申报","全部已售、有差异：需要调整申报")))))</f>
        <v/>
      </c>
      <c r="Q14" s="41"/>
      <c r="R14" s="44"/>
      <c r="S14" s="36" t="str">
        <f aca="false">IF(A14="","",IF(D14="","请选择申报方式",IF(D14&lt;&gt;"未售-海外仓预退（HWC-YT）","不涉及核算",IF(Q14&lt;&gt;"","已核算",IF(J14="","待税务办结",IF(K14&lt;0,"已逾期：税务将追回预退税",IF(K14&lt;=60,"临近截止（60天内）","待核算")))))))</f>
        <v/>
      </c>
      <c r="T14" s="30" t="str">
        <f aca="false">IF(ISNUMBER(C14),DATE(YEAR(C14)+1,4,30),"")</f>
        <v/>
      </c>
      <c r="U14" s="43"/>
    </row>
    <row r="15" customFormat="false" ht="21.75" hidden="false" customHeight="true" outlineLevel="0" collapsed="false">
      <c r="A15" s="44"/>
      <c r="B15" s="36" t="str">
        <f aca="false">IF(A15="","",IFERROR(INDEX(①出口报关!$I$4:$I$303,MATCH(A15,①出口报关!$A$4:$A$303,0)),"编号不存在"))</f>
        <v/>
      </c>
      <c r="C15" s="30" t="str">
        <f aca="false">IF(A15="","",IFERROR(IF(INDEX(①出口报关!$D$4:$D$303,MATCH(A15,①出口报关!$A$4:$A$303,0))=0,"",INDEX(①出口报关!$D$4:$D$303,MATCH(A15,①出口报关!$A$4:$A$303,0))),"编号不存在"))</f>
        <v/>
      </c>
      <c r="D15" s="43"/>
      <c r="E15" s="45"/>
      <c r="F15" s="41"/>
      <c r="G15" s="48"/>
      <c r="H15" s="46"/>
      <c r="I15" s="41"/>
      <c r="J15" s="30" t="str">
        <f aca="false">IF(AND(D15="未售-海外仓预退（HWC-YT）",ISNUMBER(I15)),DATE(YEAR(I15)+1,4,30),"")</f>
        <v/>
      </c>
      <c r="K15" s="51" t="str">
        <f aca="true">IF(J15="","",IF(Q15&lt;&gt;"","",J15-TODAY()))</f>
        <v/>
      </c>
      <c r="L15" s="31" t="str">
        <f aca="false">IF(OR(A15="",D15&lt;&gt;"未售-海外仓预退（HWC-YT）"),"",MIN(N(E15),MAX(0,SUMIFS(②销售核销!$I$4:$I$603,②销售核销!$E$4:$E$603,A15)-SUMIFS($E$4:$E$303,$A$4:$A$303,A15,$D$4:$D$303,"已售-按现行规定申报"))))</f>
        <v/>
      </c>
      <c r="M15" s="34" t="str">
        <f aca="false">IF(OR(L15="",N(E15)=0,H15=""),"",ROUND(H15/E15*L15,2))</f>
        <v/>
      </c>
      <c r="N15" s="46"/>
      <c r="O15" s="34" t="str">
        <f aca="false">IF(OR(N15="",H15=""),"",ROUND(N15-H15,2))</f>
        <v/>
      </c>
      <c r="P15" s="36" t="str">
        <f aca="false">IF(OR(A15="",D15&lt;&gt;"未售-海外仓预退（HWC-YT）"),"",IF(L15=0,"仍未销售：需要调整申报，全额缴回预退税",IF(L15&lt;N(E15),"部分已售：需要调整申报，全额冲减后按已售部分重报",IF(N15="","全部已售：填入实际应退税额后判断",IF(O15=0,"全部已售、无差异：无需调整申报","全部已售、有差异：需要调整申报")))))</f>
        <v/>
      </c>
      <c r="Q15" s="41"/>
      <c r="R15" s="44"/>
      <c r="S15" s="36" t="str">
        <f aca="false">IF(A15="","",IF(D15="","请选择申报方式",IF(D15&lt;&gt;"未售-海外仓预退（HWC-YT）","不涉及核算",IF(Q15&lt;&gt;"","已核算",IF(J15="","待税务办结",IF(K15&lt;0,"已逾期：税务将追回预退税",IF(K15&lt;=60,"临近截止（60天内）","待核算")))))))</f>
        <v/>
      </c>
      <c r="T15" s="30" t="str">
        <f aca="false">IF(ISNUMBER(C15),DATE(YEAR(C15)+1,4,30),"")</f>
        <v/>
      </c>
      <c r="U15" s="43"/>
    </row>
    <row r="16" customFormat="false" ht="21.75" hidden="false" customHeight="true" outlineLevel="0" collapsed="false">
      <c r="A16" s="44"/>
      <c r="B16" s="36" t="str">
        <f aca="false">IF(A16="","",IFERROR(INDEX(①出口报关!$I$4:$I$303,MATCH(A16,①出口报关!$A$4:$A$303,0)),"编号不存在"))</f>
        <v/>
      </c>
      <c r="C16" s="30" t="str">
        <f aca="false">IF(A16="","",IFERROR(IF(INDEX(①出口报关!$D$4:$D$303,MATCH(A16,①出口报关!$A$4:$A$303,0))=0,"",INDEX(①出口报关!$D$4:$D$303,MATCH(A16,①出口报关!$A$4:$A$303,0))),"编号不存在"))</f>
        <v/>
      </c>
      <c r="D16" s="43"/>
      <c r="E16" s="45"/>
      <c r="F16" s="41"/>
      <c r="G16" s="48"/>
      <c r="H16" s="46"/>
      <c r="I16" s="41"/>
      <c r="J16" s="30" t="str">
        <f aca="false">IF(AND(D16="未售-海外仓预退（HWC-YT）",ISNUMBER(I16)),DATE(YEAR(I16)+1,4,30),"")</f>
        <v/>
      </c>
      <c r="K16" s="51" t="str">
        <f aca="true">IF(J16="","",IF(Q16&lt;&gt;"","",J16-TODAY()))</f>
        <v/>
      </c>
      <c r="L16" s="31" t="str">
        <f aca="false">IF(OR(A16="",D16&lt;&gt;"未售-海外仓预退（HWC-YT）"),"",MIN(N(E16),MAX(0,SUMIFS(②销售核销!$I$4:$I$603,②销售核销!$E$4:$E$603,A16)-SUMIFS($E$4:$E$303,$A$4:$A$303,A16,$D$4:$D$303,"已售-按现行规定申报"))))</f>
        <v/>
      </c>
      <c r="M16" s="34" t="str">
        <f aca="false">IF(OR(L16="",N(E16)=0,H16=""),"",ROUND(H16/E16*L16,2))</f>
        <v/>
      </c>
      <c r="N16" s="46"/>
      <c r="O16" s="34" t="str">
        <f aca="false">IF(OR(N16="",H16=""),"",ROUND(N16-H16,2))</f>
        <v/>
      </c>
      <c r="P16" s="36" t="str">
        <f aca="false">IF(OR(A16="",D16&lt;&gt;"未售-海外仓预退（HWC-YT）"),"",IF(L16=0,"仍未销售：需要调整申报，全额缴回预退税",IF(L16&lt;N(E16),"部分已售：需要调整申报，全额冲减后按已售部分重报",IF(N16="","全部已售：填入实际应退税额后判断",IF(O16=0,"全部已售、无差异：无需调整申报","全部已售、有差异：需要调整申报")))))</f>
        <v/>
      </c>
      <c r="Q16" s="41"/>
      <c r="R16" s="44"/>
      <c r="S16" s="36" t="str">
        <f aca="false">IF(A16="","",IF(D16="","请选择申报方式",IF(D16&lt;&gt;"未售-海外仓预退（HWC-YT）","不涉及核算",IF(Q16&lt;&gt;"","已核算",IF(J16="","待税务办结",IF(K16&lt;0,"已逾期：税务将追回预退税",IF(K16&lt;=60,"临近截止（60天内）","待核算")))))))</f>
        <v/>
      </c>
      <c r="T16" s="30" t="str">
        <f aca="false">IF(ISNUMBER(C16),DATE(YEAR(C16)+1,4,30),"")</f>
        <v/>
      </c>
      <c r="U16" s="43"/>
    </row>
    <row r="17" customFormat="false" ht="21.75" hidden="false" customHeight="true" outlineLevel="0" collapsed="false">
      <c r="A17" s="44"/>
      <c r="B17" s="36" t="str">
        <f aca="false">IF(A17="","",IFERROR(INDEX(①出口报关!$I$4:$I$303,MATCH(A17,①出口报关!$A$4:$A$303,0)),"编号不存在"))</f>
        <v/>
      </c>
      <c r="C17" s="30" t="str">
        <f aca="false">IF(A17="","",IFERROR(IF(INDEX(①出口报关!$D$4:$D$303,MATCH(A17,①出口报关!$A$4:$A$303,0))=0,"",INDEX(①出口报关!$D$4:$D$303,MATCH(A17,①出口报关!$A$4:$A$303,0))),"编号不存在"))</f>
        <v/>
      </c>
      <c r="D17" s="43"/>
      <c r="E17" s="45"/>
      <c r="F17" s="41"/>
      <c r="G17" s="48"/>
      <c r="H17" s="46"/>
      <c r="I17" s="41"/>
      <c r="J17" s="30" t="str">
        <f aca="false">IF(AND(D17="未售-海外仓预退（HWC-YT）",ISNUMBER(I17)),DATE(YEAR(I17)+1,4,30),"")</f>
        <v/>
      </c>
      <c r="K17" s="51" t="str">
        <f aca="true">IF(J17="","",IF(Q17&lt;&gt;"","",J17-TODAY()))</f>
        <v/>
      </c>
      <c r="L17" s="31" t="str">
        <f aca="false">IF(OR(A17="",D17&lt;&gt;"未售-海外仓预退（HWC-YT）"),"",MIN(N(E17),MAX(0,SUMIFS(②销售核销!$I$4:$I$603,②销售核销!$E$4:$E$603,A17)-SUMIFS($E$4:$E$303,$A$4:$A$303,A17,$D$4:$D$303,"已售-按现行规定申报"))))</f>
        <v/>
      </c>
      <c r="M17" s="34" t="str">
        <f aca="false">IF(OR(L17="",N(E17)=0,H17=""),"",ROUND(H17/E17*L17,2))</f>
        <v/>
      </c>
      <c r="N17" s="46"/>
      <c r="O17" s="34" t="str">
        <f aca="false">IF(OR(N17="",H17=""),"",ROUND(N17-H17,2))</f>
        <v/>
      </c>
      <c r="P17" s="36" t="str">
        <f aca="false">IF(OR(A17="",D17&lt;&gt;"未售-海外仓预退（HWC-YT）"),"",IF(L17=0,"仍未销售：需要调整申报，全额缴回预退税",IF(L17&lt;N(E17),"部分已售：需要调整申报，全额冲减后按已售部分重报",IF(N17="","全部已售：填入实际应退税额后判断",IF(O17=0,"全部已售、无差异：无需调整申报","全部已售、有差异：需要调整申报")))))</f>
        <v/>
      </c>
      <c r="Q17" s="41"/>
      <c r="R17" s="44"/>
      <c r="S17" s="36" t="str">
        <f aca="false">IF(A17="","",IF(D17="","请选择申报方式",IF(D17&lt;&gt;"未售-海外仓预退（HWC-YT）","不涉及核算",IF(Q17&lt;&gt;"","已核算",IF(J17="","待税务办结",IF(K17&lt;0,"已逾期：税务将追回预退税",IF(K17&lt;=60,"临近截止（60天内）","待核算")))))))</f>
        <v/>
      </c>
      <c r="T17" s="30" t="str">
        <f aca="false">IF(ISNUMBER(C17),DATE(YEAR(C17)+1,4,30),"")</f>
        <v/>
      </c>
      <c r="U17" s="43"/>
    </row>
    <row r="18" customFormat="false" ht="21.75" hidden="false" customHeight="true" outlineLevel="0" collapsed="false">
      <c r="A18" s="44"/>
      <c r="B18" s="36" t="str">
        <f aca="false">IF(A18="","",IFERROR(INDEX(①出口报关!$I$4:$I$303,MATCH(A18,①出口报关!$A$4:$A$303,0)),"编号不存在"))</f>
        <v/>
      </c>
      <c r="C18" s="30" t="str">
        <f aca="false">IF(A18="","",IFERROR(IF(INDEX(①出口报关!$D$4:$D$303,MATCH(A18,①出口报关!$A$4:$A$303,0))=0,"",INDEX(①出口报关!$D$4:$D$303,MATCH(A18,①出口报关!$A$4:$A$303,0))),"编号不存在"))</f>
        <v/>
      </c>
      <c r="D18" s="43"/>
      <c r="E18" s="45"/>
      <c r="F18" s="41"/>
      <c r="G18" s="48"/>
      <c r="H18" s="46"/>
      <c r="I18" s="41"/>
      <c r="J18" s="30" t="str">
        <f aca="false">IF(AND(D18="未售-海外仓预退（HWC-YT）",ISNUMBER(I18)),DATE(YEAR(I18)+1,4,30),"")</f>
        <v/>
      </c>
      <c r="K18" s="51" t="str">
        <f aca="true">IF(J18="","",IF(Q18&lt;&gt;"","",J18-TODAY()))</f>
        <v/>
      </c>
      <c r="L18" s="31" t="str">
        <f aca="false">IF(OR(A18="",D18&lt;&gt;"未售-海外仓预退（HWC-YT）"),"",MIN(N(E18),MAX(0,SUMIFS(②销售核销!$I$4:$I$603,②销售核销!$E$4:$E$603,A18)-SUMIFS($E$4:$E$303,$A$4:$A$303,A18,$D$4:$D$303,"已售-按现行规定申报"))))</f>
        <v/>
      </c>
      <c r="M18" s="34" t="str">
        <f aca="false">IF(OR(L18="",N(E18)=0,H18=""),"",ROUND(H18/E18*L18,2))</f>
        <v/>
      </c>
      <c r="N18" s="46"/>
      <c r="O18" s="34" t="str">
        <f aca="false">IF(OR(N18="",H18=""),"",ROUND(N18-H18,2))</f>
        <v/>
      </c>
      <c r="P18" s="36" t="str">
        <f aca="false">IF(OR(A18="",D18&lt;&gt;"未售-海外仓预退（HWC-YT）"),"",IF(L18=0,"仍未销售：需要调整申报，全额缴回预退税",IF(L18&lt;N(E18),"部分已售：需要调整申报，全额冲减后按已售部分重报",IF(N18="","全部已售：填入实际应退税额后判断",IF(O18=0,"全部已售、无差异：无需调整申报","全部已售、有差异：需要调整申报")))))</f>
        <v/>
      </c>
      <c r="Q18" s="41"/>
      <c r="R18" s="44"/>
      <c r="S18" s="36" t="str">
        <f aca="false">IF(A18="","",IF(D18="","请选择申报方式",IF(D18&lt;&gt;"未售-海外仓预退（HWC-YT）","不涉及核算",IF(Q18&lt;&gt;"","已核算",IF(J18="","待税务办结",IF(K18&lt;0,"已逾期：税务将追回预退税",IF(K18&lt;=60,"临近截止（60天内）","待核算")))))))</f>
        <v/>
      </c>
      <c r="T18" s="30" t="str">
        <f aca="false">IF(ISNUMBER(C18),DATE(YEAR(C18)+1,4,30),"")</f>
        <v/>
      </c>
      <c r="U18" s="43"/>
    </row>
    <row r="19" customFormat="false" ht="21.75" hidden="false" customHeight="true" outlineLevel="0" collapsed="false">
      <c r="A19" s="44"/>
      <c r="B19" s="36" t="str">
        <f aca="false">IF(A19="","",IFERROR(INDEX(①出口报关!$I$4:$I$303,MATCH(A19,①出口报关!$A$4:$A$303,0)),"编号不存在"))</f>
        <v/>
      </c>
      <c r="C19" s="30" t="str">
        <f aca="false">IF(A19="","",IFERROR(IF(INDEX(①出口报关!$D$4:$D$303,MATCH(A19,①出口报关!$A$4:$A$303,0))=0,"",INDEX(①出口报关!$D$4:$D$303,MATCH(A19,①出口报关!$A$4:$A$303,0))),"编号不存在"))</f>
        <v/>
      </c>
      <c r="D19" s="43"/>
      <c r="E19" s="45"/>
      <c r="F19" s="41"/>
      <c r="G19" s="48"/>
      <c r="H19" s="46"/>
      <c r="I19" s="41"/>
      <c r="J19" s="30" t="str">
        <f aca="false">IF(AND(D19="未售-海外仓预退（HWC-YT）",ISNUMBER(I19)),DATE(YEAR(I19)+1,4,30),"")</f>
        <v/>
      </c>
      <c r="K19" s="51" t="str">
        <f aca="true">IF(J19="","",IF(Q19&lt;&gt;"","",J19-TODAY()))</f>
        <v/>
      </c>
      <c r="L19" s="31" t="str">
        <f aca="false">IF(OR(A19="",D19&lt;&gt;"未售-海外仓预退（HWC-YT）"),"",MIN(N(E19),MAX(0,SUMIFS(②销售核销!$I$4:$I$603,②销售核销!$E$4:$E$603,A19)-SUMIFS($E$4:$E$303,$A$4:$A$303,A19,$D$4:$D$303,"已售-按现行规定申报"))))</f>
        <v/>
      </c>
      <c r="M19" s="34" t="str">
        <f aca="false">IF(OR(L19="",N(E19)=0,H19=""),"",ROUND(H19/E19*L19,2))</f>
        <v/>
      </c>
      <c r="N19" s="46"/>
      <c r="O19" s="34" t="str">
        <f aca="false">IF(OR(N19="",H19=""),"",ROUND(N19-H19,2))</f>
        <v/>
      </c>
      <c r="P19" s="36" t="str">
        <f aca="false">IF(OR(A19="",D19&lt;&gt;"未售-海外仓预退（HWC-YT）"),"",IF(L19=0,"仍未销售：需要调整申报，全额缴回预退税",IF(L19&lt;N(E19),"部分已售：需要调整申报，全额冲减后按已售部分重报",IF(N19="","全部已售：填入实际应退税额后判断",IF(O19=0,"全部已售、无差异：无需调整申报","全部已售、有差异：需要调整申报")))))</f>
        <v/>
      </c>
      <c r="Q19" s="41"/>
      <c r="R19" s="44"/>
      <c r="S19" s="36" t="str">
        <f aca="false">IF(A19="","",IF(D19="","请选择申报方式",IF(D19&lt;&gt;"未售-海外仓预退（HWC-YT）","不涉及核算",IF(Q19&lt;&gt;"","已核算",IF(J19="","待税务办结",IF(K19&lt;0,"已逾期：税务将追回预退税",IF(K19&lt;=60,"临近截止（60天内）","待核算")))))))</f>
        <v/>
      </c>
      <c r="T19" s="30" t="str">
        <f aca="false">IF(ISNUMBER(C19),DATE(YEAR(C19)+1,4,30),"")</f>
        <v/>
      </c>
      <c r="U19" s="43"/>
    </row>
    <row r="20" customFormat="false" ht="21.75" hidden="false" customHeight="true" outlineLevel="0" collapsed="false">
      <c r="A20" s="44"/>
      <c r="B20" s="36" t="str">
        <f aca="false">IF(A20="","",IFERROR(INDEX(①出口报关!$I$4:$I$303,MATCH(A20,①出口报关!$A$4:$A$303,0)),"编号不存在"))</f>
        <v/>
      </c>
      <c r="C20" s="30" t="str">
        <f aca="false">IF(A20="","",IFERROR(IF(INDEX(①出口报关!$D$4:$D$303,MATCH(A20,①出口报关!$A$4:$A$303,0))=0,"",INDEX(①出口报关!$D$4:$D$303,MATCH(A20,①出口报关!$A$4:$A$303,0))),"编号不存在"))</f>
        <v/>
      </c>
      <c r="D20" s="43"/>
      <c r="E20" s="45"/>
      <c r="F20" s="41"/>
      <c r="G20" s="48"/>
      <c r="H20" s="46"/>
      <c r="I20" s="41"/>
      <c r="J20" s="30" t="str">
        <f aca="false">IF(AND(D20="未售-海外仓预退（HWC-YT）",ISNUMBER(I20)),DATE(YEAR(I20)+1,4,30),"")</f>
        <v/>
      </c>
      <c r="K20" s="51" t="str">
        <f aca="true">IF(J20="","",IF(Q20&lt;&gt;"","",J20-TODAY()))</f>
        <v/>
      </c>
      <c r="L20" s="31" t="str">
        <f aca="false">IF(OR(A20="",D20&lt;&gt;"未售-海外仓预退（HWC-YT）"),"",MIN(N(E20),MAX(0,SUMIFS(②销售核销!$I$4:$I$603,②销售核销!$E$4:$E$603,A20)-SUMIFS($E$4:$E$303,$A$4:$A$303,A20,$D$4:$D$303,"已售-按现行规定申报"))))</f>
        <v/>
      </c>
      <c r="M20" s="34" t="str">
        <f aca="false">IF(OR(L20="",N(E20)=0,H20=""),"",ROUND(H20/E20*L20,2))</f>
        <v/>
      </c>
      <c r="N20" s="46"/>
      <c r="O20" s="34" t="str">
        <f aca="false">IF(OR(N20="",H20=""),"",ROUND(N20-H20,2))</f>
        <v/>
      </c>
      <c r="P20" s="36" t="str">
        <f aca="false">IF(OR(A20="",D20&lt;&gt;"未售-海外仓预退（HWC-YT）"),"",IF(L20=0,"仍未销售：需要调整申报，全额缴回预退税",IF(L20&lt;N(E20),"部分已售：需要调整申报，全额冲减后按已售部分重报",IF(N20="","全部已售：填入实际应退税额后判断",IF(O20=0,"全部已售、无差异：无需调整申报","全部已售、有差异：需要调整申报")))))</f>
        <v/>
      </c>
      <c r="Q20" s="41"/>
      <c r="R20" s="44"/>
      <c r="S20" s="36" t="str">
        <f aca="false">IF(A20="","",IF(D20="","请选择申报方式",IF(D20&lt;&gt;"未售-海外仓预退（HWC-YT）","不涉及核算",IF(Q20&lt;&gt;"","已核算",IF(J20="","待税务办结",IF(K20&lt;0,"已逾期：税务将追回预退税",IF(K20&lt;=60,"临近截止（60天内）","待核算")))))))</f>
        <v/>
      </c>
      <c r="T20" s="30" t="str">
        <f aca="false">IF(ISNUMBER(C20),DATE(YEAR(C20)+1,4,30),"")</f>
        <v/>
      </c>
      <c r="U20" s="43"/>
    </row>
    <row r="21" customFormat="false" ht="21.75" hidden="false" customHeight="true" outlineLevel="0" collapsed="false">
      <c r="A21" s="44"/>
      <c r="B21" s="36" t="str">
        <f aca="false">IF(A21="","",IFERROR(INDEX(①出口报关!$I$4:$I$303,MATCH(A21,①出口报关!$A$4:$A$303,0)),"编号不存在"))</f>
        <v/>
      </c>
      <c r="C21" s="30" t="str">
        <f aca="false">IF(A21="","",IFERROR(IF(INDEX(①出口报关!$D$4:$D$303,MATCH(A21,①出口报关!$A$4:$A$303,0))=0,"",INDEX(①出口报关!$D$4:$D$303,MATCH(A21,①出口报关!$A$4:$A$303,0))),"编号不存在"))</f>
        <v/>
      </c>
      <c r="D21" s="43"/>
      <c r="E21" s="45"/>
      <c r="F21" s="41"/>
      <c r="G21" s="48"/>
      <c r="H21" s="46"/>
      <c r="I21" s="41"/>
      <c r="J21" s="30" t="str">
        <f aca="false">IF(AND(D21="未售-海外仓预退（HWC-YT）",ISNUMBER(I21)),DATE(YEAR(I21)+1,4,30),"")</f>
        <v/>
      </c>
      <c r="K21" s="51" t="str">
        <f aca="true">IF(J21="","",IF(Q21&lt;&gt;"","",J21-TODAY()))</f>
        <v/>
      </c>
      <c r="L21" s="31" t="str">
        <f aca="false">IF(OR(A21="",D21&lt;&gt;"未售-海外仓预退（HWC-YT）"),"",MIN(N(E21),MAX(0,SUMIFS(②销售核销!$I$4:$I$603,②销售核销!$E$4:$E$603,A21)-SUMIFS($E$4:$E$303,$A$4:$A$303,A21,$D$4:$D$303,"已售-按现行规定申报"))))</f>
        <v/>
      </c>
      <c r="M21" s="34" t="str">
        <f aca="false">IF(OR(L21="",N(E21)=0,H21=""),"",ROUND(H21/E21*L21,2))</f>
        <v/>
      </c>
      <c r="N21" s="46"/>
      <c r="O21" s="34" t="str">
        <f aca="false">IF(OR(N21="",H21=""),"",ROUND(N21-H21,2))</f>
        <v/>
      </c>
      <c r="P21" s="36" t="str">
        <f aca="false">IF(OR(A21="",D21&lt;&gt;"未售-海外仓预退（HWC-YT）"),"",IF(L21=0,"仍未销售：需要调整申报，全额缴回预退税",IF(L21&lt;N(E21),"部分已售：需要调整申报，全额冲减后按已售部分重报",IF(N21="","全部已售：填入实际应退税额后判断",IF(O21=0,"全部已售、无差异：无需调整申报","全部已售、有差异：需要调整申报")))))</f>
        <v/>
      </c>
      <c r="Q21" s="41"/>
      <c r="R21" s="44"/>
      <c r="S21" s="36" t="str">
        <f aca="false">IF(A21="","",IF(D21="","请选择申报方式",IF(D21&lt;&gt;"未售-海外仓预退（HWC-YT）","不涉及核算",IF(Q21&lt;&gt;"","已核算",IF(J21="","待税务办结",IF(K21&lt;0,"已逾期：税务将追回预退税",IF(K21&lt;=60,"临近截止（60天内）","待核算")))))))</f>
        <v/>
      </c>
      <c r="T21" s="30" t="str">
        <f aca="false">IF(ISNUMBER(C21),DATE(YEAR(C21)+1,4,30),"")</f>
        <v/>
      </c>
      <c r="U21" s="43"/>
    </row>
    <row r="22" customFormat="false" ht="21.75" hidden="false" customHeight="true" outlineLevel="0" collapsed="false">
      <c r="A22" s="44"/>
      <c r="B22" s="36" t="str">
        <f aca="false">IF(A22="","",IFERROR(INDEX(①出口报关!$I$4:$I$303,MATCH(A22,①出口报关!$A$4:$A$303,0)),"编号不存在"))</f>
        <v/>
      </c>
      <c r="C22" s="30" t="str">
        <f aca="false">IF(A22="","",IFERROR(IF(INDEX(①出口报关!$D$4:$D$303,MATCH(A22,①出口报关!$A$4:$A$303,0))=0,"",INDEX(①出口报关!$D$4:$D$303,MATCH(A22,①出口报关!$A$4:$A$303,0))),"编号不存在"))</f>
        <v/>
      </c>
      <c r="D22" s="43"/>
      <c r="E22" s="45"/>
      <c r="F22" s="41"/>
      <c r="G22" s="48"/>
      <c r="H22" s="46"/>
      <c r="I22" s="41"/>
      <c r="J22" s="30" t="str">
        <f aca="false">IF(AND(D22="未售-海外仓预退（HWC-YT）",ISNUMBER(I22)),DATE(YEAR(I22)+1,4,30),"")</f>
        <v/>
      </c>
      <c r="K22" s="51" t="str">
        <f aca="true">IF(J22="","",IF(Q22&lt;&gt;"","",J22-TODAY()))</f>
        <v/>
      </c>
      <c r="L22" s="31" t="str">
        <f aca="false">IF(OR(A22="",D22&lt;&gt;"未售-海外仓预退（HWC-YT）"),"",MIN(N(E22),MAX(0,SUMIFS(②销售核销!$I$4:$I$603,②销售核销!$E$4:$E$603,A22)-SUMIFS($E$4:$E$303,$A$4:$A$303,A22,$D$4:$D$303,"已售-按现行规定申报"))))</f>
        <v/>
      </c>
      <c r="M22" s="34" t="str">
        <f aca="false">IF(OR(L22="",N(E22)=0,H22=""),"",ROUND(H22/E22*L22,2))</f>
        <v/>
      </c>
      <c r="N22" s="46"/>
      <c r="O22" s="34" t="str">
        <f aca="false">IF(OR(N22="",H22=""),"",ROUND(N22-H22,2))</f>
        <v/>
      </c>
      <c r="P22" s="36" t="str">
        <f aca="false">IF(OR(A22="",D22&lt;&gt;"未售-海外仓预退（HWC-YT）"),"",IF(L22=0,"仍未销售：需要调整申报，全额缴回预退税",IF(L22&lt;N(E22),"部分已售：需要调整申报，全额冲减后按已售部分重报",IF(N22="","全部已售：填入实际应退税额后判断",IF(O22=0,"全部已售、无差异：无需调整申报","全部已售、有差异：需要调整申报")))))</f>
        <v/>
      </c>
      <c r="Q22" s="41"/>
      <c r="R22" s="44"/>
      <c r="S22" s="36" t="str">
        <f aca="false">IF(A22="","",IF(D22="","请选择申报方式",IF(D22&lt;&gt;"未售-海外仓预退（HWC-YT）","不涉及核算",IF(Q22&lt;&gt;"","已核算",IF(J22="","待税务办结",IF(K22&lt;0,"已逾期：税务将追回预退税",IF(K22&lt;=60,"临近截止（60天内）","待核算")))))))</f>
        <v/>
      </c>
      <c r="T22" s="30" t="str">
        <f aca="false">IF(ISNUMBER(C22),DATE(YEAR(C22)+1,4,30),"")</f>
        <v/>
      </c>
      <c r="U22" s="43"/>
    </row>
    <row r="23" customFormat="false" ht="21.75" hidden="false" customHeight="true" outlineLevel="0" collapsed="false">
      <c r="A23" s="44"/>
      <c r="B23" s="36" t="str">
        <f aca="false">IF(A23="","",IFERROR(INDEX(①出口报关!$I$4:$I$303,MATCH(A23,①出口报关!$A$4:$A$303,0)),"编号不存在"))</f>
        <v/>
      </c>
      <c r="C23" s="30" t="str">
        <f aca="false">IF(A23="","",IFERROR(IF(INDEX(①出口报关!$D$4:$D$303,MATCH(A23,①出口报关!$A$4:$A$303,0))=0,"",INDEX(①出口报关!$D$4:$D$303,MATCH(A23,①出口报关!$A$4:$A$303,0))),"编号不存在"))</f>
        <v/>
      </c>
      <c r="D23" s="43"/>
      <c r="E23" s="45"/>
      <c r="F23" s="41"/>
      <c r="G23" s="48"/>
      <c r="H23" s="46"/>
      <c r="I23" s="41"/>
      <c r="J23" s="30" t="str">
        <f aca="false">IF(AND(D23="未售-海外仓预退（HWC-YT）",ISNUMBER(I23)),DATE(YEAR(I23)+1,4,30),"")</f>
        <v/>
      </c>
      <c r="K23" s="51" t="str">
        <f aca="true">IF(J23="","",IF(Q23&lt;&gt;"","",J23-TODAY()))</f>
        <v/>
      </c>
      <c r="L23" s="31" t="str">
        <f aca="false">IF(OR(A23="",D23&lt;&gt;"未售-海外仓预退（HWC-YT）"),"",MIN(N(E23),MAX(0,SUMIFS(②销售核销!$I$4:$I$603,②销售核销!$E$4:$E$603,A23)-SUMIFS($E$4:$E$303,$A$4:$A$303,A23,$D$4:$D$303,"已售-按现行规定申报"))))</f>
        <v/>
      </c>
      <c r="M23" s="34" t="str">
        <f aca="false">IF(OR(L23="",N(E23)=0,H23=""),"",ROUND(H23/E23*L23,2))</f>
        <v/>
      </c>
      <c r="N23" s="46"/>
      <c r="O23" s="34" t="str">
        <f aca="false">IF(OR(N23="",H23=""),"",ROUND(N23-H23,2))</f>
        <v/>
      </c>
      <c r="P23" s="36" t="str">
        <f aca="false">IF(OR(A23="",D23&lt;&gt;"未售-海外仓预退（HWC-YT）"),"",IF(L23=0,"仍未销售：需要调整申报，全额缴回预退税",IF(L23&lt;N(E23),"部分已售：需要调整申报，全额冲减后按已售部分重报",IF(N23="","全部已售：填入实际应退税额后判断",IF(O23=0,"全部已售、无差异：无需调整申报","全部已售、有差异：需要调整申报")))))</f>
        <v/>
      </c>
      <c r="Q23" s="41"/>
      <c r="R23" s="44"/>
      <c r="S23" s="36" t="str">
        <f aca="false">IF(A23="","",IF(D23="","请选择申报方式",IF(D23&lt;&gt;"未售-海外仓预退（HWC-YT）","不涉及核算",IF(Q23&lt;&gt;"","已核算",IF(J23="","待税务办结",IF(K23&lt;0,"已逾期：税务将追回预退税",IF(K23&lt;=60,"临近截止（60天内）","待核算")))))))</f>
        <v/>
      </c>
      <c r="T23" s="30" t="str">
        <f aca="false">IF(ISNUMBER(C23),DATE(YEAR(C23)+1,4,30),"")</f>
        <v/>
      </c>
      <c r="U23" s="43"/>
    </row>
    <row r="24" customFormat="false" ht="21.75" hidden="false" customHeight="true" outlineLevel="0" collapsed="false">
      <c r="A24" s="44"/>
      <c r="B24" s="36" t="str">
        <f aca="false">IF(A24="","",IFERROR(INDEX(①出口报关!$I$4:$I$303,MATCH(A24,①出口报关!$A$4:$A$303,0)),"编号不存在"))</f>
        <v/>
      </c>
      <c r="C24" s="30" t="str">
        <f aca="false">IF(A24="","",IFERROR(IF(INDEX(①出口报关!$D$4:$D$303,MATCH(A24,①出口报关!$A$4:$A$303,0))=0,"",INDEX(①出口报关!$D$4:$D$303,MATCH(A24,①出口报关!$A$4:$A$303,0))),"编号不存在"))</f>
        <v/>
      </c>
      <c r="D24" s="43"/>
      <c r="E24" s="45"/>
      <c r="F24" s="41"/>
      <c r="G24" s="48"/>
      <c r="H24" s="46"/>
      <c r="I24" s="41"/>
      <c r="J24" s="30" t="str">
        <f aca="false">IF(AND(D24="未售-海外仓预退（HWC-YT）",ISNUMBER(I24)),DATE(YEAR(I24)+1,4,30),"")</f>
        <v/>
      </c>
      <c r="K24" s="51" t="str">
        <f aca="true">IF(J24="","",IF(Q24&lt;&gt;"","",J24-TODAY()))</f>
        <v/>
      </c>
      <c r="L24" s="31" t="str">
        <f aca="false">IF(OR(A24="",D24&lt;&gt;"未售-海外仓预退（HWC-YT）"),"",MIN(N(E24),MAX(0,SUMIFS(②销售核销!$I$4:$I$603,②销售核销!$E$4:$E$603,A24)-SUMIFS($E$4:$E$303,$A$4:$A$303,A24,$D$4:$D$303,"已售-按现行规定申报"))))</f>
        <v/>
      </c>
      <c r="M24" s="34" t="str">
        <f aca="false">IF(OR(L24="",N(E24)=0,H24=""),"",ROUND(H24/E24*L24,2))</f>
        <v/>
      </c>
      <c r="N24" s="46"/>
      <c r="O24" s="34" t="str">
        <f aca="false">IF(OR(N24="",H24=""),"",ROUND(N24-H24,2))</f>
        <v/>
      </c>
      <c r="P24" s="36" t="str">
        <f aca="false">IF(OR(A24="",D24&lt;&gt;"未售-海外仓预退（HWC-YT）"),"",IF(L24=0,"仍未销售：需要调整申报，全额缴回预退税",IF(L24&lt;N(E24),"部分已售：需要调整申报，全额冲减后按已售部分重报",IF(N24="","全部已售：填入实际应退税额后判断",IF(O24=0,"全部已售、无差异：无需调整申报","全部已售、有差异：需要调整申报")))))</f>
        <v/>
      </c>
      <c r="Q24" s="41"/>
      <c r="R24" s="44"/>
      <c r="S24" s="36" t="str">
        <f aca="false">IF(A24="","",IF(D24="","请选择申报方式",IF(D24&lt;&gt;"未售-海外仓预退（HWC-YT）","不涉及核算",IF(Q24&lt;&gt;"","已核算",IF(J24="","待税务办结",IF(K24&lt;0,"已逾期：税务将追回预退税",IF(K24&lt;=60,"临近截止（60天内）","待核算")))))))</f>
        <v/>
      </c>
      <c r="T24" s="30" t="str">
        <f aca="false">IF(ISNUMBER(C24),DATE(YEAR(C24)+1,4,30),"")</f>
        <v/>
      </c>
      <c r="U24" s="43"/>
    </row>
    <row r="25" customFormat="false" ht="21.75" hidden="false" customHeight="true" outlineLevel="0" collapsed="false">
      <c r="A25" s="44"/>
      <c r="B25" s="36" t="str">
        <f aca="false">IF(A25="","",IFERROR(INDEX(①出口报关!$I$4:$I$303,MATCH(A25,①出口报关!$A$4:$A$303,0)),"编号不存在"))</f>
        <v/>
      </c>
      <c r="C25" s="30" t="str">
        <f aca="false">IF(A25="","",IFERROR(IF(INDEX(①出口报关!$D$4:$D$303,MATCH(A25,①出口报关!$A$4:$A$303,0))=0,"",INDEX(①出口报关!$D$4:$D$303,MATCH(A25,①出口报关!$A$4:$A$303,0))),"编号不存在"))</f>
        <v/>
      </c>
      <c r="D25" s="43"/>
      <c r="E25" s="45"/>
      <c r="F25" s="41"/>
      <c r="G25" s="48"/>
      <c r="H25" s="46"/>
      <c r="I25" s="41"/>
      <c r="J25" s="30" t="str">
        <f aca="false">IF(AND(D25="未售-海外仓预退（HWC-YT）",ISNUMBER(I25)),DATE(YEAR(I25)+1,4,30),"")</f>
        <v/>
      </c>
      <c r="K25" s="51" t="str">
        <f aca="true">IF(J25="","",IF(Q25&lt;&gt;"","",J25-TODAY()))</f>
        <v/>
      </c>
      <c r="L25" s="31" t="str">
        <f aca="false">IF(OR(A25="",D25&lt;&gt;"未售-海外仓预退（HWC-YT）"),"",MIN(N(E25),MAX(0,SUMIFS(②销售核销!$I$4:$I$603,②销售核销!$E$4:$E$603,A25)-SUMIFS($E$4:$E$303,$A$4:$A$303,A25,$D$4:$D$303,"已售-按现行规定申报"))))</f>
        <v/>
      </c>
      <c r="M25" s="34" t="str">
        <f aca="false">IF(OR(L25="",N(E25)=0,H25=""),"",ROUND(H25/E25*L25,2))</f>
        <v/>
      </c>
      <c r="N25" s="46"/>
      <c r="O25" s="34" t="str">
        <f aca="false">IF(OR(N25="",H25=""),"",ROUND(N25-H25,2))</f>
        <v/>
      </c>
      <c r="P25" s="36" t="str">
        <f aca="false">IF(OR(A25="",D25&lt;&gt;"未售-海外仓预退（HWC-YT）"),"",IF(L25=0,"仍未销售：需要调整申报，全额缴回预退税",IF(L25&lt;N(E25),"部分已售：需要调整申报，全额冲减后按已售部分重报",IF(N25="","全部已售：填入实际应退税额后判断",IF(O25=0,"全部已售、无差异：无需调整申报","全部已售、有差异：需要调整申报")))))</f>
        <v/>
      </c>
      <c r="Q25" s="41"/>
      <c r="R25" s="44"/>
      <c r="S25" s="36" t="str">
        <f aca="false">IF(A25="","",IF(D25="","请选择申报方式",IF(D25&lt;&gt;"未售-海外仓预退（HWC-YT）","不涉及核算",IF(Q25&lt;&gt;"","已核算",IF(J25="","待税务办结",IF(K25&lt;0,"已逾期：税务将追回预退税",IF(K25&lt;=60,"临近截止（60天内）","待核算")))))))</f>
        <v/>
      </c>
      <c r="T25" s="30" t="str">
        <f aca="false">IF(ISNUMBER(C25),DATE(YEAR(C25)+1,4,30),"")</f>
        <v/>
      </c>
      <c r="U25" s="43"/>
    </row>
    <row r="26" customFormat="false" ht="21.75" hidden="false" customHeight="true" outlineLevel="0" collapsed="false">
      <c r="A26" s="44"/>
      <c r="B26" s="36" t="str">
        <f aca="false">IF(A26="","",IFERROR(INDEX(①出口报关!$I$4:$I$303,MATCH(A26,①出口报关!$A$4:$A$303,0)),"编号不存在"))</f>
        <v/>
      </c>
      <c r="C26" s="30" t="str">
        <f aca="false">IF(A26="","",IFERROR(IF(INDEX(①出口报关!$D$4:$D$303,MATCH(A26,①出口报关!$A$4:$A$303,0))=0,"",INDEX(①出口报关!$D$4:$D$303,MATCH(A26,①出口报关!$A$4:$A$303,0))),"编号不存在"))</f>
        <v/>
      </c>
      <c r="D26" s="43"/>
      <c r="E26" s="45"/>
      <c r="F26" s="41"/>
      <c r="G26" s="48"/>
      <c r="H26" s="46"/>
      <c r="I26" s="41"/>
      <c r="J26" s="30" t="str">
        <f aca="false">IF(AND(D26="未售-海外仓预退（HWC-YT）",ISNUMBER(I26)),DATE(YEAR(I26)+1,4,30),"")</f>
        <v/>
      </c>
      <c r="K26" s="51" t="str">
        <f aca="true">IF(J26="","",IF(Q26&lt;&gt;"","",J26-TODAY()))</f>
        <v/>
      </c>
      <c r="L26" s="31" t="str">
        <f aca="false">IF(OR(A26="",D26&lt;&gt;"未售-海外仓预退（HWC-YT）"),"",MIN(N(E26),MAX(0,SUMIFS(②销售核销!$I$4:$I$603,②销售核销!$E$4:$E$603,A26)-SUMIFS($E$4:$E$303,$A$4:$A$303,A26,$D$4:$D$303,"已售-按现行规定申报"))))</f>
        <v/>
      </c>
      <c r="M26" s="34" t="str">
        <f aca="false">IF(OR(L26="",N(E26)=0,H26=""),"",ROUND(H26/E26*L26,2))</f>
        <v/>
      </c>
      <c r="N26" s="46"/>
      <c r="O26" s="34" t="str">
        <f aca="false">IF(OR(N26="",H26=""),"",ROUND(N26-H26,2))</f>
        <v/>
      </c>
      <c r="P26" s="36" t="str">
        <f aca="false">IF(OR(A26="",D26&lt;&gt;"未售-海外仓预退（HWC-YT）"),"",IF(L26=0,"仍未销售：需要调整申报，全额缴回预退税",IF(L26&lt;N(E26),"部分已售：需要调整申报，全额冲减后按已售部分重报",IF(N26="","全部已售：填入实际应退税额后判断",IF(O26=0,"全部已售、无差异：无需调整申报","全部已售、有差异：需要调整申报")))))</f>
        <v/>
      </c>
      <c r="Q26" s="41"/>
      <c r="R26" s="44"/>
      <c r="S26" s="36" t="str">
        <f aca="false">IF(A26="","",IF(D26="","请选择申报方式",IF(D26&lt;&gt;"未售-海外仓预退（HWC-YT）","不涉及核算",IF(Q26&lt;&gt;"","已核算",IF(J26="","待税务办结",IF(K26&lt;0,"已逾期：税务将追回预退税",IF(K26&lt;=60,"临近截止（60天内）","待核算")))))))</f>
        <v/>
      </c>
      <c r="T26" s="30" t="str">
        <f aca="false">IF(ISNUMBER(C26),DATE(YEAR(C26)+1,4,30),"")</f>
        <v/>
      </c>
      <c r="U26" s="43"/>
    </row>
    <row r="27" customFormat="false" ht="21.75" hidden="false" customHeight="true" outlineLevel="0" collapsed="false">
      <c r="A27" s="44"/>
      <c r="B27" s="36" t="str">
        <f aca="false">IF(A27="","",IFERROR(INDEX(①出口报关!$I$4:$I$303,MATCH(A27,①出口报关!$A$4:$A$303,0)),"编号不存在"))</f>
        <v/>
      </c>
      <c r="C27" s="30" t="str">
        <f aca="false">IF(A27="","",IFERROR(IF(INDEX(①出口报关!$D$4:$D$303,MATCH(A27,①出口报关!$A$4:$A$303,0))=0,"",INDEX(①出口报关!$D$4:$D$303,MATCH(A27,①出口报关!$A$4:$A$303,0))),"编号不存在"))</f>
        <v/>
      </c>
      <c r="D27" s="43"/>
      <c r="E27" s="45"/>
      <c r="F27" s="41"/>
      <c r="G27" s="48"/>
      <c r="H27" s="46"/>
      <c r="I27" s="41"/>
      <c r="J27" s="30" t="str">
        <f aca="false">IF(AND(D27="未售-海外仓预退（HWC-YT）",ISNUMBER(I27)),DATE(YEAR(I27)+1,4,30),"")</f>
        <v/>
      </c>
      <c r="K27" s="51" t="str">
        <f aca="true">IF(J27="","",IF(Q27&lt;&gt;"","",J27-TODAY()))</f>
        <v/>
      </c>
      <c r="L27" s="31" t="str">
        <f aca="false">IF(OR(A27="",D27&lt;&gt;"未售-海外仓预退（HWC-YT）"),"",MIN(N(E27),MAX(0,SUMIFS(②销售核销!$I$4:$I$603,②销售核销!$E$4:$E$603,A27)-SUMIFS($E$4:$E$303,$A$4:$A$303,A27,$D$4:$D$303,"已售-按现行规定申报"))))</f>
        <v/>
      </c>
      <c r="M27" s="34" t="str">
        <f aca="false">IF(OR(L27="",N(E27)=0,H27=""),"",ROUND(H27/E27*L27,2))</f>
        <v/>
      </c>
      <c r="N27" s="46"/>
      <c r="O27" s="34" t="str">
        <f aca="false">IF(OR(N27="",H27=""),"",ROUND(N27-H27,2))</f>
        <v/>
      </c>
      <c r="P27" s="36" t="str">
        <f aca="false">IF(OR(A27="",D27&lt;&gt;"未售-海外仓预退（HWC-YT）"),"",IF(L27=0,"仍未销售：需要调整申报，全额缴回预退税",IF(L27&lt;N(E27),"部分已售：需要调整申报，全额冲减后按已售部分重报",IF(N27="","全部已售：填入实际应退税额后判断",IF(O27=0,"全部已售、无差异：无需调整申报","全部已售、有差异：需要调整申报")))))</f>
        <v/>
      </c>
      <c r="Q27" s="41"/>
      <c r="R27" s="44"/>
      <c r="S27" s="36" t="str">
        <f aca="false">IF(A27="","",IF(D27="","请选择申报方式",IF(D27&lt;&gt;"未售-海外仓预退（HWC-YT）","不涉及核算",IF(Q27&lt;&gt;"","已核算",IF(J27="","待税务办结",IF(K27&lt;0,"已逾期：税务将追回预退税",IF(K27&lt;=60,"临近截止（60天内）","待核算")))))))</f>
        <v/>
      </c>
      <c r="T27" s="30" t="str">
        <f aca="false">IF(ISNUMBER(C27),DATE(YEAR(C27)+1,4,30),"")</f>
        <v/>
      </c>
      <c r="U27" s="43"/>
    </row>
    <row r="28" customFormat="false" ht="21.75" hidden="false" customHeight="true" outlineLevel="0" collapsed="false">
      <c r="A28" s="44"/>
      <c r="B28" s="36" t="str">
        <f aca="false">IF(A28="","",IFERROR(INDEX(①出口报关!$I$4:$I$303,MATCH(A28,①出口报关!$A$4:$A$303,0)),"编号不存在"))</f>
        <v/>
      </c>
      <c r="C28" s="30" t="str">
        <f aca="false">IF(A28="","",IFERROR(IF(INDEX(①出口报关!$D$4:$D$303,MATCH(A28,①出口报关!$A$4:$A$303,0))=0,"",INDEX(①出口报关!$D$4:$D$303,MATCH(A28,①出口报关!$A$4:$A$303,0))),"编号不存在"))</f>
        <v/>
      </c>
      <c r="D28" s="43"/>
      <c r="E28" s="45"/>
      <c r="F28" s="41"/>
      <c r="G28" s="48"/>
      <c r="H28" s="46"/>
      <c r="I28" s="41"/>
      <c r="J28" s="30" t="str">
        <f aca="false">IF(AND(D28="未售-海外仓预退（HWC-YT）",ISNUMBER(I28)),DATE(YEAR(I28)+1,4,30),"")</f>
        <v/>
      </c>
      <c r="K28" s="51" t="str">
        <f aca="true">IF(J28="","",IF(Q28&lt;&gt;"","",J28-TODAY()))</f>
        <v/>
      </c>
      <c r="L28" s="31" t="str">
        <f aca="false">IF(OR(A28="",D28&lt;&gt;"未售-海外仓预退（HWC-YT）"),"",MIN(N(E28),MAX(0,SUMIFS(②销售核销!$I$4:$I$603,②销售核销!$E$4:$E$603,A28)-SUMIFS($E$4:$E$303,$A$4:$A$303,A28,$D$4:$D$303,"已售-按现行规定申报"))))</f>
        <v/>
      </c>
      <c r="M28" s="34" t="str">
        <f aca="false">IF(OR(L28="",N(E28)=0,H28=""),"",ROUND(H28/E28*L28,2))</f>
        <v/>
      </c>
      <c r="N28" s="46"/>
      <c r="O28" s="34" t="str">
        <f aca="false">IF(OR(N28="",H28=""),"",ROUND(N28-H28,2))</f>
        <v/>
      </c>
      <c r="P28" s="36" t="str">
        <f aca="false">IF(OR(A28="",D28&lt;&gt;"未售-海外仓预退（HWC-YT）"),"",IF(L28=0,"仍未销售：需要调整申报，全额缴回预退税",IF(L28&lt;N(E28),"部分已售：需要调整申报，全额冲减后按已售部分重报",IF(N28="","全部已售：填入实际应退税额后判断",IF(O28=0,"全部已售、无差异：无需调整申报","全部已售、有差异：需要调整申报")))))</f>
        <v/>
      </c>
      <c r="Q28" s="41"/>
      <c r="R28" s="44"/>
      <c r="S28" s="36" t="str">
        <f aca="false">IF(A28="","",IF(D28="","请选择申报方式",IF(D28&lt;&gt;"未售-海外仓预退（HWC-YT）","不涉及核算",IF(Q28&lt;&gt;"","已核算",IF(J28="","待税务办结",IF(K28&lt;0,"已逾期：税务将追回预退税",IF(K28&lt;=60,"临近截止（60天内）","待核算")))))))</f>
        <v/>
      </c>
      <c r="T28" s="30" t="str">
        <f aca="false">IF(ISNUMBER(C28),DATE(YEAR(C28)+1,4,30),"")</f>
        <v/>
      </c>
      <c r="U28" s="43"/>
    </row>
    <row r="29" customFormat="false" ht="21.75" hidden="false" customHeight="true" outlineLevel="0" collapsed="false">
      <c r="A29" s="44"/>
      <c r="B29" s="36" t="str">
        <f aca="false">IF(A29="","",IFERROR(INDEX(①出口报关!$I$4:$I$303,MATCH(A29,①出口报关!$A$4:$A$303,0)),"编号不存在"))</f>
        <v/>
      </c>
      <c r="C29" s="30" t="str">
        <f aca="false">IF(A29="","",IFERROR(IF(INDEX(①出口报关!$D$4:$D$303,MATCH(A29,①出口报关!$A$4:$A$303,0))=0,"",INDEX(①出口报关!$D$4:$D$303,MATCH(A29,①出口报关!$A$4:$A$303,0))),"编号不存在"))</f>
        <v/>
      </c>
      <c r="D29" s="43"/>
      <c r="E29" s="45"/>
      <c r="F29" s="41"/>
      <c r="G29" s="48"/>
      <c r="H29" s="46"/>
      <c r="I29" s="41"/>
      <c r="J29" s="30" t="str">
        <f aca="false">IF(AND(D29="未售-海外仓预退（HWC-YT）",ISNUMBER(I29)),DATE(YEAR(I29)+1,4,30),"")</f>
        <v/>
      </c>
      <c r="K29" s="51" t="str">
        <f aca="true">IF(J29="","",IF(Q29&lt;&gt;"","",J29-TODAY()))</f>
        <v/>
      </c>
      <c r="L29" s="31" t="str">
        <f aca="false">IF(OR(A29="",D29&lt;&gt;"未售-海外仓预退（HWC-YT）"),"",MIN(N(E29),MAX(0,SUMIFS(②销售核销!$I$4:$I$603,②销售核销!$E$4:$E$603,A29)-SUMIFS($E$4:$E$303,$A$4:$A$303,A29,$D$4:$D$303,"已售-按现行规定申报"))))</f>
        <v/>
      </c>
      <c r="M29" s="34" t="str">
        <f aca="false">IF(OR(L29="",N(E29)=0,H29=""),"",ROUND(H29/E29*L29,2))</f>
        <v/>
      </c>
      <c r="N29" s="46"/>
      <c r="O29" s="34" t="str">
        <f aca="false">IF(OR(N29="",H29=""),"",ROUND(N29-H29,2))</f>
        <v/>
      </c>
      <c r="P29" s="36" t="str">
        <f aca="false">IF(OR(A29="",D29&lt;&gt;"未售-海外仓预退（HWC-YT）"),"",IF(L29=0,"仍未销售：需要调整申报，全额缴回预退税",IF(L29&lt;N(E29),"部分已售：需要调整申报，全额冲减后按已售部分重报",IF(N29="","全部已售：填入实际应退税额后判断",IF(O29=0,"全部已售、无差异：无需调整申报","全部已售、有差异：需要调整申报")))))</f>
        <v/>
      </c>
      <c r="Q29" s="41"/>
      <c r="R29" s="44"/>
      <c r="S29" s="36" t="str">
        <f aca="false">IF(A29="","",IF(D29="","请选择申报方式",IF(D29&lt;&gt;"未售-海外仓预退（HWC-YT）","不涉及核算",IF(Q29&lt;&gt;"","已核算",IF(J29="","待税务办结",IF(K29&lt;0,"已逾期：税务将追回预退税",IF(K29&lt;=60,"临近截止（60天内）","待核算")))))))</f>
        <v/>
      </c>
      <c r="T29" s="30" t="str">
        <f aca="false">IF(ISNUMBER(C29),DATE(YEAR(C29)+1,4,30),"")</f>
        <v/>
      </c>
      <c r="U29" s="43"/>
    </row>
    <row r="30" customFormat="false" ht="21.75" hidden="false" customHeight="true" outlineLevel="0" collapsed="false">
      <c r="A30" s="44"/>
      <c r="B30" s="36" t="str">
        <f aca="false">IF(A30="","",IFERROR(INDEX(①出口报关!$I$4:$I$303,MATCH(A30,①出口报关!$A$4:$A$303,0)),"编号不存在"))</f>
        <v/>
      </c>
      <c r="C30" s="30" t="str">
        <f aca="false">IF(A30="","",IFERROR(IF(INDEX(①出口报关!$D$4:$D$303,MATCH(A30,①出口报关!$A$4:$A$303,0))=0,"",INDEX(①出口报关!$D$4:$D$303,MATCH(A30,①出口报关!$A$4:$A$303,0))),"编号不存在"))</f>
        <v/>
      </c>
      <c r="D30" s="43"/>
      <c r="E30" s="45"/>
      <c r="F30" s="41"/>
      <c r="G30" s="48"/>
      <c r="H30" s="46"/>
      <c r="I30" s="41"/>
      <c r="J30" s="30" t="str">
        <f aca="false">IF(AND(D30="未售-海外仓预退（HWC-YT）",ISNUMBER(I30)),DATE(YEAR(I30)+1,4,30),"")</f>
        <v/>
      </c>
      <c r="K30" s="51" t="str">
        <f aca="true">IF(J30="","",IF(Q30&lt;&gt;"","",J30-TODAY()))</f>
        <v/>
      </c>
      <c r="L30" s="31" t="str">
        <f aca="false">IF(OR(A30="",D30&lt;&gt;"未售-海外仓预退（HWC-YT）"),"",MIN(N(E30),MAX(0,SUMIFS(②销售核销!$I$4:$I$603,②销售核销!$E$4:$E$603,A30)-SUMIFS($E$4:$E$303,$A$4:$A$303,A30,$D$4:$D$303,"已售-按现行规定申报"))))</f>
        <v/>
      </c>
      <c r="M30" s="34" t="str">
        <f aca="false">IF(OR(L30="",N(E30)=0,H30=""),"",ROUND(H30/E30*L30,2))</f>
        <v/>
      </c>
      <c r="N30" s="46"/>
      <c r="O30" s="34" t="str">
        <f aca="false">IF(OR(N30="",H30=""),"",ROUND(N30-H30,2))</f>
        <v/>
      </c>
      <c r="P30" s="36" t="str">
        <f aca="false">IF(OR(A30="",D30&lt;&gt;"未售-海外仓预退（HWC-YT）"),"",IF(L30=0,"仍未销售：需要调整申报，全额缴回预退税",IF(L30&lt;N(E30),"部分已售：需要调整申报，全额冲减后按已售部分重报",IF(N30="","全部已售：填入实际应退税额后判断",IF(O30=0,"全部已售、无差异：无需调整申报","全部已售、有差异：需要调整申报")))))</f>
        <v/>
      </c>
      <c r="Q30" s="41"/>
      <c r="R30" s="44"/>
      <c r="S30" s="36" t="str">
        <f aca="false">IF(A30="","",IF(D30="","请选择申报方式",IF(D30&lt;&gt;"未售-海外仓预退（HWC-YT）","不涉及核算",IF(Q30&lt;&gt;"","已核算",IF(J30="","待税务办结",IF(K30&lt;0,"已逾期：税务将追回预退税",IF(K30&lt;=60,"临近截止（60天内）","待核算")))))))</f>
        <v/>
      </c>
      <c r="T30" s="30" t="str">
        <f aca="false">IF(ISNUMBER(C30),DATE(YEAR(C30)+1,4,30),"")</f>
        <v/>
      </c>
      <c r="U30" s="43"/>
    </row>
    <row r="31" customFormat="false" ht="21.75" hidden="false" customHeight="true" outlineLevel="0" collapsed="false">
      <c r="A31" s="44"/>
      <c r="B31" s="36" t="str">
        <f aca="false">IF(A31="","",IFERROR(INDEX(①出口报关!$I$4:$I$303,MATCH(A31,①出口报关!$A$4:$A$303,0)),"编号不存在"))</f>
        <v/>
      </c>
      <c r="C31" s="30" t="str">
        <f aca="false">IF(A31="","",IFERROR(IF(INDEX(①出口报关!$D$4:$D$303,MATCH(A31,①出口报关!$A$4:$A$303,0))=0,"",INDEX(①出口报关!$D$4:$D$303,MATCH(A31,①出口报关!$A$4:$A$303,0))),"编号不存在"))</f>
        <v/>
      </c>
      <c r="D31" s="43"/>
      <c r="E31" s="45"/>
      <c r="F31" s="41"/>
      <c r="G31" s="48"/>
      <c r="H31" s="46"/>
      <c r="I31" s="41"/>
      <c r="J31" s="30" t="str">
        <f aca="false">IF(AND(D31="未售-海外仓预退（HWC-YT）",ISNUMBER(I31)),DATE(YEAR(I31)+1,4,30),"")</f>
        <v/>
      </c>
      <c r="K31" s="51" t="str">
        <f aca="true">IF(J31="","",IF(Q31&lt;&gt;"","",J31-TODAY()))</f>
        <v/>
      </c>
      <c r="L31" s="31" t="str">
        <f aca="false">IF(OR(A31="",D31&lt;&gt;"未售-海外仓预退（HWC-YT）"),"",MIN(N(E31),MAX(0,SUMIFS(②销售核销!$I$4:$I$603,②销售核销!$E$4:$E$603,A31)-SUMIFS($E$4:$E$303,$A$4:$A$303,A31,$D$4:$D$303,"已售-按现行规定申报"))))</f>
        <v/>
      </c>
      <c r="M31" s="34" t="str">
        <f aca="false">IF(OR(L31="",N(E31)=0,H31=""),"",ROUND(H31/E31*L31,2))</f>
        <v/>
      </c>
      <c r="N31" s="46"/>
      <c r="O31" s="34" t="str">
        <f aca="false">IF(OR(N31="",H31=""),"",ROUND(N31-H31,2))</f>
        <v/>
      </c>
      <c r="P31" s="36" t="str">
        <f aca="false">IF(OR(A31="",D31&lt;&gt;"未售-海外仓预退（HWC-YT）"),"",IF(L31=0,"仍未销售：需要调整申报，全额缴回预退税",IF(L31&lt;N(E31),"部分已售：需要调整申报，全额冲减后按已售部分重报",IF(N31="","全部已售：填入实际应退税额后判断",IF(O31=0,"全部已售、无差异：无需调整申报","全部已售、有差异：需要调整申报")))))</f>
        <v/>
      </c>
      <c r="Q31" s="41"/>
      <c r="R31" s="44"/>
      <c r="S31" s="36" t="str">
        <f aca="false">IF(A31="","",IF(D31="","请选择申报方式",IF(D31&lt;&gt;"未售-海外仓预退（HWC-YT）","不涉及核算",IF(Q31&lt;&gt;"","已核算",IF(J31="","待税务办结",IF(K31&lt;0,"已逾期：税务将追回预退税",IF(K31&lt;=60,"临近截止（60天内）","待核算")))))))</f>
        <v/>
      </c>
      <c r="T31" s="30" t="str">
        <f aca="false">IF(ISNUMBER(C31),DATE(YEAR(C31)+1,4,30),"")</f>
        <v/>
      </c>
      <c r="U31" s="43"/>
    </row>
    <row r="32" customFormat="false" ht="21.75" hidden="false" customHeight="true" outlineLevel="0" collapsed="false">
      <c r="A32" s="44"/>
      <c r="B32" s="36" t="str">
        <f aca="false">IF(A32="","",IFERROR(INDEX(①出口报关!$I$4:$I$303,MATCH(A32,①出口报关!$A$4:$A$303,0)),"编号不存在"))</f>
        <v/>
      </c>
      <c r="C32" s="30" t="str">
        <f aca="false">IF(A32="","",IFERROR(IF(INDEX(①出口报关!$D$4:$D$303,MATCH(A32,①出口报关!$A$4:$A$303,0))=0,"",INDEX(①出口报关!$D$4:$D$303,MATCH(A32,①出口报关!$A$4:$A$303,0))),"编号不存在"))</f>
        <v/>
      </c>
      <c r="D32" s="43"/>
      <c r="E32" s="45"/>
      <c r="F32" s="41"/>
      <c r="G32" s="48"/>
      <c r="H32" s="46"/>
      <c r="I32" s="41"/>
      <c r="J32" s="30" t="str">
        <f aca="false">IF(AND(D32="未售-海外仓预退（HWC-YT）",ISNUMBER(I32)),DATE(YEAR(I32)+1,4,30),"")</f>
        <v/>
      </c>
      <c r="K32" s="51" t="str">
        <f aca="true">IF(J32="","",IF(Q32&lt;&gt;"","",J32-TODAY()))</f>
        <v/>
      </c>
      <c r="L32" s="31" t="str">
        <f aca="false">IF(OR(A32="",D32&lt;&gt;"未售-海外仓预退（HWC-YT）"),"",MIN(N(E32),MAX(0,SUMIFS(②销售核销!$I$4:$I$603,②销售核销!$E$4:$E$603,A32)-SUMIFS($E$4:$E$303,$A$4:$A$303,A32,$D$4:$D$303,"已售-按现行规定申报"))))</f>
        <v/>
      </c>
      <c r="M32" s="34" t="str">
        <f aca="false">IF(OR(L32="",N(E32)=0,H32=""),"",ROUND(H32/E32*L32,2))</f>
        <v/>
      </c>
      <c r="N32" s="46"/>
      <c r="O32" s="34" t="str">
        <f aca="false">IF(OR(N32="",H32=""),"",ROUND(N32-H32,2))</f>
        <v/>
      </c>
      <c r="P32" s="36" t="str">
        <f aca="false">IF(OR(A32="",D32&lt;&gt;"未售-海外仓预退（HWC-YT）"),"",IF(L32=0,"仍未销售：需要调整申报，全额缴回预退税",IF(L32&lt;N(E32),"部分已售：需要调整申报，全额冲减后按已售部分重报",IF(N32="","全部已售：填入实际应退税额后判断",IF(O32=0,"全部已售、无差异：无需调整申报","全部已售、有差异：需要调整申报")))))</f>
        <v/>
      </c>
      <c r="Q32" s="41"/>
      <c r="R32" s="44"/>
      <c r="S32" s="36" t="str">
        <f aca="false">IF(A32="","",IF(D32="","请选择申报方式",IF(D32&lt;&gt;"未售-海外仓预退（HWC-YT）","不涉及核算",IF(Q32&lt;&gt;"","已核算",IF(J32="","待税务办结",IF(K32&lt;0,"已逾期：税务将追回预退税",IF(K32&lt;=60,"临近截止（60天内）","待核算")))))))</f>
        <v/>
      </c>
      <c r="T32" s="30" t="str">
        <f aca="false">IF(ISNUMBER(C32),DATE(YEAR(C32)+1,4,30),"")</f>
        <v/>
      </c>
      <c r="U32" s="43"/>
    </row>
    <row r="33" customFormat="false" ht="21.75" hidden="false" customHeight="true" outlineLevel="0" collapsed="false">
      <c r="A33" s="44"/>
      <c r="B33" s="36" t="str">
        <f aca="false">IF(A33="","",IFERROR(INDEX(①出口报关!$I$4:$I$303,MATCH(A33,①出口报关!$A$4:$A$303,0)),"编号不存在"))</f>
        <v/>
      </c>
      <c r="C33" s="30" t="str">
        <f aca="false">IF(A33="","",IFERROR(IF(INDEX(①出口报关!$D$4:$D$303,MATCH(A33,①出口报关!$A$4:$A$303,0))=0,"",INDEX(①出口报关!$D$4:$D$303,MATCH(A33,①出口报关!$A$4:$A$303,0))),"编号不存在"))</f>
        <v/>
      </c>
      <c r="D33" s="43"/>
      <c r="E33" s="45"/>
      <c r="F33" s="41"/>
      <c r="G33" s="48"/>
      <c r="H33" s="46"/>
      <c r="I33" s="41"/>
      <c r="J33" s="30" t="str">
        <f aca="false">IF(AND(D33="未售-海外仓预退（HWC-YT）",ISNUMBER(I33)),DATE(YEAR(I33)+1,4,30),"")</f>
        <v/>
      </c>
      <c r="K33" s="51" t="str">
        <f aca="true">IF(J33="","",IF(Q33&lt;&gt;"","",J33-TODAY()))</f>
        <v/>
      </c>
      <c r="L33" s="31" t="str">
        <f aca="false">IF(OR(A33="",D33&lt;&gt;"未售-海外仓预退（HWC-YT）"),"",MIN(N(E33),MAX(0,SUMIFS(②销售核销!$I$4:$I$603,②销售核销!$E$4:$E$603,A33)-SUMIFS($E$4:$E$303,$A$4:$A$303,A33,$D$4:$D$303,"已售-按现行规定申报"))))</f>
        <v/>
      </c>
      <c r="M33" s="34" t="str">
        <f aca="false">IF(OR(L33="",N(E33)=0,H33=""),"",ROUND(H33/E33*L33,2))</f>
        <v/>
      </c>
      <c r="N33" s="46"/>
      <c r="O33" s="34" t="str">
        <f aca="false">IF(OR(N33="",H33=""),"",ROUND(N33-H33,2))</f>
        <v/>
      </c>
      <c r="P33" s="36" t="str">
        <f aca="false">IF(OR(A33="",D33&lt;&gt;"未售-海外仓预退（HWC-YT）"),"",IF(L33=0,"仍未销售：需要调整申报，全额缴回预退税",IF(L33&lt;N(E33),"部分已售：需要调整申报，全额冲减后按已售部分重报",IF(N33="","全部已售：填入实际应退税额后判断",IF(O33=0,"全部已售、无差异：无需调整申报","全部已售、有差异：需要调整申报")))))</f>
        <v/>
      </c>
      <c r="Q33" s="41"/>
      <c r="R33" s="44"/>
      <c r="S33" s="36" t="str">
        <f aca="false">IF(A33="","",IF(D33="","请选择申报方式",IF(D33&lt;&gt;"未售-海外仓预退（HWC-YT）","不涉及核算",IF(Q33&lt;&gt;"","已核算",IF(J33="","待税务办结",IF(K33&lt;0,"已逾期：税务将追回预退税",IF(K33&lt;=60,"临近截止（60天内）","待核算")))))))</f>
        <v/>
      </c>
      <c r="T33" s="30" t="str">
        <f aca="false">IF(ISNUMBER(C33),DATE(YEAR(C33)+1,4,30),"")</f>
        <v/>
      </c>
      <c r="U33" s="43"/>
    </row>
    <row r="34" customFormat="false" ht="21.75" hidden="false" customHeight="true" outlineLevel="0" collapsed="false">
      <c r="A34" s="44"/>
      <c r="B34" s="36" t="str">
        <f aca="false">IF(A34="","",IFERROR(INDEX(①出口报关!$I$4:$I$303,MATCH(A34,①出口报关!$A$4:$A$303,0)),"编号不存在"))</f>
        <v/>
      </c>
      <c r="C34" s="30" t="str">
        <f aca="false">IF(A34="","",IFERROR(IF(INDEX(①出口报关!$D$4:$D$303,MATCH(A34,①出口报关!$A$4:$A$303,0))=0,"",INDEX(①出口报关!$D$4:$D$303,MATCH(A34,①出口报关!$A$4:$A$303,0))),"编号不存在"))</f>
        <v/>
      </c>
      <c r="D34" s="43"/>
      <c r="E34" s="45"/>
      <c r="F34" s="41"/>
      <c r="G34" s="48"/>
      <c r="H34" s="46"/>
      <c r="I34" s="41"/>
      <c r="J34" s="30" t="str">
        <f aca="false">IF(AND(D34="未售-海外仓预退（HWC-YT）",ISNUMBER(I34)),DATE(YEAR(I34)+1,4,30),"")</f>
        <v/>
      </c>
      <c r="K34" s="51" t="str">
        <f aca="true">IF(J34="","",IF(Q34&lt;&gt;"","",J34-TODAY()))</f>
        <v/>
      </c>
      <c r="L34" s="31" t="str">
        <f aca="false">IF(OR(A34="",D34&lt;&gt;"未售-海外仓预退（HWC-YT）"),"",MIN(N(E34),MAX(0,SUMIFS(②销售核销!$I$4:$I$603,②销售核销!$E$4:$E$603,A34)-SUMIFS($E$4:$E$303,$A$4:$A$303,A34,$D$4:$D$303,"已售-按现行规定申报"))))</f>
        <v/>
      </c>
      <c r="M34" s="34" t="str">
        <f aca="false">IF(OR(L34="",N(E34)=0,H34=""),"",ROUND(H34/E34*L34,2))</f>
        <v/>
      </c>
      <c r="N34" s="46"/>
      <c r="O34" s="34" t="str">
        <f aca="false">IF(OR(N34="",H34=""),"",ROUND(N34-H34,2))</f>
        <v/>
      </c>
      <c r="P34" s="36" t="str">
        <f aca="false">IF(OR(A34="",D34&lt;&gt;"未售-海外仓预退（HWC-YT）"),"",IF(L34=0,"仍未销售：需要调整申报，全额缴回预退税",IF(L34&lt;N(E34),"部分已售：需要调整申报，全额冲减后按已售部分重报",IF(N34="","全部已售：填入实际应退税额后判断",IF(O34=0,"全部已售、无差异：无需调整申报","全部已售、有差异：需要调整申报")))))</f>
        <v/>
      </c>
      <c r="Q34" s="41"/>
      <c r="R34" s="44"/>
      <c r="S34" s="36" t="str">
        <f aca="false">IF(A34="","",IF(D34="","请选择申报方式",IF(D34&lt;&gt;"未售-海外仓预退（HWC-YT）","不涉及核算",IF(Q34&lt;&gt;"","已核算",IF(J34="","待税务办结",IF(K34&lt;0,"已逾期：税务将追回预退税",IF(K34&lt;=60,"临近截止（60天内）","待核算")))))))</f>
        <v/>
      </c>
      <c r="T34" s="30" t="str">
        <f aca="false">IF(ISNUMBER(C34),DATE(YEAR(C34)+1,4,30),"")</f>
        <v/>
      </c>
      <c r="U34" s="43"/>
    </row>
    <row r="35" customFormat="false" ht="21.75" hidden="false" customHeight="true" outlineLevel="0" collapsed="false">
      <c r="A35" s="44"/>
      <c r="B35" s="36" t="str">
        <f aca="false">IF(A35="","",IFERROR(INDEX(①出口报关!$I$4:$I$303,MATCH(A35,①出口报关!$A$4:$A$303,0)),"编号不存在"))</f>
        <v/>
      </c>
      <c r="C35" s="30" t="str">
        <f aca="false">IF(A35="","",IFERROR(IF(INDEX(①出口报关!$D$4:$D$303,MATCH(A35,①出口报关!$A$4:$A$303,0))=0,"",INDEX(①出口报关!$D$4:$D$303,MATCH(A35,①出口报关!$A$4:$A$303,0))),"编号不存在"))</f>
        <v/>
      </c>
      <c r="D35" s="43"/>
      <c r="E35" s="45"/>
      <c r="F35" s="41"/>
      <c r="G35" s="48"/>
      <c r="H35" s="46"/>
      <c r="I35" s="41"/>
      <c r="J35" s="30" t="str">
        <f aca="false">IF(AND(D35="未售-海外仓预退（HWC-YT）",ISNUMBER(I35)),DATE(YEAR(I35)+1,4,30),"")</f>
        <v/>
      </c>
      <c r="K35" s="51" t="str">
        <f aca="true">IF(J35="","",IF(Q35&lt;&gt;"","",J35-TODAY()))</f>
        <v/>
      </c>
      <c r="L35" s="31" t="str">
        <f aca="false">IF(OR(A35="",D35&lt;&gt;"未售-海外仓预退（HWC-YT）"),"",MIN(N(E35),MAX(0,SUMIFS(②销售核销!$I$4:$I$603,②销售核销!$E$4:$E$603,A35)-SUMIFS($E$4:$E$303,$A$4:$A$303,A35,$D$4:$D$303,"已售-按现行规定申报"))))</f>
        <v/>
      </c>
      <c r="M35" s="34" t="str">
        <f aca="false">IF(OR(L35="",N(E35)=0,H35=""),"",ROUND(H35/E35*L35,2))</f>
        <v/>
      </c>
      <c r="N35" s="46"/>
      <c r="O35" s="34" t="str">
        <f aca="false">IF(OR(N35="",H35=""),"",ROUND(N35-H35,2))</f>
        <v/>
      </c>
      <c r="P35" s="36" t="str">
        <f aca="false">IF(OR(A35="",D35&lt;&gt;"未售-海外仓预退（HWC-YT）"),"",IF(L35=0,"仍未销售：需要调整申报，全额缴回预退税",IF(L35&lt;N(E35),"部分已售：需要调整申报，全额冲减后按已售部分重报",IF(N35="","全部已售：填入实际应退税额后判断",IF(O35=0,"全部已售、无差异：无需调整申报","全部已售、有差异：需要调整申报")))))</f>
        <v/>
      </c>
      <c r="Q35" s="41"/>
      <c r="R35" s="44"/>
      <c r="S35" s="36" t="str">
        <f aca="false">IF(A35="","",IF(D35="","请选择申报方式",IF(D35&lt;&gt;"未售-海外仓预退（HWC-YT）","不涉及核算",IF(Q35&lt;&gt;"","已核算",IF(J35="","待税务办结",IF(K35&lt;0,"已逾期：税务将追回预退税",IF(K35&lt;=60,"临近截止（60天内）","待核算")))))))</f>
        <v/>
      </c>
      <c r="T35" s="30" t="str">
        <f aca="false">IF(ISNUMBER(C35),DATE(YEAR(C35)+1,4,30),"")</f>
        <v/>
      </c>
      <c r="U35" s="43"/>
    </row>
    <row r="36" customFormat="false" ht="21.75" hidden="false" customHeight="true" outlineLevel="0" collapsed="false">
      <c r="A36" s="44"/>
      <c r="B36" s="36" t="str">
        <f aca="false">IF(A36="","",IFERROR(INDEX(①出口报关!$I$4:$I$303,MATCH(A36,①出口报关!$A$4:$A$303,0)),"编号不存在"))</f>
        <v/>
      </c>
      <c r="C36" s="30" t="str">
        <f aca="false">IF(A36="","",IFERROR(IF(INDEX(①出口报关!$D$4:$D$303,MATCH(A36,①出口报关!$A$4:$A$303,0))=0,"",INDEX(①出口报关!$D$4:$D$303,MATCH(A36,①出口报关!$A$4:$A$303,0))),"编号不存在"))</f>
        <v/>
      </c>
      <c r="D36" s="43"/>
      <c r="E36" s="45"/>
      <c r="F36" s="41"/>
      <c r="G36" s="48"/>
      <c r="H36" s="46"/>
      <c r="I36" s="41"/>
      <c r="J36" s="30" t="str">
        <f aca="false">IF(AND(D36="未售-海外仓预退（HWC-YT）",ISNUMBER(I36)),DATE(YEAR(I36)+1,4,30),"")</f>
        <v/>
      </c>
      <c r="K36" s="51" t="str">
        <f aca="true">IF(J36="","",IF(Q36&lt;&gt;"","",J36-TODAY()))</f>
        <v/>
      </c>
      <c r="L36" s="31" t="str">
        <f aca="false">IF(OR(A36="",D36&lt;&gt;"未售-海外仓预退（HWC-YT）"),"",MIN(N(E36),MAX(0,SUMIFS(②销售核销!$I$4:$I$603,②销售核销!$E$4:$E$603,A36)-SUMIFS($E$4:$E$303,$A$4:$A$303,A36,$D$4:$D$303,"已售-按现行规定申报"))))</f>
        <v/>
      </c>
      <c r="M36" s="34" t="str">
        <f aca="false">IF(OR(L36="",N(E36)=0,H36=""),"",ROUND(H36/E36*L36,2))</f>
        <v/>
      </c>
      <c r="N36" s="46"/>
      <c r="O36" s="34" t="str">
        <f aca="false">IF(OR(N36="",H36=""),"",ROUND(N36-H36,2))</f>
        <v/>
      </c>
      <c r="P36" s="36" t="str">
        <f aca="false">IF(OR(A36="",D36&lt;&gt;"未售-海外仓预退（HWC-YT）"),"",IF(L36=0,"仍未销售：需要调整申报，全额缴回预退税",IF(L36&lt;N(E36),"部分已售：需要调整申报，全额冲减后按已售部分重报",IF(N36="","全部已售：填入实际应退税额后判断",IF(O36=0,"全部已售、无差异：无需调整申报","全部已售、有差异：需要调整申报")))))</f>
        <v/>
      </c>
      <c r="Q36" s="41"/>
      <c r="R36" s="44"/>
      <c r="S36" s="36" t="str">
        <f aca="false">IF(A36="","",IF(D36="","请选择申报方式",IF(D36&lt;&gt;"未售-海外仓预退（HWC-YT）","不涉及核算",IF(Q36&lt;&gt;"","已核算",IF(J36="","待税务办结",IF(K36&lt;0,"已逾期：税务将追回预退税",IF(K36&lt;=60,"临近截止（60天内）","待核算")))))))</f>
        <v/>
      </c>
      <c r="T36" s="30" t="str">
        <f aca="false">IF(ISNUMBER(C36),DATE(YEAR(C36)+1,4,30),"")</f>
        <v/>
      </c>
      <c r="U36" s="43"/>
    </row>
    <row r="37" customFormat="false" ht="21.75" hidden="false" customHeight="true" outlineLevel="0" collapsed="false">
      <c r="A37" s="44"/>
      <c r="B37" s="36" t="str">
        <f aca="false">IF(A37="","",IFERROR(INDEX(①出口报关!$I$4:$I$303,MATCH(A37,①出口报关!$A$4:$A$303,0)),"编号不存在"))</f>
        <v/>
      </c>
      <c r="C37" s="30" t="str">
        <f aca="false">IF(A37="","",IFERROR(IF(INDEX(①出口报关!$D$4:$D$303,MATCH(A37,①出口报关!$A$4:$A$303,0))=0,"",INDEX(①出口报关!$D$4:$D$303,MATCH(A37,①出口报关!$A$4:$A$303,0))),"编号不存在"))</f>
        <v/>
      </c>
      <c r="D37" s="43"/>
      <c r="E37" s="45"/>
      <c r="F37" s="41"/>
      <c r="G37" s="48"/>
      <c r="H37" s="46"/>
      <c r="I37" s="41"/>
      <c r="J37" s="30" t="str">
        <f aca="false">IF(AND(D37="未售-海外仓预退（HWC-YT）",ISNUMBER(I37)),DATE(YEAR(I37)+1,4,30),"")</f>
        <v/>
      </c>
      <c r="K37" s="51" t="str">
        <f aca="true">IF(J37="","",IF(Q37&lt;&gt;"","",J37-TODAY()))</f>
        <v/>
      </c>
      <c r="L37" s="31" t="str">
        <f aca="false">IF(OR(A37="",D37&lt;&gt;"未售-海外仓预退（HWC-YT）"),"",MIN(N(E37),MAX(0,SUMIFS(②销售核销!$I$4:$I$603,②销售核销!$E$4:$E$603,A37)-SUMIFS($E$4:$E$303,$A$4:$A$303,A37,$D$4:$D$303,"已售-按现行规定申报"))))</f>
        <v/>
      </c>
      <c r="M37" s="34" t="str">
        <f aca="false">IF(OR(L37="",N(E37)=0,H37=""),"",ROUND(H37/E37*L37,2))</f>
        <v/>
      </c>
      <c r="N37" s="46"/>
      <c r="O37" s="34" t="str">
        <f aca="false">IF(OR(N37="",H37=""),"",ROUND(N37-H37,2))</f>
        <v/>
      </c>
      <c r="P37" s="36" t="str">
        <f aca="false">IF(OR(A37="",D37&lt;&gt;"未售-海外仓预退（HWC-YT）"),"",IF(L37=0,"仍未销售：需要调整申报，全额缴回预退税",IF(L37&lt;N(E37),"部分已售：需要调整申报，全额冲减后按已售部分重报",IF(N37="","全部已售：填入实际应退税额后判断",IF(O37=0,"全部已售、无差异：无需调整申报","全部已售、有差异：需要调整申报")))))</f>
        <v/>
      </c>
      <c r="Q37" s="41"/>
      <c r="R37" s="44"/>
      <c r="S37" s="36" t="str">
        <f aca="false">IF(A37="","",IF(D37="","请选择申报方式",IF(D37&lt;&gt;"未售-海外仓预退（HWC-YT）","不涉及核算",IF(Q37&lt;&gt;"","已核算",IF(J37="","待税务办结",IF(K37&lt;0,"已逾期：税务将追回预退税",IF(K37&lt;=60,"临近截止（60天内）","待核算")))))))</f>
        <v/>
      </c>
      <c r="T37" s="30" t="str">
        <f aca="false">IF(ISNUMBER(C37),DATE(YEAR(C37)+1,4,30),"")</f>
        <v/>
      </c>
      <c r="U37" s="43"/>
    </row>
    <row r="38" customFormat="false" ht="21.75" hidden="false" customHeight="true" outlineLevel="0" collapsed="false">
      <c r="A38" s="44"/>
      <c r="B38" s="36" t="str">
        <f aca="false">IF(A38="","",IFERROR(INDEX(①出口报关!$I$4:$I$303,MATCH(A38,①出口报关!$A$4:$A$303,0)),"编号不存在"))</f>
        <v/>
      </c>
      <c r="C38" s="30" t="str">
        <f aca="false">IF(A38="","",IFERROR(IF(INDEX(①出口报关!$D$4:$D$303,MATCH(A38,①出口报关!$A$4:$A$303,0))=0,"",INDEX(①出口报关!$D$4:$D$303,MATCH(A38,①出口报关!$A$4:$A$303,0))),"编号不存在"))</f>
        <v/>
      </c>
      <c r="D38" s="43"/>
      <c r="E38" s="45"/>
      <c r="F38" s="41"/>
      <c r="G38" s="48"/>
      <c r="H38" s="46"/>
      <c r="I38" s="41"/>
      <c r="J38" s="30" t="str">
        <f aca="false">IF(AND(D38="未售-海外仓预退（HWC-YT）",ISNUMBER(I38)),DATE(YEAR(I38)+1,4,30),"")</f>
        <v/>
      </c>
      <c r="K38" s="51" t="str">
        <f aca="true">IF(J38="","",IF(Q38&lt;&gt;"","",J38-TODAY()))</f>
        <v/>
      </c>
      <c r="L38" s="31" t="str">
        <f aca="false">IF(OR(A38="",D38&lt;&gt;"未售-海外仓预退（HWC-YT）"),"",MIN(N(E38),MAX(0,SUMIFS(②销售核销!$I$4:$I$603,②销售核销!$E$4:$E$603,A38)-SUMIFS($E$4:$E$303,$A$4:$A$303,A38,$D$4:$D$303,"已售-按现行规定申报"))))</f>
        <v/>
      </c>
      <c r="M38" s="34" t="str">
        <f aca="false">IF(OR(L38="",N(E38)=0,H38=""),"",ROUND(H38/E38*L38,2))</f>
        <v/>
      </c>
      <c r="N38" s="46"/>
      <c r="O38" s="34" t="str">
        <f aca="false">IF(OR(N38="",H38=""),"",ROUND(N38-H38,2))</f>
        <v/>
      </c>
      <c r="P38" s="36" t="str">
        <f aca="false">IF(OR(A38="",D38&lt;&gt;"未售-海外仓预退（HWC-YT）"),"",IF(L38=0,"仍未销售：需要调整申报，全额缴回预退税",IF(L38&lt;N(E38),"部分已售：需要调整申报，全额冲减后按已售部分重报",IF(N38="","全部已售：填入实际应退税额后判断",IF(O38=0,"全部已售、无差异：无需调整申报","全部已售、有差异：需要调整申报")))))</f>
        <v/>
      </c>
      <c r="Q38" s="41"/>
      <c r="R38" s="44"/>
      <c r="S38" s="36" t="str">
        <f aca="false">IF(A38="","",IF(D38="","请选择申报方式",IF(D38&lt;&gt;"未售-海外仓预退（HWC-YT）","不涉及核算",IF(Q38&lt;&gt;"","已核算",IF(J38="","待税务办结",IF(K38&lt;0,"已逾期：税务将追回预退税",IF(K38&lt;=60,"临近截止（60天内）","待核算")))))))</f>
        <v/>
      </c>
      <c r="T38" s="30" t="str">
        <f aca="false">IF(ISNUMBER(C38),DATE(YEAR(C38)+1,4,30),"")</f>
        <v/>
      </c>
      <c r="U38" s="43"/>
    </row>
    <row r="39" customFormat="false" ht="21.75" hidden="false" customHeight="true" outlineLevel="0" collapsed="false">
      <c r="A39" s="44"/>
      <c r="B39" s="36" t="str">
        <f aca="false">IF(A39="","",IFERROR(INDEX(①出口报关!$I$4:$I$303,MATCH(A39,①出口报关!$A$4:$A$303,0)),"编号不存在"))</f>
        <v/>
      </c>
      <c r="C39" s="30" t="str">
        <f aca="false">IF(A39="","",IFERROR(IF(INDEX(①出口报关!$D$4:$D$303,MATCH(A39,①出口报关!$A$4:$A$303,0))=0,"",INDEX(①出口报关!$D$4:$D$303,MATCH(A39,①出口报关!$A$4:$A$303,0))),"编号不存在"))</f>
        <v/>
      </c>
      <c r="D39" s="43"/>
      <c r="E39" s="45"/>
      <c r="F39" s="41"/>
      <c r="G39" s="48"/>
      <c r="H39" s="46"/>
      <c r="I39" s="41"/>
      <c r="J39" s="30" t="str">
        <f aca="false">IF(AND(D39="未售-海外仓预退（HWC-YT）",ISNUMBER(I39)),DATE(YEAR(I39)+1,4,30),"")</f>
        <v/>
      </c>
      <c r="K39" s="51" t="str">
        <f aca="true">IF(J39="","",IF(Q39&lt;&gt;"","",J39-TODAY()))</f>
        <v/>
      </c>
      <c r="L39" s="31" t="str">
        <f aca="false">IF(OR(A39="",D39&lt;&gt;"未售-海外仓预退（HWC-YT）"),"",MIN(N(E39),MAX(0,SUMIFS(②销售核销!$I$4:$I$603,②销售核销!$E$4:$E$603,A39)-SUMIFS($E$4:$E$303,$A$4:$A$303,A39,$D$4:$D$303,"已售-按现行规定申报"))))</f>
        <v/>
      </c>
      <c r="M39" s="34" t="str">
        <f aca="false">IF(OR(L39="",N(E39)=0,H39=""),"",ROUND(H39/E39*L39,2))</f>
        <v/>
      </c>
      <c r="N39" s="46"/>
      <c r="O39" s="34" t="str">
        <f aca="false">IF(OR(N39="",H39=""),"",ROUND(N39-H39,2))</f>
        <v/>
      </c>
      <c r="P39" s="36" t="str">
        <f aca="false">IF(OR(A39="",D39&lt;&gt;"未售-海外仓预退（HWC-YT）"),"",IF(L39=0,"仍未销售：需要调整申报，全额缴回预退税",IF(L39&lt;N(E39),"部分已售：需要调整申报，全额冲减后按已售部分重报",IF(N39="","全部已售：填入实际应退税额后判断",IF(O39=0,"全部已售、无差异：无需调整申报","全部已售、有差异：需要调整申报")))))</f>
        <v/>
      </c>
      <c r="Q39" s="41"/>
      <c r="R39" s="44"/>
      <c r="S39" s="36" t="str">
        <f aca="false">IF(A39="","",IF(D39="","请选择申报方式",IF(D39&lt;&gt;"未售-海外仓预退（HWC-YT）","不涉及核算",IF(Q39&lt;&gt;"","已核算",IF(J39="","待税务办结",IF(K39&lt;0,"已逾期：税务将追回预退税",IF(K39&lt;=60,"临近截止（60天内）","待核算")))))))</f>
        <v/>
      </c>
      <c r="T39" s="30" t="str">
        <f aca="false">IF(ISNUMBER(C39),DATE(YEAR(C39)+1,4,30),"")</f>
        <v/>
      </c>
      <c r="U39" s="43"/>
    </row>
    <row r="40" customFormat="false" ht="21.75" hidden="false" customHeight="true" outlineLevel="0" collapsed="false">
      <c r="A40" s="44"/>
      <c r="B40" s="36" t="str">
        <f aca="false">IF(A40="","",IFERROR(INDEX(①出口报关!$I$4:$I$303,MATCH(A40,①出口报关!$A$4:$A$303,0)),"编号不存在"))</f>
        <v/>
      </c>
      <c r="C40" s="30" t="str">
        <f aca="false">IF(A40="","",IFERROR(IF(INDEX(①出口报关!$D$4:$D$303,MATCH(A40,①出口报关!$A$4:$A$303,0))=0,"",INDEX(①出口报关!$D$4:$D$303,MATCH(A40,①出口报关!$A$4:$A$303,0))),"编号不存在"))</f>
        <v/>
      </c>
      <c r="D40" s="43"/>
      <c r="E40" s="45"/>
      <c r="F40" s="41"/>
      <c r="G40" s="48"/>
      <c r="H40" s="46"/>
      <c r="I40" s="41"/>
      <c r="J40" s="30" t="str">
        <f aca="false">IF(AND(D40="未售-海外仓预退（HWC-YT）",ISNUMBER(I40)),DATE(YEAR(I40)+1,4,30),"")</f>
        <v/>
      </c>
      <c r="K40" s="51" t="str">
        <f aca="true">IF(J40="","",IF(Q40&lt;&gt;"","",J40-TODAY()))</f>
        <v/>
      </c>
      <c r="L40" s="31" t="str">
        <f aca="false">IF(OR(A40="",D40&lt;&gt;"未售-海外仓预退（HWC-YT）"),"",MIN(N(E40),MAX(0,SUMIFS(②销售核销!$I$4:$I$603,②销售核销!$E$4:$E$603,A40)-SUMIFS($E$4:$E$303,$A$4:$A$303,A40,$D$4:$D$303,"已售-按现行规定申报"))))</f>
        <v/>
      </c>
      <c r="M40" s="34" t="str">
        <f aca="false">IF(OR(L40="",N(E40)=0,H40=""),"",ROUND(H40/E40*L40,2))</f>
        <v/>
      </c>
      <c r="N40" s="46"/>
      <c r="O40" s="34" t="str">
        <f aca="false">IF(OR(N40="",H40=""),"",ROUND(N40-H40,2))</f>
        <v/>
      </c>
      <c r="P40" s="36" t="str">
        <f aca="false">IF(OR(A40="",D40&lt;&gt;"未售-海外仓预退（HWC-YT）"),"",IF(L40=0,"仍未销售：需要调整申报，全额缴回预退税",IF(L40&lt;N(E40),"部分已售：需要调整申报，全额冲减后按已售部分重报",IF(N40="","全部已售：填入实际应退税额后判断",IF(O40=0,"全部已售、无差异：无需调整申报","全部已售、有差异：需要调整申报")))))</f>
        <v/>
      </c>
      <c r="Q40" s="41"/>
      <c r="R40" s="44"/>
      <c r="S40" s="36" t="str">
        <f aca="false">IF(A40="","",IF(D40="","请选择申报方式",IF(D40&lt;&gt;"未售-海外仓预退（HWC-YT）","不涉及核算",IF(Q40&lt;&gt;"","已核算",IF(J40="","待税务办结",IF(K40&lt;0,"已逾期：税务将追回预退税",IF(K40&lt;=60,"临近截止（60天内）","待核算")))))))</f>
        <v/>
      </c>
      <c r="T40" s="30" t="str">
        <f aca="false">IF(ISNUMBER(C40),DATE(YEAR(C40)+1,4,30),"")</f>
        <v/>
      </c>
      <c r="U40" s="43"/>
    </row>
    <row r="41" customFormat="false" ht="21.75" hidden="false" customHeight="true" outlineLevel="0" collapsed="false">
      <c r="A41" s="44"/>
      <c r="B41" s="36" t="str">
        <f aca="false">IF(A41="","",IFERROR(INDEX(①出口报关!$I$4:$I$303,MATCH(A41,①出口报关!$A$4:$A$303,0)),"编号不存在"))</f>
        <v/>
      </c>
      <c r="C41" s="30" t="str">
        <f aca="false">IF(A41="","",IFERROR(IF(INDEX(①出口报关!$D$4:$D$303,MATCH(A41,①出口报关!$A$4:$A$303,0))=0,"",INDEX(①出口报关!$D$4:$D$303,MATCH(A41,①出口报关!$A$4:$A$303,0))),"编号不存在"))</f>
        <v/>
      </c>
      <c r="D41" s="43"/>
      <c r="E41" s="45"/>
      <c r="F41" s="41"/>
      <c r="G41" s="48"/>
      <c r="H41" s="46"/>
      <c r="I41" s="41"/>
      <c r="J41" s="30" t="str">
        <f aca="false">IF(AND(D41="未售-海外仓预退（HWC-YT）",ISNUMBER(I41)),DATE(YEAR(I41)+1,4,30),"")</f>
        <v/>
      </c>
      <c r="K41" s="51" t="str">
        <f aca="true">IF(J41="","",IF(Q41&lt;&gt;"","",J41-TODAY()))</f>
        <v/>
      </c>
      <c r="L41" s="31" t="str">
        <f aca="false">IF(OR(A41="",D41&lt;&gt;"未售-海外仓预退（HWC-YT）"),"",MIN(N(E41),MAX(0,SUMIFS(②销售核销!$I$4:$I$603,②销售核销!$E$4:$E$603,A41)-SUMIFS($E$4:$E$303,$A$4:$A$303,A41,$D$4:$D$303,"已售-按现行规定申报"))))</f>
        <v/>
      </c>
      <c r="M41" s="34" t="str">
        <f aca="false">IF(OR(L41="",N(E41)=0,H41=""),"",ROUND(H41/E41*L41,2))</f>
        <v/>
      </c>
      <c r="N41" s="46"/>
      <c r="O41" s="34" t="str">
        <f aca="false">IF(OR(N41="",H41=""),"",ROUND(N41-H41,2))</f>
        <v/>
      </c>
      <c r="P41" s="36" t="str">
        <f aca="false">IF(OR(A41="",D41&lt;&gt;"未售-海外仓预退（HWC-YT）"),"",IF(L41=0,"仍未销售：需要调整申报，全额缴回预退税",IF(L41&lt;N(E41),"部分已售：需要调整申报，全额冲减后按已售部分重报",IF(N41="","全部已售：填入实际应退税额后判断",IF(O41=0,"全部已售、无差异：无需调整申报","全部已售、有差异：需要调整申报")))))</f>
        <v/>
      </c>
      <c r="Q41" s="41"/>
      <c r="R41" s="44"/>
      <c r="S41" s="36" t="str">
        <f aca="false">IF(A41="","",IF(D41="","请选择申报方式",IF(D41&lt;&gt;"未售-海外仓预退（HWC-YT）","不涉及核算",IF(Q41&lt;&gt;"","已核算",IF(J41="","待税务办结",IF(K41&lt;0,"已逾期：税务将追回预退税",IF(K41&lt;=60,"临近截止（60天内）","待核算")))))))</f>
        <v/>
      </c>
      <c r="T41" s="30" t="str">
        <f aca="false">IF(ISNUMBER(C41),DATE(YEAR(C41)+1,4,30),"")</f>
        <v/>
      </c>
      <c r="U41" s="43"/>
    </row>
    <row r="42" customFormat="false" ht="21.75" hidden="false" customHeight="true" outlineLevel="0" collapsed="false">
      <c r="A42" s="44"/>
      <c r="B42" s="36" t="str">
        <f aca="false">IF(A42="","",IFERROR(INDEX(①出口报关!$I$4:$I$303,MATCH(A42,①出口报关!$A$4:$A$303,0)),"编号不存在"))</f>
        <v/>
      </c>
      <c r="C42" s="30" t="str">
        <f aca="false">IF(A42="","",IFERROR(IF(INDEX(①出口报关!$D$4:$D$303,MATCH(A42,①出口报关!$A$4:$A$303,0))=0,"",INDEX(①出口报关!$D$4:$D$303,MATCH(A42,①出口报关!$A$4:$A$303,0))),"编号不存在"))</f>
        <v/>
      </c>
      <c r="D42" s="43"/>
      <c r="E42" s="45"/>
      <c r="F42" s="41"/>
      <c r="G42" s="48"/>
      <c r="H42" s="46"/>
      <c r="I42" s="41"/>
      <c r="J42" s="30" t="str">
        <f aca="false">IF(AND(D42="未售-海外仓预退（HWC-YT）",ISNUMBER(I42)),DATE(YEAR(I42)+1,4,30),"")</f>
        <v/>
      </c>
      <c r="K42" s="51" t="str">
        <f aca="true">IF(J42="","",IF(Q42&lt;&gt;"","",J42-TODAY()))</f>
        <v/>
      </c>
      <c r="L42" s="31" t="str">
        <f aca="false">IF(OR(A42="",D42&lt;&gt;"未售-海外仓预退（HWC-YT）"),"",MIN(N(E42),MAX(0,SUMIFS(②销售核销!$I$4:$I$603,②销售核销!$E$4:$E$603,A42)-SUMIFS($E$4:$E$303,$A$4:$A$303,A42,$D$4:$D$303,"已售-按现行规定申报"))))</f>
        <v/>
      </c>
      <c r="M42" s="34" t="str">
        <f aca="false">IF(OR(L42="",N(E42)=0,H42=""),"",ROUND(H42/E42*L42,2))</f>
        <v/>
      </c>
      <c r="N42" s="46"/>
      <c r="O42" s="34" t="str">
        <f aca="false">IF(OR(N42="",H42=""),"",ROUND(N42-H42,2))</f>
        <v/>
      </c>
      <c r="P42" s="36" t="str">
        <f aca="false">IF(OR(A42="",D42&lt;&gt;"未售-海外仓预退（HWC-YT）"),"",IF(L42=0,"仍未销售：需要调整申报，全额缴回预退税",IF(L42&lt;N(E42),"部分已售：需要调整申报，全额冲减后按已售部分重报",IF(N42="","全部已售：填入实际应退税额后判断",IF(O42=0,"全部已售、无差异：无需调整申报","全部已售、有差异：需要调整申报")))))</f>
        <v/>
      </c>
      <c r="Q42" s="41"/>
      <c r="R42" s="44"/>
      <c r="S42" s="36" t="str">
        <f aca="false">IF(A42="","",IF(D42="","请选择申报方式",IF(D42&lt;&gt;"未售-海外仓预退（HWC-YT）","不涉及核算",IF(Q42&lt;&gt;"","已核算",IF(J42="","待税务办结",IF(K42&lt;0,"已逾期：税务将追回预退税",IF(K42&lt;=60,"临近截止（60天内）","待核算")))))))</f>
        <v/>
      </c>
      <c r="T42" s="30" t="str">
        <f aca="false">IF(ISNUMBER(C42),DATE(YEAR(C42)+1,4,30),"")</f>
        <v/>
      </c>
      <c r="U42" s="43"/>
    </row>
    <row r="43" customFormat="false" ht="21.75" hidden="false" customHeight="true" outlineLevel="0" collapsed="false">
      <c r="A43" s="44"/>
      <c r="B43" s="36" t="str">
        <f aca="false">IF(A43="","",IFERROR(INDEX(①出口报关!$I$4:$I$303,MATCH(A43,①出口报关!$A$4:$A$303,0)),"编号不存在"))</f>
        <v/>
      </c>
      <c r="C43" s="30" t="str">
        <f aca="false">IF(A43="","",IFERROR(IF(INDEX(①出口报关!$D$4:$D$303,MATCH(A43,①出口报关!$A$4:$A$303,0))=0,"",INDEX(①出口报关!$D$4:$D$303,MATCH(A43,①出口报关!$A$4:$A$303,0))),"编号不存在"))</f>
        <v/>
      </c>
      <c r="D43" s="43"/>
      <c r="E43" s="45"/>
      <c r="F43" s="41"/>
      <c r="G43" s="48"/>
      <c r="H43" s="46"/>
      <c r="I43" s="41"/>
      <c r="J43" s="30" t="str">
        <f aca="false">IF(AND(D43="未售-海外仓预退（HWC-YT）",ISNUMBER(I43)),DATE(YEAR(I43)+1,4,30),"")</f>
        <v/>
      </c>
      <c r="K43" s="51" t="str">
        <f aca="true">IF(J43="","",IF(Q43&lt;&gt;"","",J43-TODAY()))</f>
        <v/>
      </c>
      <c r="L43" s="31" t="str">
        <f aca="false">IF(OR(A43="",D43&lt;&gt;"未售-海外仓预退（HWC-YT）"),"",MIN(N(E43),MAX(0,SUMIFS(②销售核销!$I$4:$I$603,②销售核销!$E$4:$E$603,A43)-SUMIFS($E$4:$E$303,$A$4:$A$303,A43,$D$4:$D$303,"已售-按现行规定申报"))))</f>
        <v/>
      </c>
      <c r="M43" s="34" t="str">
        <f aca="false">IF(OR(L43="",N(E43)=0,H43=""),"",ROUND(H43/E43*L43,2))</f>
        <v/>
      </c>
      <c r="N43" s="46"/>
      <c r="O43" s="34" t="str">
        <f aca="false">IF(OR(N43="",H43=""),"",ROUND(N43-H43,2))</f>
        <v/>
      </c>
      <c r="P43" s="36" t="str">
        <f aca="false">IF(OR(A43="",D43&lt;&gt;"未售-海外仓预退（HWC-YT）"),"",IF(L43=0,"仍未销售：需要调整申报，全额缴回预退税",IF(L43&lt;N(E43),"部分已售：需要调整申报，全额冲减后按已售部分重报",IF(N43="","全部已售：填入实际应退税额后判断",IF(O43=0,"全部已售、无差异：无需调整申报","全部已售、有差异：需要调整申报")))))</f>
        <v/>
      </c>
      <c r="Q43" s="41"/>
      <c r="R43" s="44"/>
      <c r="S43" s="36" t="str">
        <f aca="false">IF(A43="","",IF(D43="","请选择申报方式",IF(D43&lt;&gt;"未售-海外仓预退（HWC-YT）","不涉及核算",IF(Q43&lt;&gt;"","已核算",IF(J43="","待税务办结",IF(K43&lt;0,"已逾期：税务将追回预退税",IF(K43&lt;=60,"临近截止（60天内）","待核算")))))))</f>
        <v/>
      </c>
      <c r="T43" s="30" t="str">
        <f aca="false">IF(ISNUMBER(C43),DATE(YEAR(C43)+1,4,30),"")</f>
        <v/>
      </c>
      <c r="U43" s="43"/>
    </row>
    <row r="44" customFormat="false" ht="21.75" hidden="false" customHeight="true" outlineLevel="0" collapsed="false">
      <c r="A44" s="44"/>
      <c r="B44" s="36" t="str">
        <f aca="false">IF(A44="","",IFERROR(INDEX(①出口报关!$I$4:$I$303,MATCH(A44,①出口报关!$A$4:$A$303,0)),"编号不存在"))</f>
        <v/>
      </c>
      <c r="C44" s="30" t="str">
        <f aca="false">IF(A44="","",IFERROR(IF(INDEX(①出口报关!$D$4:$D$303,MATCH(A44,①出口报关!$A$4:$A$303,0))=0,"",INDEX(①出口报关!$D$4:$D$303,MATCH(A44,①出口报关!$A$4:$A$303,0))),"编号不存在"))</f>
        <v/>
      </c>
      <c r="D44" s="43"/>
      <c r="E44" s="45"/>
      <c r="F44" s="41"/>
      <c r="G44" s="48"/>
      <c r="H44" s="46"/>
      <c r="I44" s="41"/>
      <c r="J44" s="30" t="str">
        <f aca="false">IF(AND(D44="未售-海外仓预退（HWC-YT）",ISNUMBER(I44)),DATE(YEAR(I44)+1,4,30),"")</f>
        <v/>
      </c>
      <c r="K44" s="51" t="str">
        <f aca="true">IF(J44="","",IF(Q44&lt;&gt;"","",J44-TODAY()))</f>
        <v/>
      </c>
      <c r="L44" s="31" t="str">
        <f aca="false">IF(OR(A44="",D44&lt;&gt;"未售-海外仓预退（HWC-YT）"),"",MIN(N(E44),MAX(0,SUMIFS(②销售核销!$I$4:$I$603,②销售核销!$E$4:$E$603,A44)-SUMIFS($E$4:$E$303,$A$4:$A$303,A44,$D$4:$D$303,"已售-按现行规定申报"))))</f>
        <v/>
      </c>
      <c r="M44" s="34" t="str">
        <f aca="false">IF(OR(L44="",N(E44)=0,H44=""),"",ROUND(H44/E44*L44,2))</f>
        <v/>
      </c>
      <c r="N44" s="46"/>
      <c r="O44" s="34" t="str">
        <f aca="false">IF(OR(N44="",H44=""),"",ROUND(N44-H44,2))</f>
        <v/>
      </c>
      <c r="P44" s="36" t="str">
        <f aca="false">IF(OR(A44="",D44&lt;&gt;"未售-海外仓预退（HWC-YT）"),"",IF(L44=0,"仍未销售：需要调整申报，全额缴回预退税",IF(L44&lt;N(E44),"部分已售：需要调整申报，全额冲减后按已售部分重报",IF(N44="","全部已售：填入实际应退税额后判断",IF(O44=0,"全部已售、无差异：无需调整申报","全部已售、有差异：需要调整申报")))))</f>
        <v/>
      </c>
      <c r="Q44" s="41"/>
      <c r="R44" s="44"/>
      <c r="S44" s="36" t="str">
        <f aca="false">IF(A44="","",IF(D44="","请选择申报方式",IF(D44&lt;&gt;"未售-海外仓预退（HWC-YT）","不涉及核算",IF(Q44&lt;&gt;"","已核算",IF(J44="","待税务办结",IF(K44&lt;0,"已逾期：税务将追回预退税",IF(K44&lt;=60,"临近截止（60天内）","待核算")))))))</f>
        <v/>
      </c>
      <c r="T44" s="30" t="str">
        <f aca="false">IF(ISNUMBER(C44),DATE(YEAR(C44)+1,4,30),"")</f>
        <v/>
      </c>
      <c r="U44" s="43"/>
    </row>
    <row r="45" customFormat="false" ht="21.75" hidden="false" customHeight="true" outlineLevel="0" collapsed="false">
      <c r="A45" s="44"/>
      <c r="B45" s="36" t="str">
        <f aca="false">IF(A45="","",IFERROR(INDEX(①出口报关!$I$4:$I$303,MATCH(A45,①出口报关!$A$4:$A$303,0)),"编号不存在"))</f>
        <v/>
      </c>
      <c r="C45" s="30" t="str">
        <f aca="false">IF(A45="","",IFERROR(IF(INDEX(①出口报关!$D$4:$D$303,MATCH(A45,①出口报关!$A$4:$A$303,0))=0,"",INDEX(①出口报关!$D$4:$D$303,MATCH(A45,①出口报关!$A$4:$A$303,0))),"编号不存在"))</f>
        <v/>
      </c>
      <c r="D45" s="43"/>
      <c r="E45" s="45"/>
      <c r="F45" s="41"/>
      <c r="G45" s="48"/>
      <c r="H45" s="46"/>
      <c r="I45" s="41"/>
      <c r="J45" s="30" t="str">
        <f aca="false">IF(AND(D45="未售-海外仓预退（HWC-YT）",ISNUMBER(I45)),DATE(YEAR(I45)+1,4,30),"")</f>
        <v/>
      </c>
      <c r="K45" s="51" t="str">
        <f aca="true">IF(J45="","",IF(Q45&lt;&gt;"","",J45-TODAY()))</f>
        <v/>
      </c>
      <c r="L45" s="31" t="str">
        <f aca="false">IF(OR(A45="",D45&lt;&gt;"未售-海外仓预退（HWC-YT）"),"",MIN(N(E45),MAX(0,SUMIFS(②销售核销!$I$4:$I$603,②销售核销!$E$4:$E$603,A45)-SUMIFS($E$4:$E$303,$A$4:$A$303,A45,$D$4:$D$303,"已售-按现行规定申报"))))</f>
        <v/>
      </c>
      <c r="M45" s="34" t="str">
        <f aca="false">IF(OR(L45="",N(E45)=0,H45=""),"",ROUND(H45/E45*L45,2))</f>
        <v/>
      </c>
      <c r="N45" s="46"/>
      <c r="O45" s="34" t="str">
        <f aca="false">IF(OR(N45="",H45=""),"",ROUND(N45-H45,2))</f>
        <v/>
      </c>
      <c r="P45" s="36" t="str">
        <f aca="false">IF(OR(A45="",D45&lt;&gt;"未售-海外仓预退（HWC-YT）"),"",IF(L45=0,"仍未销售：需要调整申报，全额缴回预退税",IF(L45&lt;N(E45),"部分已售：需要调整申报，全额冲减后按已售部分重报",IF(N45="","全部已售：填入实际应退税额后判断",IF(O45=0,"全部已售、无差异：无需调整申报","全部已售、有差异：需要调整申报")))))</f>
        <v/>
      </c>
      <c r="Q45" s="41"/>
      <c r="R45" s="44"/>
      <c r="S45" s="36" t="str">
        <f aca="false">IF(A45="","",IF(D45="","请选择申报方式",IF(D45&lt;&gt;"未售-海外仓预退（HWC-YT）","不涉及核算",IF(Q45&lt;&gt;"","已核算",IF(J45="","待税务办结",IF(K45&lt;0,"已逾期：税务将追回预退税",IF(K45&lt;=60,"临近截止（60天内）","待核算")))))))</f>
        <v/>
      </c>
      <c r="T45" s="30" t="str">
        <f aca="false">IF(ISNUMBER(C45),DATE(YEAR(C45)+1,4,30),"")</f>
        <v/>
      </c>
      <c r="U45" s="43"/>
    </row>
    <row r="46" customFormat="false" ht="21.75" hidden="false" customHeight="true" outlineLevel="0" collapsed="false">
      <c r="A46" s="44"/>
      <c r="B46" s="36" t="str">
        <f aca="false">IF(A46="","",IFERROR(INDEX(①出口报关!$I$4:$I$303,MATCH(A46,①出口报关!$A$4:$A$303,0)),"编号不存在"))</f>
        <v/>
      </c>
      <c r="C46" s="30" t="str">
        <f aca="false">IF(A46="","",IFERROR(IF(INDEX(①出口报关!$D$4:$D$303,MATCH(A46,①出口报关!$A$4:$A$303,0))=0,"",INDEX(①出口报关!$D$4:$D$303,MATCH(A46,①出口报关!$A$4:$A$303,0))),"编号不存在"))</f>
        <v/>
      </c>
      <c r="D46" s="43"/>
      <c r="E46" s="45"/>
      <c r="F46" s="41"/>
      <c r="G46" s="48"/>
      <c r="H46" s="46"/>
      <c r="I46" s="41"/>
      <c r="J46" s="30" t="str">
        <f aca="false">IF(AND(D46="未售-海外仓预退（HWC-YT）",ISNUMBER(I46)),DATE(YEAR(I46)+1,4,30),"")</f>
        <v/>
      </c>
      <c r="K46" s="51" t="str">
        <f aca="true">IF(J46="","",IF(Q46&lt;&gt;"","",J46-TODAY()))</f>
        <v/>
      </c>
      <c r="L46" s="31" t="str">
        <f aca="false">IF(OR(A46="",D46&lt;&gt;"未售-海外仓预退（HWC-YT）"),"",MIN(N(E46),MAX(0,SUMIFS(②销售核销!$I$4:$I$603,②销售核销!$E$4:$E$603,A46)-SUMIFS($E$4:$E$303,$A$4:$A$303,A46,$D$4:$D$303,"已售-按现行规定申报"))))</f>
        <v/>
      </c>
      <c r="M46" s="34" t="str">
        <f aca="false">IF(OR(L46="",N(E46)=0,H46=""),"",ROUND(H46/E46*L46,2))</f>
        <v/>
      </c>
      <c r="N46" s="46"/>
      <c r="O46" s="34" t="str">
        <f aca="false">IF(OR(N46="",H46=""),"",ROUND(N46-H46,2))</f>
        <v/>
      </c>
      <c r="P46" s="36" t="str">
        <f aca="false">IF(OR(A46="",D46&lt;&gt;"未售-海外仓预退（HWC-YT）"),"",IF(L46=0,"仍未销售：需要调整申报，全额缴回预退税",IF(L46&lt;N(E46),"部分已售：需要调整申报，全额冲减后按已售部分重报",IF(N46="","全部已售：填入实际应退税额后判断",IF(O46=0,"全部已售、无差异：无需调整申报","全部已售、有差异：需要调整申报")))))</f>
        <v/>
      </c>
      <c r="Q46" s="41"/>
      <c r="R46" s="44"/>
      <c r="S46" s="36" t="str">
        <f aca="false">IF(A46="","",IF(D46="","请选择申报方式",IF(D46&lt;&gt;"未售-海外仓预退（HWC-YT）","不涉及核算",IF(Q46&lt;&gt;"","已核算",IF(J46="","待税务办结",IF(K46&lt;0,"已逾期：税务将追回预退税",IF(K46&lt;=60,"临近截止（60天内）","待核算")))))))</f>
        <v/>
      </c>
      <c r="T46" s="30" t="str">
        <f aca="false">IF(ISNUMBER(C46),DATE(YEAR(C46)+1,4,30),"")</f>
        <v/>
      </c>
      <c r="U46" s="43"/>
    </row>
    <row r="47" customFormat="false" ht="21.75" hidden="false" customHeight="true" outlineLevel="0" collapsed="false">
      <c r="A47" s="44"/>
      <c r="B47" s="36" t="str">
        <f aca="false">IF(A47="","",IFERROR(INDEX(①出口报关!$I$4:$I$303,MATCH(A47,①出口报关!$A$4:$A$303,0)),"编号不存在"))</f>
        <v/>
      </c>
      <c r="C47" s="30" t="str">
        <f aca="false">IF(A47="","",IFERROR(IF(INDEX(①出口报关!$D$4:$D$303,MATCH(A47,①出口报关!$A$4:$A$303,0))=0,"",INDEX(①出口报关!$D$4:$D$303,MATCH(A47,①出口报关!$A$4:$A$303,0))),"编号不存在"))</f>
        <v/>
      </c>
      <c r="D47" s="43"/>
      <c r="E47" s="45"/>
      <c r="F47" s="41"/>
      <c r="G47" s="48"/>
      <c r="H47" s="46"/>
      <c r="I47" s="41"/>
      <c r="J47" s="30" t="str">
        <f aca="false">IF(AND(D47="未售-海外仓预退（HWC-YT）",ISNUMBER(I47)),DATE(YEAR(I47)+1,4,30),"")</f>
        <v/>
      </c>
      <c r="K47" s="51" t="str">
        <f aca="true">IF(J47="","",IF(Q47&lt;&gt;"","",J47-TODAY()))</f>
        <v/>
      </c>
      <c r="L47" s="31" t="str">
        <f aca="false">IF(OR(A47="",D47&lt;&gt;"未售-海外仓预退（HWC-YT）"),"",MIN(N(E47),MAX(0,SUMIFS(②销售核销!$I$4:$I$603,②销售核销!$E$4:$E$603,A47)-SUMIFS($E$4:$E$303,$A$4:$A$303,A47,$D$4:$D$303,"已售-按现行规定申报"))))</f>
        <v/>
      </c>
      <c r="M47" s="34" t="str">
        <f aca="false">IF(OR(L47="",N(E47)=0,H47=""),"",ROUND(H47/E47*L47,2))</f>
        <v/>
      </c>
      <c r="N47" s="46"/>
      <c r="O47" s="34" t="str">
        <f aca="false">IF(OR(N47="",H47=""),"",ROUND(N47-H47,2))</f>
        <v/>
      </c>
      <c r="P47" s="36" t="str">
        <f aca="false">IF(OR(A47="",D47&lt;&gt;"未售-海外仓预退（HWC-YT）"),"",IF(L47=0,"仍未销售：需要调整申报，全额缴回预退税",IF(L47&lt;N(E47),"部分已售：需要调整申报，全额冲减后按已售部分重报",IF(N47="","全部已售：填入实际应退税额后判断",IF(O47=0,"全部已售、无差异：无需调整申报","全部已售、有差异：需要调整申报")))))</f>
        <v/>
      </c>
      <c r="Q47" s="41"/>
      <c r="R47" s="44"/>
      <c r="S47" s="36" t="str">
        <f aca="false">IF(A47="","",IF(D47="","请选择申报方式",IF(D47&lt;&gt;"未售-海外仓预退（HWC-YT）","不涉及核算",IF(Q47&lt;&gt;"","已核算",IF(J47="","待税务办结",IF(K47&lt;0,"已逾期：税务将追回预退税",IF(K47&lt;=60,"临近截止（60天内）","待核算")))))))</f>
        <v/>
      </c>
      <c r="T47" s="30" t="str">
        <f aca="false">IF(ISNUMBER(C47),DATE(YEAR(C47)+1,4,30),"")</f>
        <v/>
      </c>
      <c r="U47" s="43"/>
    </row>
    <row r="48" customFormat="false" ht="21.75" hidden="false" customHeight="true" outlineLevel="0" collapsed="false">
      <c r="A48" s="44"/>
      <c r="B48" s="36" t="str">
        <f aca="false">IF(A48="","",IFERROR(INDEX(①出口报关!$I$4:$I$303,MATCH(A48,①出口报关!$A$4:$A$303,0)),"编号不存在"))</f>
        <v/>
      </c>
      <c r="C48" s="30" t="str">
        <f aca="false">IF(A48="","",IFERROR(IF(INDEX(①出口报关!$D$4:$D$303,MATCH(A48,①出口报关!$A$4:$A$303,0))=0,"",INDEX(①出口报关!$D$4:$D$303,MATCH(A48,①出口报关!$A$4:$A$303,0))),"编号不存在"))</f>
        <v/>
      </c>
      <c r="D48" s="43"/>
      <c r="E48" s="45"/>
      <c r="F48" s="41"/>
      <c r="G48" s="48"/>
      <c r="H48" s="46"/>
      <c r="I48" s="41"/>
      <c r="J48" s="30" t="str">
        <f aca="false">IF(AND(D48="未售-海外仓预退（HWC-YT）",ISNUMBER(I48)),DATE(YEAR(I48)+1,4,30),"")</f>
        <v/>
      </c>
      <c r="K48" s="51" t="str">
        <f aca="true">IF(J48="","",IF(Q48&lt;&gt;"","",J48-TODAY()))</f>
        <v/>
      </c>
      <c r="L48" s="31" t="str">
        <f aca="false">IF(OR(A48="",D48&lt;&gt;"未售-海外仓预退（HWC-YT）"),"",MIN(N(E48),MAX(0,SUMIFS(②销售核销!$I$4:$I$603,②销售核销!$E$4:$E$603,A48)-SUMIFS($E$4:$E$303,$A$4:$A$303,A48,$D$4:$D$303,"已售-按现行规定申报"))))</f>
        <v/>
      </c>
      <c r="M48" s="34" t="str">
        <f aca="false">IF(OR(L48="",N(E48)=0,H48=""),"",ROUND(H48/E48*L48,2))</f>
        <v/>
      </c>
      <c r="N48" s="46"/>
      <c r="O48" s="34" t="str">
        <f aca="false">IF(OR(N48="",H48=""),"",ROUND(N48-H48,2))</f>
        <v/>
      </c>
      <c r="P48" s="36" t="str">
        <f aca="false">IF(OR(A48="",D48&lt;&gt;"未售-海外仓预退（HWC-YT）"),"",IF(L48=0,"仍未销售：需要调整申报，全额缴回预退税",IF(L48&lt;N(E48),"部分已售：需要调整申报，全额冲减后按已售部分重报",IF(N48="","全部已售：填入实际应退税额后判断",IF(O48=0,"全部已售、无差异：无需调整申报","全部已售、有差异：需要调整申报")))))</f>
        <v/>
      </c>
      <c r="Q48" s="41"/>
      <c r="R48" s="44"/>
      <c r="S48" s="36" t="str">
        <f aca="false">IF(A48="","",IF(D48="","请选择申报方式",IF(D48&lt;&gt;"未售-海外仓预退（HWC-YT）","不涉及核算",IF(Q48&lt;&gt;"","已核算",IF(J48="","待税务办结",IF(K48&lt;0,"已逾期：税务将追回预退税",IF(K48&lt;=60,"临近截止（60天内）","待核算")))))))</f>
        <v/>
      </c>
      <c r="T48" s="30" t="str">
        <f aca="false">IF(ISNUMBER(C48),DATE(YEAR(C48)+1,4,30),"")</f>
        <v/>
      </c>
      <c r="U48" s="43"/>
    </row>
    <row r="49" customFormat="false" ht="21.75" hidden="false" customHeight="true" outlineLevel="0" collapsed="false">
      <c r="A49" s="44"/>
      <c r="B49" s="36" t="str">
        <f aca="false">IF(A49="","",IFERROR(INDEX(①出口报关!$I$4:$I$303,MATCH(A49,①出口报关!$A$4:$A$303,0)),"编号不存在"))</f>
        <v/>
      </c>
      <c r="C49" s="30" t="str">
        <f aca="false">IF(A49="","",IFERROR(IF(INDEX(①出口报关!$D$4:$D$303,MATCH(A49,①出口报关!$A$4:$A$303,0))=0,"",INDEX(①出口报关!$D$4:$D$303,MATCH(A49,①出口报关!$A$4:$A$303,0))),"编号不存在"))</f>
        <v/>
      </c>
      <c r="D49" s="43"/>
      <c r="E49" s="45"/>
      <c r="F49" s="41"/>
      <c r="G49" s="48"/>
      <c r="H49" s="46"/>
      <c r="I49" s="41"/>
      <c r="J49" s="30" t="str">
        <f aca="false">IF(AND(D49="未售-海外仓预退（HWC-YT）",ISNUMBER(I49)),DATE(YEAR(I49)+1,4,30),"")</f>
        <v/>
      </c>
      <c r="K49" s="51" t="str">
        <f aca="true">IF(J49="","",IF(Q49&lt;&gt;"","",J49-TODAY()))</f>
        <v/>
      </c>
      <c r="L49" s="31" t="str">
        <f aca="false">IF(OR(A49="",D49&lt;&gt;"未售-海外仓预退（HWC-YT）"),"",MIN(N(E49),MAX(0,SUMIFS(②销售核销!$I$4:$I$603,②销售核销!$E$4:$E$603,A49)-SUMIFS($E$4:$E$303,$A$4:$A$303,A49,$D$4:$D$303,"已售-按现行规定申报"))))</f>
        <v/>
      </c>
      <c r="M49" s="34" t="str">
        <f aca="false">IF(OR(L49="",N(E49)=0,H49=""),"",ROUND(H49/E49*L49,2))</f>
        <v/>
      </c>
      <c r="N49" s="46"/>
      <c r="O49" s="34" t="str">
        <f aca="false">IF(OR(N49="",H49=""),"",ROUND(N49-H49,2))</f>
        <v/>
      </c>
      <c r="P49" s="36" t="str">
        <f aca="false">IF(OR(A49="",D49&lt;&gt;"未售-海外仓预退（HWC-YT）"),"",IF(L49=0,"仍未销售：需要调整申报，全额缴回预退税",IF(L49&lt;N(E49),"部分已售：需要调整申报，全额冲减后按已售部分重报",IF(N49="","全部已售：填入实际应退税额后判断",IF(O49=0,"全部已售、无差异：无需调整申报","全部已售、有差异：需要调整申报")))))</f>
        <v/>
      </c>
      <c r="Q49" s="41"/>
      <c r="R49" s="44"/>
      <c r="S49" s="36" t="str">
        <f aca="false">IF(A49="","",IF(D49="","请选择申报方式",IF(D49&lt;&gt;"未售-海外仓预退（HWC-YT）","不涉及核算",IF(Q49&lt;&gt;"","已核算",IF(J49="","待税务办结",IF(K49&lt;0,"已逾期：税务将追回预退税",IF(K49&lt;=60,"临近截止（60天内）","待核算")))))))</f>
        <v/>
      </c>
      <c r="T49" s="30" t="str">
        <f aca="false">IF(ISNUMBER(C49),DATE(YEAR(C49)+1,4,30),"")</f>
        <v/>
      </c>
      <c r="U49" s="43"/>
    </row>
    <row r="50" customFormat="false" ht="21.75" hidden="false" customHeight="true" outlineLevel="0" collapsed="false">
      <c r="A50" s="44"/>
      <c r="B50" s="36" t="str">
        <f aca="false">IF(A50="","",IFERROR(INDEX(①出口报关!$I$4:$I$303,MATCH(A50,①出口报关!$A$4:$A$303,0)),"编号不存在"))</f>
        <v/>
      </c>
      <c r="C50" s="30" t="str">
        <f aca="false">IF(A50="","",IFERROR(IF(INDEX(①出口报关!$D$4:$D$303,MATCH(A50,①出口报关!$A$4:$A$303,0))=0,"",INDEX(①出口报关!$D$4:$D$303,MATCH(A50,①出口报关!$A$4:$A$303,0))),"编号不存在"))</f>
        <v/>
      </c>
      <c r="D50" s="43"/>
      <c r="E50" s="45"/>
      <c r="F50" s="41"/>
      <c r="G50" s="48"/>
      <c r="H50" s="46"/>
      <c r="I50" s="41"/>
      <c r="J50" s="30" t="str">
        <f aca="false">IF(AND(D50="未售-海外仓预退（HWC-YT）",ISNUMBER(I50)),DATE(YEAR(I50)+1,4,30),"")</f>
        <v/>
      </c>
      <c r="K50" s="51" t="str">
        <f aca="true">IF(J50="","",IF(Q50&lt;&gt;"","",J50-TODAY()))</f>
        <v/>
      </c>
      <c r="L50" s="31" t="str">
        <f aca="false">IF(OR(A50="",D50&lt;&gt;"未售-海外仓预退（HWC-YT）"),"",MIN(N(E50),MAX(0,SUMIFS(②销售核销!$I$4:$I$603,②销售核销!$E$4:$E$603,A50)-SUMIFS($E$4:$E$303,$A$4:$A$303,A50,$D$4:$D$303,"已售-按现行规定申报"))))</f>
        <v/>
      </c>
      <c r="M50" s="34" t="str">
        <f aca="false">IF(OR(L50="",N(E50)=0,H50=""),"",ROUND(H50/E50*L50,2))</f>
        <v/>
      </c>
      <c r="N50" s="46"/>
      <c r="O50" s="34" t="str">
        <f aca="false">IF(OR(N50="",H50=""),"",ROUND(N50-H50,2))</f>
        <v/>
      </c>
      <c r="P50" s="36" t="str">
        <f aca="false">IF(OR(A50="",D50&lt;&gt;"未售-海外仓预退（HWC-YT）"),"",IF(L50=0,"仍未销售：需要调整申报，全额缴回预退税",IF(L50&lt;N(E50),"部分已售：需要调整申报，全额冲减后按已售部分重报",IF(N50="","全部已售：填入实际应退税额后判断",IF(O50=0,"全部已售、无差异：无需调整申报","全部已售、有差异：需要调整申报")))))</f>
        <v/>
      </c>
      <c r="Q50" s="41"/>
      <c r="R50" s="44"/>
      <c r="S50" s="36" t="str">
        <f aca="false">IF(A50="","",IF(D50="","请选择申报方式",IF(D50&lt;&gt;"未售-海外仓预退（HWC-YT）","不涉及核算",IF(Q50&lt;&gt;"","已核算",IF(J50="","待税务办结",IF(K50&lt;0,"已逾期：税务将追回预退税",IF(K50&lt;=60,"临近截止（60天内）","待核算")))))))</f>
        <v/>
      </c>
      <c r="T50" s="30" t="str">
        <f aca="false">IF(ISNUMBER(C50),DATE(YEAR(C50)+1,4,30),"")</f>
        <v/>
      </c>
      <c r="U50" s="43"/>
    </row>
    <row r="51" customFormat="false" ht="21.75" hidden="false" customHeight="true" outlineLevel="0" collapsed="false">
      <c r="A51" s="44"/>
      <c r="B51" s="36" t="str">
        <f aca="false">IF(A51="","",IFERROR(INDEX(①出口报关!$I$4:$I$303,MATCH(A51,①出口报关!$A$4:$A$303,0)),"编号不存在"))</f>
        <v/>
      </c>
      <c r="C51" s="30" t="str">
        <f aca="false">IF(A51="","",IFERROR(IF(INDEX(①出口报关!$D$4:$D$303,MATCH(A51,①出口报关!$A$4:$A$303,0))=0,"",INDEX(①出口报关!$D$4:$D$303,MATCH(A51,①出口报关!$A$4:$A$303,0))),"编号不存在"))</f>
        <v/>
      </c>
      <c r="D51" s="43"/>
      <c r="E51" s="45"/>
      <c r="F51" s="41"/>
      <c r="G51" s="48"/>
      <c r="H51" s="46"/>
      <c r="I51" s="41"/>
      <c r="J51" s="30" t="str">
        <f aca="false">IF(AND(D51="未售-海外仓预退（HWC-YT）",ISNUMBER(I51)),DATE(YEAR(I51)+1,4,30),"")</f>
        <v/>
      </c>
      <c r="K51" s="51" t="str">
        <f aca="true">IF(J51="","",IF(Q51&lt;&gt;"","",J51-TODAY()))</f>
        <v/>
      </c>
      <c r="L51" s="31" t="str">
        <f aca="false">IF(OR(A51="",D51&lt;&gt;"未售-海外仓预退（HWC-YT）"),"",MIN(N(E51),MAX(0,SUMIFS(②销售核销!$I$4:$I$603,②销售核销!$E$4:$E$603,A51)-SUMIFS($E$4:$E$303,$A$4:$A$303,A51,$D$4:$D$303,"已售-按现行规定申报"))))</f>
        <v/>
      </c>
      <c r="M51" s="34" t="str">
        <f aca="false">IF(OR(L51="",N(E51)=0,H51=""),"",ROUND(H51/E51*L51,2))</f>
        <v/>
      </c>
      <c r="N51" s="46"/>
      <c r="O51" s="34" t="str">
        <f aca="false">IF(OR(N51="",H51=""),"",ROUND(N51-H51,2))</f>
        <v/>
      </c>
      <c r="P51" s="36" t="str">
        <f aca="false">IF(OR(A51="",D51&lt;&gt;"未售-海外仓预退（HWC-YT）"),"",IF(L51=0,"仍未销售：需要调整申报，全额缴回预退税",IF(L51&lt;N(E51),"部分已售：需要调整申报，全额冲减后按已售部分重报",IF(N51="","全部已售：填入实际应退税额后判断",IF(O51=0,"全部已售、无差异：无需调整申报","全部已售、有差异：需要调整申报")))))</f>
        <v/>
      </c>
      <c r="Q51" s="41"/>
      <c r="R51" s="44"/>
      <c r="S51" s="36" t="str">
        <f aca="false">IF(A51="","",IF(D51="","请选择申报方式",IF(D51&lt;&gt;"未售-海外仓预退（HWC-YT）","不涉及核算",IF(Q51&lt;&gt;"","已核算",IF(J51="","待税务办结",IF(K51&lt;0,"已逾期：税务将追回预退税",IF(K51&lt;=60,"临近截止（60天内）","待核算")))))))</f>
        <v/>
      </c>
      <c r="T51" s="30" t="str">
        <f aca="false">IF(ISNUMBER(C51),DATE(YEAR(C51)+1,4,30),"")</f>
        <v/>
      </c>
      <c r="U51" s="43"/>
    </row>
    <row r="52" customFormat="false" ht="21.75" hidden="false" customHeight="true" outlineLevel="0" collapsed="false">
      <c r="A52" s="44"/>
      <c r="B52" s="36" t="str">
        <f aca="false">IF(A52="","",IFERROR(INDEX(①出口报关!$I$4:$I$303,MATCH(A52,①出口报关!$A$4:$A$303,0)),"编号不存在"))</f>
        <v/>
      </c>
      <c r="C52" s="30" t="str">
        <f aca="false">IF(A52="","",IFERROR(IF(INDEX(①出口报关!$D$4:$D$303,MATCH(A52,①出口报关!$A$4:$A$303,0))=0,"",INDEX(①出口报关!$D$4:$D$303,MATCH(A52,①出口报关!$A$4:$A$303,0))),"编号不存在"))</f>
        <v/>
      </c>
      <c r="D52" s="43"/>
      <c r="E52" s="45"/>
      <c r="F52" s="41"/>
      <c r="G52" s="48"/>
      <c r="H52" s="46"/>
      <c r="I52" s="41"/>
      <c r="J52" s="30" t="str">
        <f aca="false">IF(AND(D52="未售-海外仓预退（HWC-YT）",ISNUMBER(I52)),DATE(YEAR(I52)+1,4,30),"")</f>
        <v/>
      </c>
      <c r="K52" s="51" t="str">
        <f aca="true">IF(J52="","",IF(Q52&lt;&gt;"","",J52-TODAY()))</f>
        <v/>
      </c>
      <c r="L52" s="31" t="str">
        <f aca="false">IF(OR(A52="",D52&lt;&gt;"未售-海外仓预退（HWC-YT）"),"",MIN(N(E52),MAX(0,SUMIFS(②销售核销!$I$4:$I$603,②销售核销!$E$4:$E$603,A52)-SUMIFS($E$4:$E$303,$A$4:$A$303,A52,$D$4:$D$303,"已售-按现行规定申报"))))</f>
        <v/>
      </c>
      <c r="M52" s="34" t="str">
        <f aca="false">IF(OR(L52="",N(E52)=0,H52=""),"",ROUND(H52/E52*L52,2))</f>
        <v/>
      </c>
      <c r="N52" s="46"/>
      <c r="O52" s="34" t="str">
        <f aca="false">IF(OR(N52="",H52=""),"",ROUND(N52-H52,2))</f>
        <v/>
      </c>
      <c r="P52" s="36" t="str">
        <f aca="false">IF(OR(A52="",D52&lt;&gt;"未售-海外仓预退（HWC-YT）"),"",IF(L52=0,"仍未销售：需要调整申报，全额缴回预退税",IF(L52&lt;N(E52),"部分已售：需要调整申报，全额冲减后按已售部分重报",IF(N52="","全部已售：填入实际应退税额后判断",IF(O52=0,"全部已售、无差异：无需调整申报","全部已售、有差异：需要调整申报")))))</f>
        <v/>
      </c>
      <c r="Q52" s="41"/>
      <c r="R52" s="44"/>
      <c r="S52" s="36" t="str">
        <f aca="false">IF(A52="","",IF(D52="","请选择申报方式",IF(D52&lt;&gt;"未售-海外仓预退（HWC-YT）","不涉及核算",IF(Q52&lt;&gt;"","已核算",IF(J52="","待税务办结",IF(K52&lt;0,"已逾期：税务将追回预退税",IF(K52&lt;=60,"临近截止（60天内）","待核算")))))))</f>
        <v/>
      </c>
      <c r="T52" s="30" t="str">
        <f aca="false">IF(ISNUMBER(C52),DATE(YEAR(C52)+1,4,30),"")</f>
        <v/>
      </c>
      <c r="U52" s="43"/>
    </row>
    <row r="53" customFormat="false" ht="21.75" hidden="false" customHeight="true" outlineLevel="0" collapsed="false">
      <c r="A53" s="44"/>
      <c r="B53" s="36" t="str">
        <f aca="false">IF(A53="","",IFERROR(INDEX(①出口报关!$I$4:$I$303,MATCH(A53,①出口报关!$A$4:$A$303,0)),"编号不存在"))</f>
        <v/>
      </c>
      <c r="C53" s="30" t="str">
        <f aca="false">IF(A53="","",IFERROR(IF(INDEX(①出口报关!$D$4:$D$303,MATCH(A53,①出口报关!$A$4:$A$303,0))=0,"",INDEX(①出口报关!$D$4:$D$303,MATCH(A53,①出口报关!$A$4:$A$303,0))),"编号不存在"))</f>
        <v/>
      </c>
      <c r="D53" s="43"/>
      <c r="E53" s="45"/>
      <c r="F53" s="41"/>
      <c r="G53" s="48"/>
      <c r="H53" s="46"/>
      <c r="I53" s="41"/>
      <c r="J53" s="30" t="str">
        <f aca="false">IF(AND(D53="未售-海外仓预退（HWC-YT）",ISNUMBER(I53)),DATE(YEAR(I53)+1,4,30),"")</f>
        <v/>
      </c>
      <c r="K53" s="51" t="str">
        <f aca="true">IF(J53="","",IF(Q53&lt;&gt;"","",J53-TODAY()))</f>
        <v/>
      </c>
      <c r="L53" s="31" t="str">
        <f aca="false">IF(OR(A53="",D53&lt;&gt;"未售-海外仓预退（HWC-YT）"),"",MIN(N(E53),MAX(0,SUMIFS(②销售核销!$I$4:$I$603,②销售核销!$E$4:$E$603,A53)-SUMIFS($E$4:$E$303,$A$4:$A$303,A53,$D$4:$D$303,"已售-按现行规定申报"))))</f>
        <v/>
      </c>
      <c r="M53" s="34" t="str">
        <f aca="false">IF(OR(L53="",N(E53)=0,H53=""),"",ROUND(H53/E53*L53,2))</f>
        <v/>
      </c>
      <c r="N53" s="46"/>
      <c r="O53" s="34" t="str">
        <f aca="false">IF(OR(N53="",H53=""),"",ROUND(N53-H53,2))</f>
        <v/>
      </c>
      <c r="P53" s="36" t="str">
        <f aca="false">IF(OR(A53="",D53&lt;&gt;"未售-海外仓预退（HWC-YT）"),"",IF(L53=0,"仍未销售：需要调整申报，全额缴回预退税",IF(L53&lt;N(E53),"部分已售：需要调整申报，全额冲减后按已售部分重报",IF(N53="","全部已售：填入实际应退税额后判断",IF(O53=0,"全部已售、无差异：无需调整申报","全部已售、有差异：需要调整申报")))))</f>
        <v/>
      </c>
      <c r="Q53" s="41"/>
      <c r="R53" s="44"/>
      <c r="S53" s="36" t="str">
        <f aca="false">IF(A53="","",IF(D53="","请选择申报方式",IF(D53&lt;&gt;"未售-海外仓预退（HWC-YT）","不涉及核算",IF(Q53&lt;&gt;"","已核算",IF(J53="","待税务办结",IF(K53&lt;0,"已逾期：税务将追回预退税",IF(K53&lt;=60,"临近截止（60天内）","待核算")))))))</f>
        <v/>
      </c>
      <c r="T53" s="30" t="str">
        <f aca="false">IF(ISNUMBER(C53),DATE(YEAR(C53)+1,4,30),"")</f>
        <v/>
      </c>
      <c r="U53" s="43"/>
    </row>
    <row r="54" customFormat="false" ht="21.75" hidden="false" customHeight="true" outlineLevel="0" collapsed="false">
      <c r="A54" s="44"/>
      <c r="B54" s="36" t="str">
        <f aca="false">IF(A54="","",IFERROR(INDEX(①出口报关!$I$4:$I$303,MATCH(A54,①出口报关!$A$4:$A$303,0)),"编号不存在"))</f>
        <v/>
      </c>
      <c r="C54" s="30" t="str">
        <f aca="false">IF(A54="","",IFERROR(IF(INDEX(①出口报关!$D$4:$D$303,MATCH(A54,①出口报关!$A$4:$A$303,0))=0,"",INDEX(①出口报关!$D$4:$D$303,MATCH(A54,①出口报关!$A$4:$A$303,0))),"编号不存在"))</f>
        <v/>
      </c>
      <c r="D54" s="43"/>
      <c r="E54" s="45"/>
      <c r="F54" s="41"/>
      <c r="G54" s="48"/>
      <c r="H54" s="46"/>
      <c r="I54" s="41"/>
      <c r="J54" s="30" t="str">
        <f aca="false">IF(AND(D54="未售-海外仓预退（HWC-YT）",ISNUMBER(I54)),DATE(YEAR(I54)+1,4,30),"")</f>
        <v/>
      </c>
      <c r="K54" s="51" t="str">
        <f aca="true">IF(J54="","",IF(Q54&lt;&gt;"","",J54-TODAY()))</f>
        <v/>
      </c>
      <c r="L54" s="31" t="str">
        <f aca="false">IF(OR(A54="",D54&lt;&gt;"未售-海外仓预退（HWC-YT）"),"",MIN(N(E54),MAX(0,SUMIFS(②销售核销!$I$4:$I$603,②销售核销!$E$4:$E$603,A54)-SUMIFS($E$4:$E$303,$A$4:$A$303,A54,$D$4:$D$303,"已售-按现行规定申报"))))</f>
        <v/>
      </c>
      <c r="M54" s="34" t="str">
        <f aca="false">IF(OR(L54="",N(E54)=0,H54=""),"",ROUND(H54/E54*L54,2))</f>
        <v/>
      </c>
      <c r="N54" s="46"/>
      <c r="O54" s="34" t="str">
        <f aca="false">IF(OR(N54="",H54=""),"",ROUND(N54-H54,2))</f>
        <v/>
      </c>
      <c r="P54" s="36" t="str">
        <f aca="false">IF(OR(A54="",D54&lt;&gt;"未售-海外仓预退（HWC-YT）"),"",IF(L54=0,"仍未销售：需要调整申报，全额缴回预退税",IF(L54&lt;N(E54),"部分已售：需要调整申报，全额冲减后按已售部分重报",IF(N54="","全部已售：填入实际应退税额后判断",IF(O54=0,"全部已售、无差异：无需调整申报","全部已售、有差异：需要调整申报")))))</f>
        <v/>
      </c>
      <c r="Q54" s="41"/>
      <c r="R54" s="44"/>
      <c r="S54" s="36" t="str">
        <f aca="false">IF(A54="","",IF(D54="","请选择申报方式",IF(D54&lt;&gt;"未售-海外仓预退（HWC-YT）","不涉及核算",IF(Q54&lt;&gt;"","已核算",IF(J54="","待税务办结",IF(K54&lt;0,"已逾期：税务将追回预退税",IF(K54&lt;=60,"临近截止（60天内）","待核算")))))))</f>
        <v/>
      </c>
      <c r="T54" s="30" t="str">
        <f aca="false">IF(ISNUMBER(C54),DATE(YEAR(C54)+1,4,30),"")</f>
        <v/>
      </c>
      <c r="U54" s="43"/>
    </row>
    <row r="55" customFormat="false" ht="21.75" hidden="false" customHeight="true" outlineLevel="0" collapsed="false">
      <c r="A55" s="44"/>
      <c r="B55" s="36" t="str">
        <f aca="false">IF(A55="","",IFERROR(INDEX(①出口报关!$I$4:$I$303,MATCH(A55,①出口报关!$A$4:$A$303,0)),"编号不存在"))</f>
        <v/>
      </c>
      <c r="C55" s="30" t="str">
        <f aca="false">IF(A55="","",IFERROR(IF(INDEX(①出口报关!$D$4:$D$303,MATCH(A55,①出口报关!$A$4:$A$303,0))=0,"",INDEX(①出口报关!$D$4:$D$303,MATCH(A55,①出口报关!$A$4:$A$303,0))),"编号不存在"))</f>
        <v/>
      </c>
      <c r="D55" s="43"/>
      <c r="E55" s="45"/>
      <c r="F55" s="41"/>
      <c r="G55" s="48"/>
      <c r="H55" s="46"/>
      <c r="I55" s="41"/>
      <c r="J55" s="30" t="str">
        <f aca="false">IF(AND(D55="未售-海外仓预退（HWC-YT）",ISNUMBER(I55)),DATE(YEAR(I55)+1,4,30),"")</f>
        <v/>
      </c>
      <c r="K55" s="51" t="str">
        <f aca="true">IF(J55="","",IF(Q55&lt;&gt;"","",J55-TODAY()))</f>
        <v/>
      </c>
      <c r="L55" s="31" t="str">
        <f aca="false">IF(OR(A55="",D55&lt;&gt;"未售-海外仓预退（HWC-YT）"),"",MIN(N(E55),MAX(0,SUMIFS(②销售核销!$I$4:$I$603,②销售核销!$E$4:$E$603,A55)-SUMIFS($E$4:$E$303,$A$4:$A$303,A55,$D$4:$D$303,"已售-按现行规定申报"))))</f>
        <v/>
      </c>
      <c r="M55" s="34" t="str">
        <f aca="false">IF(OR(L55="",N(E55)=0,H55=""),"",ROUND(H55/E55*L55,2))</f>
        <v/>
      </c>
      <c r="N55" s="46"/>
      <c r="O55" s="34" t="str">
        <f aca="false">IF(OR(N55="",H55=""),"",ROUND(N55-H55,2))</f>
        <v/>
      </c>
      <c r="P55" s="36" t="str">
        <f aca="false">IF(OR(A55="",D55&lt;&gt;"未售-海外仓预退（HWC-YT）"),"",IF(L55=0,"仍未销售：需要调整申报，全额缴回预退税",IF(L55&lt;N(E55),"部分已售：需要调整申报，全额冲减后按已售部分重报",IF(N55="","全部已售：填入实际应退税额后判断",IF(O55=0,"全部已售、无差异：无需调整申报","全部已售、有差异：需要调整申报")))))</f>
        <v/>
      </c>
      <c r="Q55" s="41"/>
      <c r="R55" s="44"/>
      <c r="S55" s="36" t="str">
        <f aca="false">IF(A55="","",IF(D55="","请选择申报方式",IF(D55&lt;&gt;"未售-海外仓预退（HWC-YT）","不涉及核算",IF(Q55&lt;&gt;"","已核算",IF(J55="","待税务办结",IF(K55&lt;0,"已逾期：税务将追回预退税",IF(K55&lt;=60,"临近截止（60天内）","待核算")))))))</f>
        <v/>
      </c>
      <c r="T55" s="30" t="str">
        <f aca="false">IF(ISNUMBER(C55),DATE(YEAR(C55)+1,4,30),"")</f>
        <v/>
      </c>
      <c r="U55" s="43"/>
    </row>
    <row r="56" customFormat="false" ht="21.75" hidden="false" customHeight="true" outlineLevel="0" collapsed="false">
      <c r="A56" s="44"/>
      <c r="B56" s="36" t="str">
        <f aca="false">IF(A56="","",IFERROR(INDEX(①出口报关!$I$4:$I$303,MATCH(A56,①出口报关!$A$4:$A$303,0)),"编号不存在"))</f>
        <v/>
      </c>
      <c r="C56" s="30" t="str">
        <f aca="false">IF(A56="","",IFERROR(IF(INDEX(①出口报关!$D$4:$D$303,MATCH(A56,①出口报关!$A$4:$A$303,0))=0,"",INDEX(①出口报关!$D$4:$D$303,MATCH(A56,①出口报关!$A$4:$A$303,0))),"编号不存在"))</f>
        <v/>
      </c>
      <c r="D56" s="43"/>
      <c r="E56" s="45"/>
      <c r="F56" s="41"/>
      <c r="G56" s="48"/>
      <c r="H56" s="46"/>
      <c r="I56" s="41"/>
      <c r="J56" s="30" t="str">
        <f aca="false">IF(AND(D56="未售-海外仓预退（HWC-YT）",ISNUMBER(I56)),DATE(YEAR(I56)+1,4,30),"")</f>
        <v/>
      </c>
      <c r="K56" s="51" t="str">
        <f aca="true">IF(J56="","",IF(Q56&lt;&gt;"","",J56-TODAY()))</f>
        <v/>
      </c>
      <c r="L56" s="31" t="str">
        <f aca="false">IF(OR(A56="",D56&lt;&gt;"未售-海外仓预退（HWC-YT）"),"",MIN(N(E56),MAX(0,SUMIFS(②销售核销!$I$4:$I$603,②销售核销!$E$4:$E$603,A56)-SUMIFS($E$4:$E$303,$A$4:$A$303,A56,$D$4:$D$303,"已售-按现行规定申报"))))</f>
        <v/>
      </c>
      <c r="M56" s="34" t="str">
        <f aca="false">IF(OR(L56="",N(E56)=0,H56=""),"",ROUND(H56/E56*L56,2))</f>
        <v/>
      </c>
      <c r="N56" s="46"/>
      <c r="O56" s="34" t="str">
        <f aca="false">IF(OR(N56="",H56=""),"",ROUND(N56-H56,2))</f>
        <v/>
      </c>
      <c r="P56" s="36" t="str">
        <f aca="false">IF(OR(A56="",D56&lt;&gt;"未售-海外仓预退（HWC-YT）"),"",IF(L56=0,"仍未销售：需要调整申报，全额缴回预退税",IF(L56&lt;N(E56),"部分已售：需要调整申报，全额冲减后按已售部分重报",IF(N56="","全部已售：填入实际应退税额后判断",IF(O56=0,"全部已售、无差异：无需调整申报","全部已售、有差异：需要调整申报")))))</f>
        <v/>
      </c>
      <c r="Q56" s="41"/>
      <c r="R56" s="44"/>
      <c r="S56" s="36" t="str">
        <f aca="false">IF(A56="","",IF(D56="","请选择申报方式",IF(D56&lt;&gt;"未售-海外仓预退（HWC-YT）","不涉及核算",IF(Q56&lt;&gt;"","已核算",IF(J56="","待税务办结",IF(K56&lt;0,"已逾期：税务将追回预退税",IF(K56&lt;=60,"临近截止（60天内）","待核算")))))))</f>
        <v/>
      </c>
      <c r="T56" s="30" t="str">
        <f aca="false">IF(ISNUMBER(C56),DATE(YEAR(C56)+1,4,30),"")</f>
        <v/>
      </c>
      <c r="U56" s="43"/>
    </row>
    <row r="57" customFormat="false" ht="21.75" hidden="false" customHeight="true" outlineLevel="0" collapsed="false">
      <c r="A57" s="44"/>
      <c r="B57" s="36" t="str">
        <f aca="false">IF(A57="","",IFERROR(INDEX(①出口报关!$I$4:$I$303,MATCH(A57,①出口报关!$A$4:$A$303,0)),"编号不存在"))</f>
        <v/>
      </c>
      <c r="C57" s="30" t="str">
        <f aca="false">IF(A57="","",IFERROR(IF(INDEX(①出口报关!$D$4:$D$303,MATCH(A57,①出口报关!$A$4:$A$303,0))=0,"",INDEX(①出口报关!$D$4:$D$303,MATCH(A57,①出口报关!$A$4:$A$303,0))),"编号不存在"))</f>
        <v/>
      </c>
      <c r="D57" s="43"/>
      <c r="E57" s="45"/>
      <c r="F57" s="41"/>
      <c r="G57" s="48"/>
      <c r="H57" s="46"/>
      <c r="I57" s="41"/>
      <c r="J57" s="30" t="str">
        <f aca="false">IF(AND(D57="未售-海外仓预退（HWC-YT）",ISNUMBER(I57)),DATE(YEAR(I57)+1,4,30),"")</f>
        <v/>
      </c>
      <c r="K57" s="51" t="str">
        <f aca="true">IF(J57="","",IF(Q57&lt;&gt;"","",J57-TODAY()))</f>
        <v/>
      </c>
      <c r="L57" s="31" t="str">
        <f aca="false">IF(OR(A57="",D57&lt;&gt;"未售-海外仓预退（HWC-YT）"),"",MIN(N(E57),MAX(0,SUMIFS(②销售核销!$I$4:$I$603,②销售核销!$E$4:$E$603,A57)-SUMIFS($E$4:$E$303,$A$4:$A$303,A57,$D$4:$D$303,"已售-按现行规定申报"))))</f>
        <v/>
      </c>
      <c r="M57" s="34" t="str">
        <f aca="false">IF(OR(L57="",N(E57)=0,H57=""),"",ROUND(H57/E57*L57,2))</f>
        <v/>
      </c>
      <c r="N57" s="46"/>
      <c r="O57" s="34" t="str">
        <f aca="false">IF(OR(N57="",H57=""),"",ROUND(N57-H57,2))</f>
        <v/>
      </c>
      <c r="P57" s="36" t="str">
        <f aca="false">IF(OR(A57="",D57&lt;&gt;"未售-海外仓预退（HWC-YT）"),"",IF(L57=0,"仍未销售：需要调整申报，全额缴回预退税",IF(L57&lt;N(E57),"部分已售：需要调整申报，全额冲减后按已售部分重报",IF(N57="","全部已售：填入实际应退税额后判断",IF(O57=0,"全部已售、无差异：无需调整申报","全部已售、有差异：需要调整申报")))))</f>
        <v/>
      </c>
      <c r="Q57" s="41"/>
      <c r="R57" s="44"/>
      <c r="S57" s="36" t="str">
        <f aca="false">IF(A57="","",IF(D57="","请选择申报方式",IF(D57&lt;&gt;"未售-海外仓预退（HWC-YT）","不涉及核算",IF(Q57&lt;&gt;"","已核算",IF(J57="","待税务办结",IF(K57&lt;0,"已逾期：税务将追回预退税",IF(K57&lt;=60,"临近截止（60天内）","待核算")))))))</f>
        <v/>
      </c>
      <c r="T57" s="30" t="str">
        <f aca="false">IF(ISNUMBER(C57),DATE(YEAR(C57)+1,4,30),"")</f>
        <v/>
      </c>
      <c r="U57" s="43"/>
    </row>
    <row r="58" customFormat="false" ht="21.75" hidden="false" customHeight="true" outlineLevel="0" collapsed="false">
      <c r="A58" s="44"/>
      <c r="B58" s="36" t="str">
        <f aca="false">IF(A58="","",IFERROR(INDEX(①出口报关!$I$4:$I$303,MATCH(A58,①出口报关!$A$4:$A$303,0)),"编号不存在"))</f>
        <v/>
      </c>
      <c r="C58" s="30" t="str">
        <f aca="false">IF(A58="","",IFERROR(IF(INDEX(①出口报关!$D$4:$D$303,MATCH(A58,①出口报关!$A$4:$A$303,0))=0,"",INDEX(①出口报关!$D$4:$D$303,MATCH(A58,①出口报关!$A$4:$A$303,0))),"编号不存在"))</f>
        <v/>
      </c>
      <c r="D58" s="43"/>
      <c r="E58" s="45"/>
      <c r="F58" s="41"/>
      <c r="G58" s="48"/>
      <c r="H58" s="46"/>
      <c r="I58" s="41"/>
      <c r="J58" s="30" t="str">
        <f aca="false">IF(AND(D58="未售-海外仓预退（HWC-YT）",ISNUMBER(I58)),DATE(YEAR(I58)+1,4,30),"")</f>
        <v/>
      </c>
      <c r="K58" s="51" t="str">
        <f aca="true">IF(J58="","",IF(Q58&lt;&gt;"","",J58-TODAY()))</f>
        <v/>
      </c>
      <c r="L58" s="31" t="str">
        <f aca="false">IF(OR(A58="",D58&lt;&gt;"未售-海外仓预退（HWC-YT）"),"",MIN(N(E58),MAX(0,SUMIFS(②销售核销!$I$4:$I$603,②销售核销!$E$4:$E$603,A58)-SUMIFS($E$4:$E$303,$A$4:$A$303,A58,$D$4:$D$303,"已售-按现行规定申报"))))</f>
        <v/>
      </c>
      <c r="M58" s="34" t="str">
        <f aca="false">IF(OR(L58="",N(E58)=0,H58=""),"",ROUND(H58/E58*L58,2))</f>
        <v/>
      </c>
      <c r="N58" s="46"/>
      <c r="O58" s="34" t="str">
        <f aca="false">IF(OR(N58="",H58=""),"",ROUND(N58-H58,2))</f>
        <v/>
      </c>
      <c r="P58" s="36" t="str">
        <f aca="false">IF(OR(A58="",D58&lt;&gt;"未售-海外仓预退（HWC-YT）"),"",IF(L58=0,"仍未销售：需要调整申报，全额缴回预退税",IF(L58&lt;N(E58),"部分已售：需要调整申报，全额冲减后按已售部分重报",IF(N58="","全部已售：填入实际应退税额后判断",IF(O58=0,"全部已售、无差异：无需调整申报","全部已售、有差异：需要调整申报")))))</f>
        <v/>
      </c>
      <c r="Q58" s="41"/>
      <c r="R58" s="44"/>
      <c r="S58" s="36" t="str">
        <f aca="false">IF(A58="","",IF(D58="","请选择申报方式",IF(D58&lt;&gt;"未售-海外仓预退（HWC-YT）","不涉及核算",IF(Q58&lt;&gt;"","已核算",IF(J58="","待税务办结",IF(K58&lt;0,"已逾期：税务将追回预退税",IF(K58&lt;=60,"临近截止（60天内）","待核算")))))))</f>
        <v/>
      </c>
      <c r="T58" s="30" t="str">
        <f aca="false">IF(ISNUMBER(C58),DATE(YEAR(C58)+1,4,30),"")</f>
        <v/>
      </c>
      <c r="U58" s="43"/>
    </row>
    <row r="59" customFormat="false" ht="21.75" hidden="false" customHeight="true" outlineLevel="0" collapsed="false">
      <c r="A59" s="44"/>
      <c r="B59" s="36" t="str">
        <f aca="false">IF(A59="","",IFERROR(INDEX(①出口报关!$I$4:$I$303,MATCH(A59,①出口报关!$A$4:$A$303,0)),"编号不存在"))</f>
        <v/>
      </c>
      <c r="C59" s="30" t="str">
        <f aca="false">IF(A59="","",IFERROR(IF(INDEX(①出口报关!$D$4:$D$303,MATCH(A59,①出口报关!$A$4:$A$303,0))=0,"",INDEX(①出口报关!$D$4:$D$303,MATCH(A59,①出口报关!$A$4:$A$303,0))),"编号不存在"))</f>
        <v/>
      </c>
      <c r="D59" s="43"/>
      <c r="E59" s="45"/>
      <c r="F59" s="41"/>
      <c r="G59" s="48"/>
      <c r="H59" s="46"/>
      <c r="I59" s="41"/>
      <c r="J59" s="30" t="str">
        <f aca="false">IF(AND(D59="未售-海外仓预退（HWC-YT）",ISNUMBER(I59)),DATE(YEAR(I59)+1,4,30),"")</f>
        <v/>
      </c>
      <c r="K59" s="51" t="str">
        <f aca="true">IF(J59="","",IF(Q59&lt;&gt;"","",J59-TODAY()))</f>
        <v/>
      </c>
      <c r="L59" s="31" t="str">
        <f aca="false">IF(OR(A59="",D59&lt;&gt;"未售-海外仓预退（HWC-YT）"),"",MIN(N(E59),MAX(0,SUMIFS(②销售核销!$I$4:$I$603,②销售核销!$E$4:$E$603,A59)-SUMIFS($E$4:$E$303,$A$4:$A$303,A59,$D$4:$D$303,"已售-按现行规定申报"))))</f>
        <v/>
      </c>
      <c r="M59" s="34" t="str">
        <f aca="false">IF(OR(L59="",N(E59)=0,H59=""),"",ROUND(H59/E59*L59,2))</f>
        <v/>
      </c>
      <c r="N59" s="46"/>
      <c r="O59" s="34" t="str">
        <f aca="false">IF(OR(N59="",H59=""),"",ROUND(N59-H59,2))</f>
        <v/>
      </c>
      <c r="P59" s="36" t="str">
        <f aca="false">IF(OR(A59="",D59&lt;&gt;"未售-海外仓预退（HWC-YT）"),"",IF(L59=0,"仍未销售：需要调整申报，全额缴回预退税",IF(L59&lt;N(E59),"部分已售：需要调整申报，全额冲减后按已售部分重报",IF(N59="","全部已售：填入实际应退税额后判断",IF(O59=0,"全部已售、无差异：无需调整申报","全部已售、有差异：需要调整申报")))))</f>
        <v/>
      </c>
      <c r="Q59" s="41"/>
      <c r="R59" s="44"/>
      <c r="S59" s="36" t="str">
        <f aca="false">IF(A59="","",IF(D59="","请选择申报方式",IF(D59&lt;&gt;"未售-海外仓预退（HWC-YT）","不涉及核算",IF(Q59&lt;&gt;"","已核算",IF(J59="","待税务办结",IF(K59&lt;0,"已逾期：税务将追回预退税",IF(K59&lt;=60,"临近截止（60天内）","待核算")))))))</f>
        <v/>
      </c>
      <c r="T59" s="30" t="str">
        <f aca="false">IF(ISNUMBER(C59),DATE(YEAR(C59)+1,4,30),"")</f>
        <v/>
      </c>
      <c r="U59" s="43"/>
    </row>
    <row r="60" customFormat="false" ht="21.75" hidden="false" customHeight="true" outlineLevel="0" collapsed="false">
      <c r="A60" s="44"/>
      <c r="B60" s="36" t="str">
        <f aca="false">IF(A60="","",IFERROR(INDEX(①出口报关!$I$4:$I$303,MATCH(A60,①出口报关!$A$4:$A$303,0)),"编号不存在"))</f>
        <v/>
      </c>
      <c r="C60" s="30" t="str">
        <f aca="false">IF(A60="","",IFERROR(IF(INDEX(①出口报关!$D$4:$D$303,MATCH(A60,①出口报关!$A$4:$A$303,0))=0,"",INDEX(①出口报关!$D$4:$D$303,MATCH(A60,①出口报关!$A$4:$A$303,0))),"编号不存在"))</f>
        <v/>
      </c>
      <c r="D60" s="43"/>
      <c r="E60" s="45"/>
      <c r="F60" s="41"/>
      <c r="G60" s="48"/>
      <c r="H60" s="46"/>
      <c r="I60" s="41"/>
      <c r="J60" s="30" t="str">
        <f aca="false">IF(AND(D60="未售-海外仓预退（HWC-YT）",ISNUMBER(I60)),DATE(YEAR(I60)+1,4,30),"")</f>
        <v/>
      </c>
      <c r="K60" s="51" t="str">
        <f aca="true">IF(J60="","",IF(Q60&lt;&gt;"","",J60-TODAY()))</f>
        <v/>
      </c>
      <c r="L60" s="31" t="str">
        <f aca="false">IF(OR(A60="",D60&lt;&gt;"未售-海外仓预退（HWC-YT）"),"",MIN(N(E60),MAX(0,SUMIFS(②销售核销!$I$4:$I$603,②销售核销!$E$4:$E$603,A60)-SUMIFS($E$4:$E$303,$A$4:$A$303,A60,$D$4:$D$303,"已售-按现行规定申报"))))</f>
        <v/>
      </c>
      <c r="M60" s="34" t="str">
        <f aca="false">IF(OR(L60="",N(E60)=0,H60=""),"",ROUND(H60/E60*L60,2))</f>
        <v/>
      </c>
      <c r="N60" s="46"/>
      <c r="O60" s="34" t="str">
        <f aca="false">IF(OR(N60="",H60=""),"",ROUND(N60-H60,2))</f>
        <v/>
      </c>
      <c r="P60" s="36" t="str">
        <f aca="false">IF(OR(A60="",D60&lt;&gt;"未售-海外仓预退（HWC-YT）"),"",IF(L60=0,"仍未销售：需要调整申报，全额缴回预退税",IF(L60&lt;N(E60),"部分已售：需要调整申报，全额冲减后按已售部分重报",IF(N60="","全部已售：填入实际应退税额后判断",IF(O60=0,"全部已售、无差异：无需调整申报","全部已售、有差异：需要调整申报")))))</f>
        <v/>
      </c>
      <c r="Q60" s="41"/>
      <c r="R60" s="44"/>
      <c r="S60" s="36" t="str">
        <f aca="false">IF(A60="","",IF(D60="","请选择申报方式",IF(D60&lt;&gt;"未售-海外仓预退（HWC-YT）","不涉及核算",IF(Q60&lt;&gt;"","已核算",IF(J60="","待税务办结",IF(K60&lt;0,"已逾期：税务将追回预退税",IF(K60&lt;=60,"临近截止（60天内）","待核算")))))))</f>
        <v/>
      </c>
      <c r="T60" s="30" t="str">
        <f aca="false">IF(ISNUMBER(C60),DATE(YEAR(C60)+1,4,30),"")</f>
        <v/>
      </c>
      <c r="U60" s="43"/>
    </row>
    <row r="61" customFormat="false" ht="21.75" hidden="false" customHeight="true" outlineLevel="0" collapsed="false">
      <c r="A61" s="44"/>
      <c r="B61" s="36" t="str">
        <f aca="false">IF(A61="","",IFERROR(INDEX(①出口报关!$I$4:$I$303,MATCH(A61,①出口报关!$A$4:$A$303,0)),"编号不存在"))</f>
        <v/>
      </c>
      <c r="C61" s="30" t="str">
        <f aca="false">IF(A61="","",IFERROR(IF(INDEX(①出口报关!$D$4:$D$303,MATCH(A61,①出口报关!$A$4:$A$303,0))=0,"",INDEX(①出口报关!$D$4:$D$303,MATCH(A61,①出口报关!$A$4:$A$303,0))),"编号不存在"))</f>
        <v/>
      </c>
      <c r="D61" s="43"/>
      <c r="E61" s="45"/>
      <c r="F61" s="41"/>
      <c r="G61" s="48"/>
      <c r="H61" s="46"/>
      <c r="I61" s="41"/>
      <c r="J61" s="30" t="str">
        <f aca="false">IF(AND(D61="未售-海外仓预退（HWC-YT）",ISNUMBER(I61)),DATE(YEAR(I61)+1,4,30),"")</f>
        <v/>
      </c>
      <c r="K61" s="51" t="str">
        <f aca="true">IF(J61="","",IF(Q61&lt;&gt;"","",J61-TODAY()))</f>
        <v/>
      </c>
      <c r="L61" s="31" t="str">
        <f aca="false">IF(OR(A61="",D61&lt;&gt;"未售-海外仓预退（HWC-YT）"),"",MIN(N(E61),MAX(0,SUMIFS(②销售核销!$I$4:$I$603,②销售核销!$E$4:$E$603,A61)-SUMIFS($E$4:$E$303,$A$4:$A$303,A61,$D$4:$D$303,"已售-按现行规定申报"))))</f>
        <v/>
      </c>
      <c r="M61" s="34" t="str">
        <f aca="false">IF(OR(L61="",N(E61)=0,H61=""),"",ROUND(H61/E61*L61,2))</f>
        <v/>
      </c>
      <c r="N61" s="46"/>
      <c r="O61" s="34" t="str">
        <f aca="false">IF(OR(N61="",H61=""),"",ROUND(N61-H61,2))</f>
        <v/>
      </c>
      <c r="P61" s="36" t="str">
        <f aca="false">IF(OR(A61="",D61&lt;&gt;"未售-海外仓预退（HWC-YT）"),"",IF(L61=0,"仍未销售：需要调整申报，全额缴回预退税",IF(L61&lt;N(E61),"部分已售：需要调整申报，全额冲减后按已售部分重报",IF(N61="","全部已售：填入实际应退税额后判断",IF(O61=0,"全部已售、无差异：无需调整申报","全部已售、有差异：需要调整申报")))))</f>
        <v/>
      </c>
      <c r="Q61" s="41"/>
      <c r="R61" s="44"/>
      <c r="S61" s="36" t="str">
        <f aca="false">IF(A61="","",IF(D61="","请选择申报方式",IF(D61&lt;&gt;"未售-海外仓预退（HWC-YT）","不涉及核算",IF(Q61&lt;&gt;"","已核算",IF(J61="","待税务办结",IF(K61&lt;0,"已逾期：税务将追回预退税",IF(K61&lt;=60,"临近截止（60天内）","待核算")))))))</f>
        <v/>
      </c>
      <c r="T61" s="30" t="str">
        <f aca="false">IF(ISNUMBER(C61),DATE(YEAR(C61)+1,4,30),"")</f>
        <v/>
      </c>
      <c r="U61" s="43"/>
    </row>
    <row r="62" customFormat="false" ht="21.75" hidden="false" customHeight="true" outlineLevel="0" collapsed="false">
      <c r="A62" s="44"/>
      <c r="B62" s="36" t="str">
        <f aca="false">IF(A62="","",IFERROR(INDEX(①出口报关!$I$4:$I$303,MATCH(A62,①出口报关!$A$4:$A$303,0)),"编号不存在"))</f>
        <v/>
      </c>
      <c r="C62" s="30" t="str">
        <f aca="false">IF(A62="","",IFERROR(IF(INDEX(①出口报关!$D$4:$D$303,MATCH(A62,①出口报关!$A$4:$A$303,0))=0,"",INDEX(①出口报关!$D$4:$D$303,MATCH(A62,①出口报关!$A$4:$A$303,0))),"编号不存在"))</f>
        <v/>
      </c>
      <c r="D62" s="43"/>
      <c r="E62" s="45"/>
      <c r="F62" s="41"/>
      <c r="G62" s="48"/>
      <c r="H62" s="46"/>
      <c r="I62" s="41"/>
      <c r="J62" s="30" t="str">
        <f aca="false">IF(AND(D62="未售-海外仓预退（HWC-YT）",ISNUMBER(I62)),DATE(YEAR(I62)+1,4,30),"")</f>
        <v/>
      </c>
      <c r="K62" s="51" t="str">
        <f aca="true">IF(J62="","",IF(Q62&lt;&gt;"","",J62-TODAY()))</f>
        <v/>
      </c>
      <c r="L62" s="31" t="str">
        <f aca="false">IF(OR(A62="",D62&lt;&gt;"未售-海外仓预退（HWC-YT）"),"",MIN(N(E62),MAX(0,SUMIFS(②销售核销!$I$4:$I$603,②销售核销!$E$4:$E$603,A62)-SUMIFS($E$4:$E$303,$A$4:$A$303,A62,$D$4:$D$303,"已售-按现行规定申报"))))</f>
        <v/>
      </c>
      <c r="M62" s="34" t="str">
        <f aca="false">IF(OR(L62="",N(E62)=0,H62=""),"",ROUND(H62/E62*L62,2))</f>
        <v/>
      </c>
      <c r="N62" s="46"/>
      <c r="O62" s="34" t="str">
        <f aca="false">IF(OR(N62="",H62=""),"",ROUND(N62-H62,2))</f>
        <v/>
      </c>
      <c r="P62" s="36" t="str">
        <f aca="false">IF(OR(A62="",D62&lt;&gt;"未售-海外仓预退（HWC-YT）"),"",IF(L62=0,"仍未销售：需要调整申报，全额缴回预退税",IF(L62&lt;N(E62),"部分已售：需要调整申报，全额冲减后按已售部分重报",IF(N62="","全部已售：填入实际应退税额后判断",IF(O62=0,"全部已售、无差异：无需调整申报","全部已售、有差异：需要调整申报")))))</f>
        <v/>
      </c>
      <c r="Q62" s="41"/>
      <c r="R62" s="44"/>
      <c r="S62" s="36" t="str">
        <f aca="false">IF(A62="","",IF(D62="","请选择申报方式",IF(D62&lt;&gt;"未售-海外仓预退（HWC-YT）","不涉及核算",IF(Q62&lt;&gt;"","已核算",IF(J62="","待税务办结",IF(K62&lt;0,"已逾期：税务将追回预退税",IF(K62&lt;=60,"临近截止（60天内）","待核算")))))))</f>
        <v/>
      </c>
      <c r="T62" s="30" t="str">
        <f aca="false">IF(ISNUMBER(C62),DATE(YEAR(C62)+1,4,30),"")</f>
        <v/>
      </c>
      <c r="U62" s="43"/>
    </row>
    <row r="63" customFormat="false" ht="21.75" hidden="false" customHeight="true" outlineLevel="0" collapsed="false">
      <c r="A63" s="44"/>
      <c r="B63" s="36" t="str">
        <f aca="false">IF(A63="","",IFERROR(INDEX(①出口报关!$I$4:$I$303,MATCH(A63,①出口报关!$A$4:$A$303,0)),"编号不存在"))</f>
        <v/>
      </c>
      <c r="C63" s="30" t="str">
        <f aca="false">IF(A63="","",IFERROR(IF(INDEX(①出口报关!$D$4:$D$303,MATCH(A63,①出口报关!$A$4:$A$303,0))=0,"",INDEX(①出口报关!$D$4:$D$303,MATCH(A63,①出口报关!$A$4:$A$303,0))),"编号不存在"))</f>
        <v/>
      </c>
      <c r="D63" s="43"/>
      <c r="E63" s="45"/>
      <c r="F63" s="41"/>
      <c r="G63" s="48"/>
      <c r="H63" s="46"/>
      <c r="I63" s="41"/>
      <c r="J63" s="30" t="str">
        <f aca="false">IF(AND(D63="未售-海外仓预退（HWC-YT）",ISNUMBER(I63)),DATE(YEAR(I63)+1,4,30),"")</f>
        <v/>
      </c>
      <c r="K63" s="51" t="str">
        <f aca="true">IF(J63="","",IF(Q63&lt;&gt;"","",J63-TODAY()))</f>
        <v/>
      </c>
      <c r="L63" s="31" t="str">
        <f aca="false">IF(OR(A63="",D63&lt;&gt;"未售-海外仓预退（HWC-YT）"),"",MIN(N(E63),MAX(0,SUMIFS(②销售核销!$I$4:$I$603,②销售核销!$E$4:$E$603,A63)-SUMIFS($E$4:$E$303,$A$4:$A$303,A63,$D$4:$D$303,"已售-按现行规定申报"))))</f>
        <v/>
      </c>
      <c r="M63" s="34" t="str">
        <f aca="false">IF(OR(L63="",N(E63)=0,H63=""),"",ROUND(H63/E63*L63,2))</f>
        <v/>
      </c>
      <c r="N63" s="46"/>
      <c r="O63" s="34" t="str">
        <f aca="false">IF(OR(N63="",H63=""),"",ROUND(N63-H63,2))</f>
        <v/>
      </c>
      <c r="P63" s="36" t="str">
        <f aca="false">IF(OR(A63="",D63&lt;&gt;"未售-海外仓预退（HWC-YT）"),"",IF(L63=0,"仍未销售：需要调整申报，全额缴回预退税",IF(L63&lt;N(E63),"部分已售：需要调整申报，全额冲减后按已售部分重报",IF(N63="","全部已售：填入实际应退税额后判断",IF(O63=0,"全部已售、无差异：无需调整申报","全部已售、有差异：需要调整申报")))))</f>
        <v/>
      </c>
      <c r="Q63" s="41"/>
      <c r="R63" s="44"/>
      <c r="S63" s="36" t="str">
        <f aca="false">IF(A63="","",IF(D63="","请选择申报方式",IF(D63&lt;&gt;"未售-海外仓预退（HWC-YT）","不涉及核算",IF(Q63&lt;&gt;"","已核算",IF(J63="","待税务办结",IF(K63&lt;0,"已逾期：税务将追回预退税",IF(K63&lt;=60,"临近截止（60天内）","待核算")))))))</f>
        <v/>
      </c>
      <c r="T63" s="30" t="str">
        <f aca="false">IF(ISNUMBER(C63),DATE(YEAR(C63)+1,4,30),"")</f>
        <v/>
      </c>
      <c r="U63" s="43"/>
    </row>
    <row r="64" customFormat="false" ht="21.75" hidden="false" customHeight="true" outlineLevel="0" collapsed="false">
      <c r="A64" s="44"/>
      <c r="B64" s="36" t="str">
        <f aca="false">IF(A64="","",IFERROR(INDEX(①出口报关!$I$4:$I$303,MATCH(A64,①出口报关!$A$4:$A$303,0)),"编号不存在"))</f>
        <v/>
      </c>
      <c r="C64" s="30" t="str">
        <f aca="false">IF(A64="","",IFERROR(IF(INDEX(①出口报关!$D$4:$D$303,MATCH(A64,①出口报关!$A$4:$A$303,0))=0,"",INDEX(①出口报关!$D$4:$D$303,MATCH(A64,①出口报关!$A$4:$A$303,0))),"编号不存在"))</f>
        <v/>
      </c>
      <c r="D64" s="43"/>
      <c r="E64" s="45"/>
      <c r="F64" s="41"/>
      <c r="G64" s="48"/>
      <c r="H64" s="46"/>
      <c r="I64" s="41"/>
      <c r="J64" s="30" t="str">
        <f aca="false">IF(AND(D64="未售-海外仓预退（HWC-YT）",ISNUMBER(I64)),DATE(YEAR(I64)+1,4,30),"")</f>
        <v/>
      </c>
      <c r="K64" s="51" t="str">
        <f aca="true">IF(J64="","",IF(Q64&lt;&gt;"","",J64-TODAY()))</f>
        <v/>
      </c>
      <c r="L64" s="31" t="str">
        <f aca="false">IF(OR(A64="",D64&lt;&gt;"未售-海外仓预退（HWC-YT）"),"",MIN(N(E64),MAX(0,SUMIFS(②销售核销!$I$4:$I$603,②销售核销!$E$4:$E$603,A64)-SUMIFS($E$4:$E$303,$A$4:$A$303,A64,$D$4:$D$303,"已售-按现行规定申报"))))</f>
        <v/>
      </c>
      <c r="M64" s="34" t="str">
        <f aca="false">IF(OR(L64="",N(E64)=0,H64=""),"",ROUND(H64/E64*L64,2))</f>
        <v/>
      </c>
      <c r="N64" s="46"/>
      <c r="O64" s="34" t="str">
        <f aca="false">IF(OR(N64="",H64=""),"",ROUND(N64-H64,2))</f>
        <v/>
      </c>
      <c r="P64" s="36" t="str">
        <f aca="false">IF(OR(A64="",D64&lt;&gt;"未售-海外仓预退（HWC-YT）"),"",IF(L64=0,"仍未销售：需要调整申报，全额缴回预退税",IF(L64&lt;N(E64),"部分已售：需要调整申报，全额冲减后按已售部分重报",IF(N64="","全部已售：填入实际应退税额后判断",IF(O64=0,"全部已售、无差异：无需调整申报","全部已售、有差异：需要调整申报")))))</f>
        <v/>
      </c>
      <c r="Q64" s="41"/>
      <c r="R64" s="44"/>
      <c r="S64" s="36" t="str">
        <f aca="false">IF(A64="","",IF(D64="","请选择申报方式",IF(D64&lt;&gt;"未售-海外仓预退（HWC-YT）","不涉及核算",IF(Q64&lt;&gt;"","已核算",IF(J64="","待税务办结",IF(K64&lt;0,"已逾期：税务将追回预退税",IF(K64&lt;=60,"临近截止（60天内）","待核算")))))))</f>
        <v/>
      </c>
      <c r="T64" s="30" t="str">
        <f aca="false">IF(ISNUMBER(C64),DATE(YEAR(C64)+1,4,30),"")</f>
        <v/>
      </c>
      <c r="U64" s="43"/>
    </row>
    <row r="65" customFormat="false" ht="21.75" hidden="false" customHeight="true" outlineLevel="0" collapsed="false">
      <c r="A65" s="44"/>
      <c r="B65" s="36" t="str">
        <f aca="false">IF(A65="","",IFERROR(INDEX(①出口报关!$I$4:$I$303,MATCH(A65,①出口报关!$A$4:$A$303,0)),"编号不存在"))</f>
        <v/>
      </c>
      <c r="C65" s="30" t="str">
        <f aca="false">IF(A65="","",IFERROR(IF(INDEX(①出口报关!$D$4:$D$303,MATCH(A65,①出口报关!$A$4:$A$303,0))=0,"",INDEX(①出口报关!$D$4:$D$303,MATCH(A65,①出口报关!$A$4:$A$303,0))),"编号不存在"))</f>
        <v/>
      </c>
      <c r="D65" s="43"/>
      <c r="E65" s="45"/>
      <c r="F65" s="41"/>
      <c r="G65" s="48"/>
      <c r="H65" s="46"/>
      <c r="I65" s="41"/>
      <c r="J65" s="30" t="str">
        <f aca="false">IF(AND(D65="未售-海外仓预退（HWC-YT）",ISNUMBER(I65)),DATE(YEAR(I65)+1,4,30),"")</f>
        <v/>
      </c>
      <c r="K65" s="51" t="str">
        <f aca="true">IF(J65="","",IF(Q65&lt;&gt;"","",J65-TODAY()))</f>
        <v/>
      </c>
      <c r="L65" s="31" t="str">
        <f aca="false">IF(OR(A65="",D65&lt;&gt;"未售-海外仓预退（HWC-YT）"),"",MIN(N(E65),MAX(0,SUMIFS(②销售核销!$I$4:$I$603,②销售核销!$E$4:$E$603,A65)-SUMIFS($E$4:$E$303,$A$4:$A$303,A65,$D$4:$D$303,"已售-按现行规定申报"))))</f>
        <v/>
      </c>
      <c r="M65" s="34" t="str">
        <f aca="false">IF(OR(L65="",N(E65)=0,H65=""),"",ROUND(H65/E65*L65,2))</f>
        <v/>
      </c>
      <c r="N65" s="46"/>
      <c r="O65" s="34" t="str">
        <f aca="false">IF(OR(N65="",H65=""),"",ROUND(N65-H65,2))</f>
        <v/>
      </c>
      <c r="P65" s="36" t="str">
        <f aca="false">IF(OR(A65="",D65&lt;&gt;"未售-海外仓预退（HWC-YT）"),"",IF(L65=0,"仍未销售：需要调整申报，全额缴回预退税",IF(L65&lt;N(E65),"部分已售：需要调整申报，全额冲减后按已售部分重报",IF(N65="","全部已售：填入实际应退税额后判断",IF(O65=0,"全部已售、无差异：无需调整申报","全部已售、有差异：需要调整申报")))))</f>
        <v/>
      </c>
      <c r="Q65" s="41"/>
      <c r="R65" s="44"/>
      <c r="S65" s="36" t="str">
        <f aca="false">IF(A65="","",IF(D65="","请选择申报方式",IF(D65&lt;&gt;"未售-海外仓预退（HWC-YT）","不涉及核算",IF(Q65&lt;&gt;"","已核算",IF(J65="","待税务办结",IF(K65&lt;0,"已逾期：税务将追回预退税",IF(K65&lt;=60,"临近截止（60天内）","待核算")))))))</f>
        <v/>
      </c>
      <c r="T65" s="30" t="str">
        <f aca="false">IF(ISNUMBER(C65),DATE(YEAR(C65)+1,4,30),"")</f>
        <v/>
      </c>
      <c r="U65" s="43"/>
    </row>
    <row r="66" customFormat="false" ht="21.75" hidden="false" customHeight="true" outlineLevel="0" collapsed="false">
      <c r="A66" s="44"/>
      <c r="B66" s="36" t="str">
        <f aca="false">IF(A66="","",IFERROR(INDEX(①出口报关!$I$4:$I$303,MATCH(A66,①出口报关!$A$4:$A$303,0)),"编号不存在"))</f>
        <v/>
      </c>
      <c r="C66" s="30" t="str">
        <f aca="false">IF(A66="","",IFERROR(IF(INDEX(①出口报关!$D$4:$D$303,MATCH(A66,①出口报关!$A$4:$A$303,0))=0,"",INDEX(①出口报关!$D$4:$D$303,MATCH(A66,①出口报关!$A$4:$A$303,0))),"编号不存在"))</f>
        <v/>
      </c>
      <c r="D66" s="43"/>
      <c r="E66" s="45"/>
      <c r="F66" s="41"/>
      <c r="G66" s="48"/>
      <c r="H66" s="46"/>
      <c r="I66" s="41"/>
      <c r="J66" s="30" t="str">
        <f aca="false">IF(AND(D66="未售-海外仓预退（HWC-YT）",ISNUMBER(I66)),DATE(YEAR(I66)+1,4,30),"")</f>
        <v/>
      </c>
      <c r="K66" s="51" t="str">
        <f aca="true">IF(J66="","",IF(Q66&lt;&gt;"","",J66-TODAY()))</f>
        <v/>
      </c>
      <c r="L66" s="31" t="str">
        <f aca="false">IF(OR(A66="",D66&lt;&gt;"未售-海外仓预退（HWC-YT）"),"",MIN(N(E66),MAX(0,SUMIFS(②销售核销!$I$4:$I$603,②销售核销!$E$4:$E$603,A66)-SUMIFS($E$4:$E$303,$A$4:$A$303,A66,$D$4:$D$303,"已售-按现行规定申报"))))</f>
        <v/>
      </c>
      <c r="M66" s="34" t="str">
        <f aca="false">IF(OR(L66="",N(E66)=0,H66=""),"",ROUND(H66/E66*L66,2))</f>
        <v/>
      </c>
      <c r="N66" s="46"/>
      <c r="O66" s="34" t="str">
        <f aca="false">IF(OR(N66="",H66=""),"",ROUND(N66-H66,2))</f>
        <v/>
      </c>
      <c r="P66" s="36" t="str">
        <f aca="false">IF(OR(A66="",D66&lt;&gt;"未售-海外仓预退（HWC-YT）"),"",IF(L66=0,"仍未销售：需要调整申报，全额缴回预退税",IF(L66&lt;N(E66),"部分已售：需要调整申报，全额冲减后按已售部分重报",IF(N66="","全部已售：填入实际应退税额后判断",IF(O66=0,"全部已售、无差异：无需调整申报","全部已售、有差异：需要调整申报")))))</f>
        <v/>
      </c>
      <c r="Q66" s="41"/>
      <c r="R66" s="44"/>
      <c r="S66" s="36" t="str">
        <f aca="false">IF(A66="","",IF(D66="","请选择申报方式",IF(D66&lt;&gt;"未售-海外仓预退（HWC-YT）","不涉及核算",IF(Q66&lt;&gt;"","已核算",IF(J66="","待税务办结",IF(K66&lt;0,"已逾期：税务将追回预退税",IF(K66&lt;=60,"临近截止（60天内）","待核算")))))))</f>
        <v/>
      </c>
      <c r="T66" s="30" t="str">
        <f aca="false">IF(ISNUMBER(C66),DATE(YEAR(C66)+1,4,30),"")</f>
        <v/>
      </c>
      <c r="U66" s="43"/>
    </row>
    <row r="67" customFormat="false" ht="21.75" hidden="false" customHeight="true" outlineLevel="0" collapsed="false">
      <c r="A67" s="44"/>
      <c r="B67" s="36" t="str">
        <f aca="false">IF(A67="","",IFERROR(INDEX(①出口报关!$I$4:$I$303,MATCH(A67,①出口报关!$A$4:$A$303,0)),"编号不存在"))</f>
        <v/>
      </c>
      <c r="C67" s="30" t="str">
        <f aca="false">IF(A67="","",IFERROR(IF(INDEX(①出口报关!$D$4:$D$303,MATCH(A67,①出口报关!$A$4:$A$303,0))=0,"",INDEX(①出口报关!$D$4:$D$303,MATCH(A67,①出口报关!$A$4:$A$303,0))),"编号不存在"))</f>
        <v/>
      </c>
      <c r="D67" s="43"/>
      <c r="E67" s="45"/>
      <c r="F67" s="41"/>
      <c r="G67" s="48"/>
      <c r="H67" s="46"/>
      <c r="I67" s="41"/>
      <c r="J67" s="30" t="str">
        <f aca="false">IF(AND(D67="未售-海外仓预退（HWC-YT）",ISNUMBER(I67)),DATE(YEAR(I67)+1,4,30),"")</f>
        <v/>
      </c>
      <c r="K67" s="51" t="str">
        <f aca="true">IF(J67="","",IF(Q67&lt;&gt;"","",J67-TODAY()))</f>
        <v/>
      </c>
      <c r="L67" s="31" t="str">
        <f aca="false">IF(OR(A67="",D67&lt;&gt;"未售-海外仓预退（HWC-YT）"),"",MIN(N(E67),MAX(0,SUMIFS(②销售核销!$I$4:$I$603,②销售核销!$E$4:$E$603,A67)-SUMIFS($E$4:$E$303,$A$4:$A$303,A67,$D$4:$D$303,"已售-按现行规定申报"))))</f>
        <v/>
      </c>
      <c r="M67" s="34" t="str">
        <f aca="false">IF(OR(L67="",N(E67)=0,H67=""),"",ROUND(H67/E67*L67,2))</f>
        <v/>
      </c>
      <c r="N67" s="46"/>
      <c r="O67" s="34" t="str">
        <f aca="false">IF(OR(N67="",H67=""),"",ROUND(N67-H67,2))</f>
        <v/>
      </c>
      <c r="P67" s="36" t="str">
        <f aca="false">IF(OR(A67="",D67&lt;&gt;"未售-海外仓预退（HWC-YT）"),"",IF(L67=0,"仍未销售：需要调整申报，全额缴回预退税",IF(L67&lt;N(E67),"部分已售：需要调整申报，全额冲减后按已售部分重报",IF(N67="","全部已售：填入实际应退税额后判断",IF(O67=0,"全部已售、无差异：无需调整申报","全部已售、有差异：需要调整申报")))))</f>
        <v/>
      </c>
      <c r="Q67" s="41"/>
      <c r="R67" s="44"/>
      <c r="S67" s="36" t="str">
        <f aca="false">IF(A67="","",IF(D67="","请选择申报方式",IF(D67&lt;&gt;"未售-海外仓预退（HWC-YT）","不涉及核算",IF(Q67&lt;&gt;"","已核算",IF(J67="","待税务办结",IF(K67&lt;0,"已逾期：税务将追回预退税",IF(K67&lt;=60,"临近截止（60天内）","待核算")))))))</f>
        <v/>
      </c>
      <c r="T67" s="30" t="str">
        <f aca="false">IF(ISNUMBER(C67),DATE(YEAR(C67)+1,4,30),"")</f>
        <v/>
      </c>
      <c r="U67" s="43"/>
    </row>
    <row r="68" customFormat="false" ht="21.75" hidden="false" customHeight="true" outlineLevel="0" collapsed="false">
      <c r="A68" s="44"/>
      <c r="B68" s="36" t="str">
        <f aca="false">IF(A68="","",IFERROR(INDEX(①出口报关!$I$4:$I$303,MATCH(A68,①出口报关!$A$4:$A$303,0)),"编号不存在"))</f>
        <v/>
      </c>
      <c r="C68" s="30" t="str">
        <f aca="false">IF(A68="","",IFERROR(IF(INDEX(①出口报关!$D$4:$D$303,MATCH(A68,①出口报关!$A$4:$A$303,0))=0,"",INDEX(①出口报关!$D$4:$D$303,MATCH(A68,①出口报关!$A$4:$A$303,0))),"编号不存在"))</f>
        <v/>
      </c>
      <c r="D68" s="43"/>
      <c r="E68" s="45"/>
      <c r="F68" s="41"/>
      <c r="G68" s="48"/>
      <c r="H68" s="46"/>
      <c r="I68" s="41"/>
      <c r="J68" s="30" t="str">
        <f aca="false">IF(AND(D68="未售-海外仓预退（HWC-YT）",ISNUMBER(I68)),DATE(YEAR(I68)+1,4,30),"")</f>
        <v/>
      </c>
      <c r="K68" s="51" t="str">
        <f aca="true">IF(J68="","",IF(Q68&lt;&gt;"","",J68-TODAY()))</f>
        <v/>
      </c>
      <c r="L68" s="31" t="str">
        <f aca="false">IF(OR(A68="",D68&lt;&gt;"未售-海外仓预退（HWC-YT）"),"",MIN(N(E68),MAX(0,SUMIFS(②销售核销!$I$4:$I$603,②销售核销!$E$4:$E$603,A68)-SUMIFS($E$4:$E$303,$A$4:$A$303,A68,$D$4:$D$303,"已售-按现行规定申报"))))</f>
        <v/>
      </c>
      <c r="M68" s="34" t="str">
        <f aca="false">IF(OR(L68="",N(E68)=0,H68=""),"",ROUND(H68/E68*L68,2))</f>
        <v/>
      </c>
      <c r="N68" s="46"/>
      <c r="O68" s="34" t="str">
        <f aca="false">IF(OR(N68="",H68=""),"",ROUND(N68-H68,2))</f>
        <v/>
      </c>
      <c r="P68" s="36" t="str">
        <f aca="false">IF(OR(A68="",D68&lt;&gt;"未售-海外仓预退（HWC-YT）"),"",IF(L68=0,"仍未销售：需要调整申报，全额缴回预退税",IF(L68&lt;N(E68),"部分已售：需要调整申报，全额冲减后按已售部分重报",IF(N68="","全部已售：填入实际应退税额后判断",IF(O68=0,"全部已售、无差异：无需调整申报","全部已售、有差异：需要调整申报")))))</f>
        <v/>
      </c>
      <c r="Q68" s="41"/>
      <c r="R68" s="44"/>
      <c r="S68" s="36" t="str">
        <f aca="false">IF(A68="","",IF(D68="","请选择申报方式",IF(D68&lt;&gt;"未售-海外仓预退（HWC-YT）","不涉及核算",IF(Q68&lt;&gt;"","已核算",IF(J68="","待税务办结",IF(K68&lt;0,"已逾期：税务将追回预退税",IF(K68&lt;=60,"临近截止（60天内）","待核算")))))))</f>
        <v/>
      </c>
      <c r="T68" s="30" t="str">
        <f aca="false">IF(ISNUMBER(C68),DATE(YEAR(C68)+1,4,30),"")</f>
        <v/>
      </c>
      <c r="U68" s="43"/>
    </row>
    <row r="69" customFormat="false" ht="21.75" hidden="false" customHeight="true" outlineLevel="0" collapsed="false">
      <c r="A69" s="44"/>
      <c r="B69" s="36" t="str">
        <f aca="false">IF(A69="","",IFERROR(INDEX(①出口报关!$I$4:$I$303,MATCH(A69,①出口报关!$A$4:$A$303,0)),"编号不存在"))</f>
        <v/>
      </c>
      <c r="C69" s="30" t="str">
        <f aca="false">IF(A69="","",IFERROR(IF(INDEX(①出口报关!$D$4:$D$303,MATCH(A69,①出口报关!$A$4:$A$303,0))=0,"",INDEX(①出口报关!$D$4:$D$303,MATCH(A69,①出口报关!$A$4:$A$303,0))),"编号不存在"))</f>
        <v/>
      </c>
      <c r="D69" s="43"/>
      <c r="E69" s="45"/>
      <c r="F69" s="41"/>
      <c r="G69" s="48"/>
      <c r="H69" s="46"/>
      <c r="I69" s="41"/>
      <c r="J69" s="30" t="str">
        <f aca="false">IF(AND(D69="未售-海外仓预退（HWC-YT）",ISNUMBER(I69)),DATE(YEAR(I69)+1,4,30),"")</f>
        <v/>
      </c>
      <c r="K69" s="51" t="str">
        <f aca="true">IF(J69="","",IF(Q69&lt;&gt;"","",J69-TODAY()))</f>
        <v/>
      </c>
      <c r="L69" s="31" t="str">
        <f aca="false">IF(OR(A69="",D69&lt;&gt;"未售-海外仓预退（HWC-YT）"),"",MIN(N(E69),MAX(0,SUMIFS(②销售核销!$I$4:$I$603,②销售核销!$E$4:$E$603,A69)-SUMIFS($E$4:$E$303,$A$4:$A$303,A69,$D$4:$D$303,"已售-按现行规定申报"))))</f>
        <v/>
      </c>
      <c r="M69" s="34" t="str">
        <f aca="false">IF(OR(L69="",N(E69)=0,H69=""),"",ROUND(H69/E69*L69,2))</f>
        <v/>
      </c>
      <c r="N69" s="46"/>
      <c r="O69" s="34" t="str">
        <f aca="false">IF(OR(N69="",H69=""),"",ROUND(N69-H69,2))</f>
        <v/>
      </c>
      <c r="P69" s="36" t="str">
        <f aca="false">IF(OR(A69="",D69&lt;&gt;"未售-海外仓预退（HWC-YT）"),"",IF(L69=0,"仍未销售：需要调整申报，全额缴回预退税",IF(L69&lt;N(E69),"部分已售：需要调整申报，全额冲减后按已售部分重报",IF(N69="","全部已售：填入实际应退税额后判断",IF(O69=0,"全部已售、无差异：无需调整申报","全部已售、有差异：需要调整申报")))))</f>
        <v/>
      </c>
      <c r="Q69" s="41"/>
      <c r="R69" s="44"/>
      <c r="S69" s="36" t="str">
        <f aca="false">IF(A69="","",IF(D69="","请选择申报方式",IF(D69&lt;&gt;"未售-海外仓预退（HWC-YT）","不涉及核算",IF(Q69&lt;&gt;"","已核算",IF(J69="","待税务办结",IF(K69&lt;0,"已逾期：税务将追回预退税",IF(K69&lt;=60,"临近截止（60天内）","待核算")))))))</f>
        <v/>
      </c>
      <c r="T69" s="30" t="str">
        <f aca="false">IF(ISNUMBER(C69),DATE(YEAR(C69)+1,4,30),"")</f>
        <v/>
      </c>
      <c r="U69" s="43"/>
    </row>
    <row r="70" customFormat="false" ht="21.75" hidden="false" customHeight="true" outlineLevel="0" collapsed="false">
      <c r="A70" s="44"/>
      <c r="B70" s="36" t="str">
        <f aca="false">IF(A70="","",IFERROR(INDEX(①出口报关!$I$4:$I$303,MATCH(A70,①出口报关!$A$4:$A$303,0)),"编号不存在"))</f>
        <v/>
      </c>
      <c r="C70" s="30" t="str">
        <f aca="false">IF(A70="","",IFERROR(IF(INDEX(①出口报关!$D$4:$D$303,MATCH(A70,①出口报关!$A$4:$A$303,0))=0,"",INDEX(①出口报关!$D$4:$D$303,MATCH(A70,①出口报关!$A$4:$A$303,0))),"编号不存在"))</f>
        <v/>
      </c>
      <c r="D70" s="43"/>
      <c r="E70" s="45"/>
      <c r="F70" s="41"/>
      <c r="G70" s="48"/>
      <c r="H70" s="46"/>
      <c r="I70" s="41"/>
      <c r="J70" s="30" t="str">
        <f aca="false">IF(AND(D70="未售-海外仓预退（HWC-YT）",ISNUMBER(I70)),DATE(YEAR(I70)+1,4,30),"")</f>
        <v/>
      </c>
      <c r="K70" s="51" t="str">
        <f aca="true">IF(J70="","",IF(Q70&lt;&gt;"","",J70-TODAY()))</f>
        <v/>
      </c>
      <c r="L70" s="31" t="str">
        <f aca="false">IF(OR(A70="",D70&lt;&gt;"未售-海外仓预退（HWC-YT）"),"",MIN(N(E70),MAX(0,SUMIFS(②销售核销!$I$4:$I$603,②销售核销!$E$4:$E$603,A70)-SUMIFS($E$4:$E$303,$A$4:$A$303,A70,$D$4:$D$303,"已售-按现行规定申报"))))</f>
        <v/>
      </c>
      <c r="M70" s="34" t="str">
        <f aca="false">IF(OR(L70="",N(E70)=0,H70=""),"",ROUND(H70/E70*L70,2))</f>
        <v/>
      </c>
      <c r="N70" s="46"/>
      <c r="O70" s="34" t="str">
        <f aca="false">IF(OR(N70="",H70=""),"",ROUND(N70-H70,2))</f>
        <v/>
      </c>
      <c r="P70" s="36" t="str">
        <f aca="false">IF(OR(A70="",D70&lt;&gt;"未售-海外仓预退（HWC-YT）"),"",IF(L70=0,"仍未销售：需要调整申报，全额缴回预退税",IF(L70&lt;N(E70),"部分已售：需要调整申报，全额冲减后按已售部分重报",IF(N70="","全部已售：填入实际应退税额后判断",IF(O70=0,"全部已售、无差异：无需调整申报","全部已售、有差异：需要调整申报")))))</f>
        <v/>
      </c>
      <c r="Q70" s="41"/>
      <c r="R70" s="44"/>
      <c r="S70" s="36" t="str">
        <f aca="false">IF(A70="","",IF(D70="","请选择申报方式",IF(D70&lt;&gt;"未售-海外仓预退（HWC-YT）","不涉及核算",IF(Q70&lt;&gt;"","已核算",IF(J70="","待税务办结",IF(K70&lt;0,"已逾期：税务将追回预退税",IF(K70&lt;=60,"临近截止（60天内）","待核算")))))))</f>
        <v/>
      </c>
      <c r="T70" s="30" t="str">
        <f aca="false">IF(ISNUMBER(C70),DATE(YEAR(C70)+1,4,30),"")</f>
        <v/>
      </c>
      <c r="U70" s="43"/>
    </row>
    <row r="71" customFormat="false" ht="21.75" hidden="false" customHeight="true" outlineLevel="0" collapsed="false">
      <c r="A71" s="44"/>
      <c r="B71" s="36" t="str">
        <f aca="false">IF(A71="","",IFERROR(INDEX(①出口报关!$I$4:$I$303,MATCH(A71,①出口报关!$A$4:$A$303,0)),"编号不存在"))</f>
        <v/>
      </c>
      <c r="C71" s="30" t="str">
        <f aca="false">IF(A71="","",IFERROR(IF(INDEX(①出口报关!$D$4:$D$303,MATCH(A71,①出口报关!$A$4:$A$303,0))=0,"",INDEX(①出口报关!$D$4:$D$303,MATCH(A71,①出口报关!$A$4:$A$303,0))),"编号不存在"))</f>
        <v/>
      </c>
      <c r="D71" s="43"/>
      <c r="E71" s="45"/>
      <c r="F71" s="41"/>
      <c r="G71" s="48"/>
      <c r="H71" s="46"/>
      <c r="I71" s="41"/>
      <c r="J71" s="30" t="str">
        <f aca="false">IF(AND(D71="未售-海外仓预退（HWC-YT）",ISNUMBER(I71)),DATE(YEAR(I71)+1,4,30),"")</f>
        <v/>
      </c>
      <c r="K71" s="51" t="str">
        <f aca="true">IF(J71="","",IF(Q71&lt;&gt;"","",J71-TODAY()))</f>
        <v/>
      </c>
      <c r="L71" s="31" t="str">
        <f aca="false">IF(OR(A71="",D71&lt;&gt;"未售-海外仓预退（HWC-YT）"),"",MIN(N(E71),MAX(0,SUMIFS(②销售核销!$I$4:$I$603,②销售核销!$E$4:$E$603,A71)-SUMIFS($E$4:$E$303,$A$4:$A$303,A71,$D$4:$D$303,"已售-按现行规定申报"))))</f>
        <v/>
      </c>
      <c r="M71" s="34" t="str">
        <f aca="false">IF(OR(L71="",N(E71)=0,H71=""),"",ROUND(H71/E71*L71,2))</f>
        <v/>
      </c>
      <c r="N71" s="46"/>
      <c r="O71" s="34" t="str">
        <f aca="false">IF(OR(N71="",H71=""),"",ROUND(N71-H71,2))</f>
        <v/>
      </c>
      <c r="P71" s="36" t="str">
        <f aca="false">IF(OR(A71="",D71&lt;&gt;"未售-海外仓预退（HWC-YT）"),"",IF(L71=0,"仍未销售：需要调整申报，全额缴回预退税",IF(L71&lt;N(E71),"部分已售：需要调整申报，全额冲减后按已售部分重报",IF(N71="","全部已售：填入实际应退税额后判断",IF(O71=0,"全部已售、无差异：无需调整申报","全部已售、有差异：需要调整申报")))))</f>
        <v/>
      </c>
      <c r="Q71" s="41"/>
      <c r="R71" s="44"/>
      <c r="S71" s="36" t="str">
        <f aca="false">IF(A71="","",IF(D71="","请选择申报方式",IF(D71&lt;&gt;"未售-海外仓预退（HWC-YT）","不涉及核算",IF(Q71&lt;&gt;"","已核算",IF(J71="","待税务办结",IF(K71&lt;0,"已逾期：税务将追回预退税",IF(K71&lt;=60,"临近截止（60天内）","待核算")))))))</f>
        <v/>
      </c>
      <c r="T71" s="30" t="str">
        <f aca="false">IF(ISNUMBER(C71),DATE(YEAR(C71)+1,4,30),"")</f>
        <v/>
      </c>
      <c r="U71" s="43"/>
    </row>
    <row r="72" customFormat="false" ht="21.75" hidden="false" customHeight="true" outlineLevel="0" collapsed="false">
      <c r="A72" s="44"/>
      <c r="B72" s="36" t="str">
        <f aca="false">IF(A72="","",IFERROR(INDEX(①出口报关!$I$4:$I$303,MATCH(A72,①出口报关!$A$4:$A$303,0)),"编号不存在"))</f>
        <v/>
      </c>
      <c r="C72" s="30" t="str">
        <f aca="false">IF(A72="","",IFERROR(IF(INDEX(①出口报关!$D$4:$D$303,MATCH(A72,①出口报关!$A$4:$A$303,0))=0,"",INDEX(①出口报关!$D$4:$D$303,MATCH(A72,①出口报关!$A$4:$A$303,0))),"编号不存在"))</f>
        <v/>
      </c>
      <c r="D72" s="43"/>
      <c r="E72" s="45"/>
      <c r="F72" s="41"/>
      <c r="G72" s="48"/>
      <c r="H72" s="46"/>
      <c r="I72" s="41"/>
      <c r="J72" s="30" t="str">
        <f aca="false">IF(AND(D72="未售-海外仓预退（HWC-YT）",ISNUMBER(I72)),DATE(YEAR(I72)+1,4,30),"")</f>
        <v/>
      </c>
      <c r="K72" s="51" t="str">
        <f aca="true">IF(J72="","",IF(Q72&lt;&gt;"","",J72-TODAY()))</f>
        <v/>
      </c>
      <c r="L72" s="31" t="str">
        <f aca="false">IF(OR(A72="",D72&lt;&gt;"未售-海外仓预退（HWC-YT）"),"",MIN(N(E72),MAX(0,SUMIFS(②销售核销!$I$4:$I$603,②销售核销!$E$4:$E$603,A72)-SUMIFS($E$4:$E$303,$A$4:$A$303,A72,$D$4:$D$303,"已售-按现行规定申报"))))</f>
        <v/>
      </c>
      <c r="M72" s="34" t="str">
        <f aca="false">IF(OR(L72="",N(E72)=0,H72=""),"",ROUND(H72/E72*L72,2))</f>
        <v/>
      </c>
      <c r="N72" s="46"/>
      <c r="O72" s="34" t="str">
        <f aca="false">IF(OR(N72="",H72=""),"",ROUND(N72-H72,2))</f>
        <v/>
      </c>
      <c r="P72" s="36" t="str">
        <f aca="false">IF(OR(A72="",D72&lt;&gt;"未售-海外仓预退（HWC-YT）"),"",IF(L72=0,"仍未销售：需要调整申报，全额缴回预退税",IF(L72&lt;N(E72),"部分已售：需要调整申报，全额冲减后按已售部分重报",IF(N72="","全部已售：填入实际应退税额后判断",IF(O72=0,"全部已售、无差异：无需调整申报","全部已售、有差异：需要调整申报")))))</f>
        <v/>
      </c>
      <c r="Q72" s="41"/>
      <c r="R72" s="44"/>
      <c r="S72" s="36" t="str">
        <f aca="false">IF(A72="","",IF(D72="","请选择申报方式",IF(D72&lt;&gt;"未售-海外仓预退（HWC-YT）","不涉及核算",IF(Q72&lt;&gt;"","已核算",IF(J72="","待税务办结",IF(K72&lt;0,"已逾期：税务将追回预退税",IF(K72&lt;=60,"临近截止（60天内）","待核算")))))))</f>
        <v/>
      </c>
      <c r="T72" s="30" t="str">
        <f aca="false">IF(ISNUMBER(C72),DATE(YEAR(C72)+1,4,30),"")</f>
        <v/>
      </c>
      <c r="U72" s="43"/>
    </row>
    <row r="73" customFormat="false" ht="21.75" hidden="false" customHeight="true" outlineLevel="0" collapsed="false">
      <c r="A73" s="44"/>
      <c r="B73" s="36" t="str">
        <f aca="false">IF(A73="","",IFERROR(INDEX(①出口报关!$I$4:$I$303,MATCH(A73,①出口报关!$A$4:$A$303,0)),"编号不存在"))</f>
        <v/>
      </c>
      <c r="C73" s="30" t="str">
        <f aca="false">IF(A73="","",IFERROR(IF(INDEX(①出口报关!$D$4:$D$303,MATCH(A73,①出口报关!$A$4:$A$303,0))=0,"",INDEX(①出口报关!$D$4:$D$303,MATCH(A73,①出口报关!$A$4:$A$303,0))),"编号不存在"))</f>
        <v/>
      </c>
      <c r="D73" s="43"/>
      <c r="E73" s="45"/>
      <c r="F73" s="41"/>
      <c r="G73" s="48"/>
      <c r="H73" s="46"/>
      <c r="I73" s="41"/>
      <c r="J73" s="30" t="str">
        <f aca="false">IF(AND(D73="未售-海外仓预退（HWC-YT）",ISNUMBER(I73)),DATE(YEAR(I73)+1,4,30),"")</f>
        <v/>
      </c>
      <c r="K73" s="51" t="str">
        <f aca="true">IF(J73="","",IF(Q73&lt;&gt;"","",J73-TODAY()))</f>
        <v/>
      </c>
      <c r="L73" s="31" t="str">
        <f aca="false">IF(OR(A73="",D73&lt;&gt;"未售-海外仓预退（HWC-YT）"),"",MIN(N(E73),MAX(0,SUMIFS(②销售核销!$I$4:$I$603,②销售核销!$E$4:$E$603,A73)-SUMIFS($E$4:$E$303,$A$4:$A$303,A73,$D$4:$D$303,"已售-按现行规定申报"))))</f>
        <v/>
      </c>
      <c r="M73" s="34" t="str">
        <f aca="false">IF(OR(L73="",N(E73)=0,H73=""),"",ROUND(H73/E73*L73,2))</f>
        <v/>
      </c>
      <c r="N73" s="46"/>
      <c r="O73" s="34" t="str">
        <f aca="false">IF(OR(N73="",H73=""),"",ROUND(N73-H73,2))</f>
        <v/>
      </c>
      <c r="P73" s="36" t="str">
        <f aca="false">IF(OR(A73="",D73&lt;&gt;"未售-海外仓预退（HWC-YT）"),"",IF(L73=0,"仍未销售：需要调整申报，全额缴回预退税",IF(L73&lt;N(E73),"部分已售：需要调整申报，全额冲减后按已售部分重报",IF(N73="","全部已售：填入实际应退税额后判断",IF(O73=0,"全部已售、无差异：无需调整申报","全部已售、有差异：需要调整申报")))))</f>
        <v/>
      </c>
      <c r="Q73" s="41"/>
      <c r="R73" s="44"/>
      <c r="S73" s="36" t="str">
        <f aca="false">IF(A73="","",IF(D73="","请选择申报方式",IF(D73&lt;&gt;"未售-海外仓预退（HWC-YT）","不涉及核算",IF(Q73&lt;&gt;"","已核算",IF(J73="","待税务办结",IF(K73&lt;0,"已逾期：税务将追回预退税",IF(K73&lt;=60,"临近截止（60天内）","待核算")))))))</f>
        <v/>
      </c>
      <c r="T73" s="30" t="str">
        <f aca="false">IF(ISNUMBER(C73),DATE(YEAR(C73)+1,4,30),"")</f>
        <v/>
      </c>
      <c r="U73" s="43"/>
    </row>
    <row r="74" customFormat="false" ht="21.75" hidden="false" customHeight="true" outlineLevel="0" collapsed="false">
      <c r="A74" s="44"/>
      <c r="B74" s="36" t="str">
        <f aca="false">IF(A74="","",IFERROR(INDEX(①出口报关!$I$4:$I$303,MATCH(A74,①出口报关!$A$4:$A$303,0)),"编号不存在"))</f>
        <v/>
      </c>
      <c r="C74" s="30" t="str">
        <f aca="false">IF(A74="","",IFERROR(IF(INDEX(①出口报关!$D$4:$D$303,MATCH(A74,①出口报关!$A$4:$A$303,0))=0,"",INDEX(①出口报关!$D$4:$D$303,MATCH(A74,①出口报关!$A$4:$A$303,0))),"编号不存在"))</f>
        <v/>
      </c>
      <c r="D74" s="43"/>
      <c r="E74" s="45"/>
      <c r="F74" s="41"/>
      <c r="G74" s="48"/>
      <c r="H74" s="46"/>
      <c r="I74" s="41"/>
      <c r="J74" s="30" t="str">
        <f aca="false">IF(AND(D74="未售-海外仓预退（HWC-YT）",ISNUMBER(I74)),DATE(YEAR(I74)+1,4,30),"")</f>
        <v/>
      </c>
      <c r="K74" s="51" t="str">
        <f aca="true">IF(J74="","",IF(Q74&lt;&gt;"","",J74-TODAY()))</f>
        <v/>
      </c>
      <c r="L74" s="31" t="str">
        <f aca="false">IF(OR(A74="",D74&lt;&gt;"未售-海外仓预退（HWC-YT）"),"",MIN(N(E74),MAX(0,SUMIFS(②销售核销!$I$4:$I$603,②销售核销!$E$4:$E$603,A74)-SUMIFS($E$4:$E$303,$A$4:$A$303,A74,$D$4:$D$303,"已售-按现行规定申报"))))</f>
        <v/>
      </c>
      <c r="M74" s="34" t="str">
        <f aca="false">IF(OR(L74="",N(E74)=0,H74=""),"",ROUND(H74/E74*L74,2))</f>
        <v/>
      </c>
      <c r="N74" s="46"/>
      <c r="O74" s="34" t="str">
        <f aca="false">IF(OR(N74="",H74=""),"",ROUND(N74-H74,2))</f>
        <v/>
      </c>
      <c r="P74" s="36" t="str">
        <f aca="false">IF(OR(A74="",D74&lt;&gt;"未售-海外仓预退（HWC-YT）"),"",IF(L74=0,"仍未销售：需要调整申报，全额缴回预退税",IF(L74&lt;N(E74),"部分已售：需要调整申报，全额冲减后按已售部分重报",IF(N74="","全部已售：填入实际应退税额后判断",IF(O74=0,"全部已售、无差异：无需调整申报","全部已售、有差异：需要调整申报")))))</f>
        <v/>
      </c>
      <c r="Q74" s="41"/>
      <c r="R74" s="44"/>
      <c r="S74" s="36" t="str">
        <f aca="false">IF(A74="","",IF(D74="","请选择申报方式",IF(D74&lt;&gt;"未售-海外仓预退（HWC-YT）","不涉及核算",IF(Q74&lt;&gt;"","已核算",IF(J74="","待税务办结",IF(K74&lt;0,"已逾期：税务将追回预退税",IF(K74&lt;=60,"临近截止（60天内）","待核算")))))))</f>
        <v/>
      </c>
      <c r="T74" s="30" t="str">
        <f aca="false">IF(ISNUMBER(C74),DATE(YEAR(C74)+1,4,30),"")</f>
        <v/>
      </c>
      <c r="U74" s="43"/>
    </row>
    <row r="75" customFormat="false" ht="21.75" hidden="false" customHeight="true" outlineLevel="0" collapsed="false">
      <c r="A75" s="44"/>
      <c r="B75" s="36" t="str">
        <f aca="false">IF(A75="","",IFERROR(INDEX(①出口报关!$I$4:$I$303,MATCH(A75,①出口报关!$A$4:$A$303,0)),"编号不存在"))</f>
        <v/>
      </c>
      <c r="C75" s="30" t="str">
        <f aca="false">IF(A75="","",IFERROR(IF(INDEX(①出口报关!$D$4:$D$303,MATCH(A75,①出口报关!$A$4:$A$303,0))=0,"",INDEX(①出口报关!$D$4:$D$303,MATCH(A75,①出口报关!$A$4:$A$303,0))),"编号不存在"))</f>
        <v/>
      </c>
      <c r="D75" s="43"/>
      <c r="E75" s="45"/>
      <c r="F75" s="41"/>
      <c r="G75" s="48"/>
      <c r="H75" s="46"/>
      <c r="I75" s="41"/>
      <c r="J75" s="30" t="str">
        <f aca="false">IF(AND(D75="未售-海外仓预退（HWC-YT）",ISNUMBER(I75)),DATE(YEAR(I75)+1,4,30),"")</f>
        <v/>
      </c>
      <c r="K75" s="51" t="str">
        <f aca="true">IF(J75="","",IF(Q75&lt;&gt;"","",J75-TODAY()))</f>
        <v/>
      </c>
      <c r="L75" s="31" t="str">
        <f aca="false">IF(OR(A75="",D75&lt;&gt;"未售-海外仓预退（HWC-YT）"),"",MIN(N(E75),MAX(0,SUMIFS(②销售核销!$I$4:$I$603,②销售核销!$E$4:$E$603,A75)-SUMIFS($E$4:$E$303,$A$4:$A$303,A75,$D$4:$D$303,"已售-按现行规定申报"))))</f>
        <v/>
      </c>
      <c r="M75" s="34" t="str">
        <f aca="false">IF(OR(L75="",N(E75)=0,H75=""),"",ROUND(H75/E75*L75,2))</f>
        <v/>
      </c>
      <c r="N75" s="46"/>
      <c r="O75" s="34" t="str">
        <f aca="false">IF(OR(N75="",H75=""),"",ROUND(N75-H75,2))</f>
        <v/>
      </c>
      <c r="P75" s="36" t="str">
        <f aca="false">IF(OR(A75="",D75&lt;&gt;"未售-海外仓预退（HWC-YT）"),"",IF(L75=0,"仍未销售：需要调整申报，全额缴回预退税",IF(L75&lt;N(E75),"部分已售：需要调整申报，全额冲减后按已售部分重报",IF(N75="","全部已售：填入实际应退税额后判断",IF(O75=0,"全部已售、无差异：无需调整申报","全部已售、有差异：需要调整申报")))))</f>
        <v/>
      </c>
      <c r="Q75" s="41"/>
      <c r="R75" s="44"/>
      <c r="S75" s="36" t="str">
        <f aca="false">IF(A75="","",IF(D75="","请选择申报方式",IF(D75&lt;&gt;"未售-海外仓预退（HWC-YT）","不涉及核算",IF(Q75&lt;&gt;"","已核算",IF(J75="","待税务办结",IF(K75&lt;0,"已逾期：税务将追回预退税",IF(K75&lt;=60,"临近截止（60天内）","待核算")))))))</f>
        <v/>
      </c>
      <c r="T75" s="30" t="str">
        <f aca="false">IF(ISNUMBER(C75),DATE(YEAR(C75)+1,4,30),"")</f>
        <v/>
      </c>
      <c r="U75" s="43"/>
    </row>
    <row r="76" customFormat="false" ht="21.75" hidden="false" customHeight="true" outlineLevel="0" collapsed="false">
      <c r="A76" s="44"/>
      <c r="B76" s="36" t="str">
        <f aca="false">IF(A76="","",IFERROR(INDEX(①出口报关!$I$4:$I$303,MATCH(A76,①出口报关!$A$4:$A$303,0)),"编号不存在"))</f>
        <v/>
      </c>
      <c r="C76" s="30" t="str">
        <f aca="false">IF(A76="","",IFERROR(IF(INDEX(①出口报关!$D$4:$D$303,MATCH(A76,①出口报关!$A$4:$A$303,0))=0,"",INDEX(①出口报关!$D$4:$D$303,MATCH(A76,①出口报关!$A$4:$A$303,0))),"编号不存在"))</f>
        <v/>
      </c>
      <c r="D76" s="43"/>
      <c r="E76" s="45"/>
      <c r="F76" s="41"/>
      <c r="G76" s="48"/>
      <c r="H76" s="46"/>
      <c r="I76" s="41"/>
      <c r="J76" s="30" t="str">
        <f aca="false">IF(AND(D76="未售-海外仓预退（HWC-YT）",ISNUMBER(I76)),DATE(YEAR(I76)+1,4,30),"")</f>
        <v/>
      </c>
      <c r="K76" s="51" t="str">
        <f aca="true">IF(J76="","",IF(Q76&lt;&gt;"","",J76-TODAY()))</f>
        <v/>
      </c>
      <c r="L76" s="31" t="str">
        <f aca="false">IF(OR(A76="",D76&lt;&gt;"未售-海外仓预退（HWC-YT）"),"",MIN(N(E76),MAX(0,SUMIFS(②销售核销!$I$4:$I$603,②销售核销!$E$4:$E$603,A76)-SUMIFS($E$4:$E$303,$A$4:$A$303,A76,$D$4:$D$303,"已售-按现行规定申报"))))</f>
        <v/>
      </c>
      <c r="M76" s="34" t="str">
        <f aca="false">IF(OR(L76="",N(E76)=0,H76=""),"",ROUND(H76/E76*L76,2))</f>
        <v/>
      </c>
      <c r="N76" s="46"/>
      <c r="O76" s="34" t="str">
        <f aca="false">IF(OR(N76="",H76=""),"",ROUND(N76-H76,2))</f>
        <v/>
      </c>
      <c r="P76" s="36" t="str">
        <f aca="false">IF(OR(A76="",D76&lt;&gt;"未售-海外仓预退（HWC-YT）"),"",IF(L76=0,"仍未销售：需要调整申报，全额缴回预退税",IF(L76&lt;N(E76),"部分已售：需要调整申报，全额冲减后按已售部分重报",IF(N76="","全部已售：填入实际应退税额后判断",IF(O76=0,"全部已售、无差异：无需调整申报","全部已售、有差异：需要调整申报")))))</f>
        <v/>
      </c>
      <c r="Q76" s="41"/>
      <c r="R76" s="44"/>
      <c r="S76" s="36" t="str">
        <f aca="false">IF(A76="","",IF(D76="","请选择申报方式",IF(D76&lt;&gt;"未售-海外仓预退（HWC-YT）","不涉及核算",IF(Q76&lt;&gt;"","已核算",IF(J76="","待税务办结",IF(K76&lt;0,"已逾期：税务将追回预退税",IF(K76&lt;=60,"临近截止（60天内）","待核算")))))))</f>
        <v/>
      </c>
      <c r="T76" s="30" t="str">
        <f aca="false">IF(ISNUMBER(C76),DATE(YEAR(C76)+1,4,30),"")</f>
        <v/>
      </c>
      <c r="U76" s="43"/>
    </row>
    <row r="77" customFormat="false" ht="21.75" hidden="false" customHeight="true" outlineLevel="0" collapsed="false">
      <c r="A77" s="44"/>
      <c r="B77" s="36" t="str">
        <f aca="false">IF(A77="","",IFERROR(INDEX(①出口报关!$I$4:$I$303,MATCH(A77,①出口报关!$A$4:$A$303,0)),"编号不存在"))</f>
        <v/>
      </c>
      <c r="C77" s="30" t="str">
        <f aca="false">IF(A77="","",IFERROR(IF(INDEX(①出口报关!$D$4:$D$303,MATCH(A77,①出口报关!$A$4:$A$303,0))=0,"",INDEX(①出口报关!$D$4:$D$303,MATCH(A77,①出口报关!$A$4:$A$303,0))),"编号不存在"))</f>
        <v/>
      </c>
      <c r="D77" s="43"/>
      <c r="E77" s="45"/>
      <c r="F77" s="41"/>
      <c r="G77" s="48"/>
      <c r="H77" s="46"/>
      <c r="I77" s="41"/>
      <c r="J77" s="30" t="str">
        <f aca="false">IF(AND(D77="未售-海外仓预退（HWC-YT）",ISNUMBER(I77)),DATE(YEAR(I77)+1,4,30),"")</f>
        <v/>
      </c>
      <c r="K77" s="51" t="str">
        <f aca="true">IF(J77="","",IF(Q77&lt;&gt;"","",J77-TODAY()))</f>
        <v/>
      </c>
      <c r="L77" s="31" t="str">
        <f aca="false">IF(OR(A77="",D77&lt;&gt;"未售-海外仓预退（HWC-YT）"),"",MIN(N(E77),MAX(0,SUMIFS(②销售核销!$I$4:$I$603,②销售核销!$E$4:$E$603,A77)-SUMIFS($E$4:$E$303,$A$4:$A$303,A77,$D$4:$D$303,"已售-按现行规定申报"))))</f>
        <v/>
      </c>
      <c r="M77" s="34" t="str">
        <f aca="false">IF(OR(L77="",N(E77)=0,H77=""),"",ROUND(H77/E77*L77,2))</f>
        <v/>
      </c>
      <c r="N77" s="46"/>
      <c r="O77" s="34" t="str">
        <f aca="false">IF(OR(N77="",H77=""),"",ROUND(N77-H77,2))</f>
        <v/>
      </c>
      <c r="P77" s="36" t="str">
        <f aca="false">IF(OR(A77="",D77&lt;&gt;"未售-海外仓预退（HWC-YT）"),"",IF(L77=0,"仍未销售：需要调整申报，全额缴回预退税",IF(L77&lt;N(E77),"部分已售：需要调整申报，全额冲减后按已售部分重报",IF(N77="","全部已售：填入实际应退税额后判断",IF(O77=0,"全部已售、无差异：无需调整申报","全部已售、有差异：需要调整申报")))))</f>
        <v/>
      </c>
      <c r="Q77" s="41"/>
      <c r="R77" s="44"/>
      <c r="S77" s="36" t="str">
        <f aca="false">IF(A77="","",IF(D77="","请选择申报方式",IF(D77&lt;&gt;"未售-海外仓预退（HWC-YT）","不涉及核算",IF(Q77&lt;&gt;"","已核算",IF(J77="","待税务办结",IF(K77&lt;0,"已逾期：税务将追回预退税",IF(K77&lt;=60,"临近截止（60天内）","待核算")))))))</f>
        <v/>
      </c>
      <c r="T77" s="30" t="str">
        <f aca="false">IF(ISNUMBER(C77),DATE(YEAR(C77)+1,4,30),"")</f>
        <v/>
      </c>
      <c r="U77" s="43"/>
    </row>
    <row r="78" customFormat="false" ht="21.75" hidden="false" customHeight="true" outlineLevel="0" collapsed="false">
      <c r="A78" s="44"/>
      <c r="B78" s="36" t="str">
        <f aca="false">IF(A78="","",IFERROR(INDEX(①出口报关!$I$4:$I$303,MATCH(A78,①出口报关!$A$4:$A$303,0)),"编号不存在"))</f>
        <v/>
      </c>
      <c r="C78" s="30" t="str">
        <f aca="false">IF(A78="","",IFERROR(IF(INDEX(①出口报关!$D$4:$D$303,MATCH(A78,①出口报关!$A$4:$A$303,0))=0,"",INDEX(①出口报关!$D$4:$D$303,MATCH(A78,①出口报关!$A$4:$A$303,0))),"编号不存在"))</f>
        <v/>
      </c>
      <c r="D78" s="43"/>
      <c r="E78" s="45"/>
      <c r="F78" s="41"/>
      <c r="G78" s="48"/>
      <c r="H78" s="46"/>
      <c r="I78" s="41"/>
      <c r="J78" s="30" t="str">
        <f aca="false">IF(AND(D78="未售-海外仓预退（HWC-YT）",ISNUMBER(I78)),DATE(YEAR(I78)+1,4,30),"")</f>
        <v/>
      </c>
      <c r="K78" s="51" t="str">
        <f aca="true">IF(J78="","",IF(Q78&lt;&gt;"","",J78-TODAY()))</f>
        <v/>
      </c>
      <c r="L78" s="31" t="str">
        <f aca="false">IF(OR(A78="",D78&lt;&gt;"未售-海外仓预退（HWC-YT）"),"",MIN(N(E78),MAX(0,SUMIFS(②销售核销!$I$4:$I$603,②销售核销!$E$4:$E$603,A78)-SUMIFS($E$4:$E$303,$A$4:$A$303,A78,$D$4:$D$303,"已售-按现行规定申报"))))</f>
        <v/>
      </c>
      <c r="M78" s="34" t="str">
        <f aca="false">IF(OR(L78="",N(E78)=0,H78=""),"",ROUND(H78/E78*L78,2))</f>
        <v/>
      </c>
      <c r="N78" s="46"/>
      <c r="O78" s="34" t="str">
        <f aca="false">IF(OR(N78="",H78=""),"",ROUND(N78-H78,2))</f>
        <v/>
      </c>
      <c r="P78" s="36" t="str">
        <f aca="false">IF(OR(A78="",D78&lt;&gt;"未售-海外仓预退（HWC-YT）"),"",IF(L78=0,"仍未销售：需要调整申报，全额缴回预退税",IF(L78&lt;N(E78),"部分已售：需要调整申报，全额冲减后按已售部分重报",IF(N78="","全部已售：填入实际应退税额后判断",IF(O78=0,"全部已售、无差异：无需调整申报","全部已售、有差异：需要调整申报")))))</f>
        <v/>
      </c>
      <c r="Q78" s="41"/>
      <c r="R78" s="44"/>
      <c r="S78" s="36" t="str">
        <f aca="false">IF(A78="","",IF(D78="","请选择申报方式",IF(D78&lt;&gt;"未售-海外仓预退（HWC-YT）","不涉及核算",IF(Q78&lt;&gt;"","已核算",IF(J78="","待税务办结",IF(K78&lt;0,"已逾期：税务将追回预退税",IF(K78&lt;=60,"临近截止（60天内）","待核算")))))))</f>
        <v/>
      </c>
      <c r="T78" s="30" t="str">
        <f aca="false">IF(ISNUMBER(C78),DATE(YEAR(C78)+1,4,30),"")</f>
        <v/>
      </c>
      <c r="U78" s="43"/>
    </row>
    <row r="79" customFormat="false" ht="21.75" hidden="false" customHeight="true" outlineLevel="0" collapsed="false">
      <c r="A79" s="44"/>
      <c r="B79" s="36" t="str">
        <f aca="false">IF(A79="","",IFERROR(INDEX(①出口报关!$I$4:$I$303,MATCH(A79,①出口报关!$A$4:$A$303,0)),"编号不存在"))</f>
        <v/>
      </c>
      <c r="C79" s="30" t="str">
        <f aca="false">IF(A79="","",IFERROR(IF(INDEX(①出口报关!$D$4:$D$303,MATCH(A79,①出口报关!$A$4:$A$303,0))=0,"",INDEX(①出口报关!$D$4:$D$303,MATCH(A79,①出口报关!$A$4:$A$303,0))),"编号不存在"))</f>
        <v/>
      </c>
      <c r="D79" s="43"/>
      <c r="E79" s="45"/>
      <c r="F79" s="41"/>
      <c r="G79" s="48"/>
      <c r="H79" s="46"/>
      <c r="I79" s="41"/>
      <c r="J79" s="30" t="str">
        <f aca="false">IF(AND(D79="未售-海外仓预退（HWC-YT）",ISNUMBER(I79)),DATE(YEAR(I79)+1,4,30),"")</f>
        <v/>
      </c>
      <c r="K79" s="51" t="str">
        <f aca="true">IF(J79="","",IF(Q79&lt;&gt;"","",J79-TODAY()))</f>
        <v/>
      </c>
      <c r="L79" s="31" t="str">
        <f aca="false">IF(OR(A79="",D79&lt;&gt;"未售-海外仓预退（HWC-YT）"),"",MIN(N(E79),MAX(0,SUMIFS(②销售核销!$I$4:$I$603,②销售核销!$E$4:$E$603,A79)-SUMIFS($E$4:$E$303,$A$4:$A$303,A79,$D$4:$D$303,"已售-按现行规定申报"))))</f>
        <v/>
      </c>
      <c r="M79" s="34" t="str">
        <f aca="false">IF(OR(L79="",N(E79)=0,H79=""),"",ROUND(H79/E79*L79,2))</f>
        <v/>
      </c>
      <c r="N79" s="46"/>
      <c r="O79" s="34" t="str">
        <f aca="false">IF(OR(N79="",H79=""),"",ROUND(N79-H79,2))</f>
        <v/>
      </c>
      <c r="P79" s="36" t="str">
        <f aca="false">IF(OR(A79="",D79&lt;&gt;"未售-海外仓预退（HWC-YT）"),"",IF(L79=0,"仍未销售：需要调整申报，全额缴回预退税",IF(L79&lt;N(E79),"部分已售：需要调整申报，全额冲减后按已售部分重报",IF(N79="","全部已售：填入实际应退税额后判断",IF(O79=0,"全部已售、无差异：无需调整申报","全部已售、有差异：需要调整申报")))))</f>
        <v/>
      </c>
      <c r="Q79" s="41"/>
      <c r="R79" s="44"/>
      <c r="S79" s="36" t="str">
        <f aca="false">IF(A79="","",IF(D79="","请选择申报方式",IF(D79&lt;&gt;"未售-海外仓预退（HWC-YT）","不涉及核算",IF(Q79&lt;&gt;"","已核算",IF(J79="","待税务办结",IF(K79&lt;0,"已逾期：税务将追回预退税",IF(K79&lt;=60,"临近截止（60天内）","待核算")))))))</f>
        <v/>
      </c>
      <c r="T79" s="30" t="str">
        <f aca="false">IF(ISNUMBER(C79),DATE(YEAR(C79)+1,4,30),"")</f>
        <v/>
      </c>
      <c r="U79" s="43"/>
    </row>
    <row r="80" customFormat="false" ht="21.75" hidden="false" customHeight="true" outlineLevel="0" collapsed="false">
      <c r="A80" s="44"/>
      <c r="B80" s="36" t="str">
        <f aca="false">IF(A80="","",IFERROR(INDEX(①出口报关!$I$4:$I$303,MATCH(A80,①出口报关!$A$4:$A$303,0)),"编号不存在"))</f>
        <v/>
      </c>
      <c r="C80" s="30" t="str">
        <f aca="false">IF(A80="","",IFERROR(IF(INDEX(①出口报关!$D$4:$D$303,MATCH(A80,①出口报关!$A$4:$A$303,0))=0,"",INDEX(①出口报关!$D$4:$D$303,MATCH(A80,①出口报关!$A$4:$A$303,0))),"编号不存在"))</f>
        <v/>
      </c>
      <c r="D80" s="43"/>
      <c r="E80" s="45"/>
      <c r="F80" s="41"/>
      <c r="G80" s="48"/>
      <c r="H80" s="46"/>
      <c r="I80" s="41"/>
      <c r="J80" s="30" t="str">
        <f aca="false">IF(AND(D80="未售-海外仓预退（HWC-YT）",ISNUMBER(I80)),DATE(YEAR(I80)+1,4,30),"")</f>
        <v/>
      </c>
      <c r="K80" s="51" t="str">
        <f aca="true">IF(J80="","",IF(Q80&lt;&gt;"","",J80-TODAY()))</f>
        <v/>
      </c>
      <c r="L80" s="31" t="str">
        <f aca="false">IF(OR(A80="",D80&lt;&gt;"未售-海外仓预退（HWC-YT）"),"",MIN(N(E80),MAX(0,SUMIFS(②销售核销!$I$4:$I$603,②销售核销!$E$4:$E$603,A80)-SUMIFS($E$4:$E$303,$A$4:$A$303,A80,$D$4:$D$303,"已售-按现行规定申报"))))</f>
        <v/>
      </c>
      <c r="M80" s="34" t="str">
        <f aca="false">IF(OR(L80="",N(E80)=0,H80=""),"",ROUND(H80/E80*L80,2))</f>
        <v/>
      </c>
      <c r="N80" s="46"/>
      <c r="O80" s="34" t="str">
        <f aca="false">IF(OR(N80="",H80=""),"",ROUND(N80-H80,2))</f>
        <v/>
      </c>
      <c r="P80" s="36" t="str">
        <f aca="false">IF(OR(A80="",D80&lt;&gt;"未售-海外仓预退（HWC-YT）"),"",IF(L80=0,"仍未销售：需要调整申报，全额缴回预退税",IF(L80&lt;N(E80),"部分已售：需要调整申报，全额冲减后按已售部分重报",IF(N80="","全部已售：填入实际应退税额后判断",IF(O80=0,"全部已售、无差异：无需调整申报","全部已售、有差异：需要调整申报")))))</f>
        <v/>
      </c>
      <c r="Q80" s="41"/>
      <c r="R80" s="44"/>
      <c r="S80" s="36" t="str">
        <f aca="false">IF(A80="","",IF(D80="","请选择申报方式",IF(D80&lt;&gt;"未售-海外仓预退（HWC-YT）","不涉及核算",IF(Q80&lt;&gt;"","已核算",IF(J80="","待税务办结",IF(K80&lt;0,"已逾期：税务将追回预退税",IF(K80&lt;=60,"临近截止（60天内）","待核算")))))))</f>
        <v/>
      </c>
      <c r="T80" s="30" t="str">
        <f aca="false">IF(ISNUMBER(C80),DATE(YEAR(C80)+1,4,30),"")</f>
        <v/>
      </c>
      <c r="U80" s="43"/>
    </row>
    <row r="81" customFormat="false" ht="21.75" hidden="false" customHeight="true" outlineLevel="0" collapsed="false">
      <c r="A81" s="44"/>
      <c r="B81" s="36" t="str">
        <f aca="false">IF(A81="","",IFERROR(INDEX(①出口报关!$I$4:$I$303,MATCH(A81,①出口报关!$A$4:$A$303,0)),"编号不存在"))</f>
        <v/>
      </c>
      <c r="C81" s="30" t="str">
        <f aca="false">IF(A81="","",IFERROR(IF(INDEX(①出口报关!$D$4:$D$303,MATCH(A81,①出口报关!$A$4:$A$303,0))=0,"",INDEX(①出口报关!$D$4:$D$303,MATCH(A81,①出口报关!$A$4:$A$303,0))),"编号不存在"))</f>
        <v/>
      </c>
      <c r="D81" s="43"/>
      <c r="E81" s="45"/>
      <c r="F81" s="41"/>
      <c r="G81" s="48"/>
      <c r="H81" s="46"/>
      <c r="I81" s="41"/>
      <c r="J81" s="30" t="str">
        <f aca="false">IF(AND(D81="未售-海外仓预退（HWC-YT）",ISNUMBER(I81)),DATE(YEAR(I81)+1,4,30),"")</f>
        <v/>
      </c>
      <c r="K81" s="51" t="str">
        <f aca="true">IF(J81="","",IF(Q81&lt;&gt;"","",J81-TODAY()))</f>
        <v/>
      </c>
      <c r="L81" s="31" t="str">
        <f aca="false">IF(OR(A81="",D81&lt;&gt;"未售-海外仓预退（HWC-YT）"),"",MIN(N(E81),MAX(0,SUMIFS(②销售核销!$I$4:$I$603,②销售核销!$E$4:$E$603,A81)-SUMIFS($E$4:$E$303,$A$4:$A$303,A81,$D$4:$D$303,"已售-按现行规定申报"))))</f>
        <v/>
      </c>
      <c r="M81" s="34" t="str">
        <f aca="false">IF(OR(L81="",N(E81)=0,H81=""),"",ROUND(H81/E81*L81,2))</f>
        <v/>
      </c>
      <c r="N81" s="46"/>
      <c r="O81" s="34" t="str">
        <f aca="false">IF(OR(N81="",H81=""),"",ROUND(N81-H81,2))</f>
        <v/>
      </c>
      <c r="P81" s="36" t="str">
        <f aca="false">IF(OR(A81="",D81&lt;&gt;"未售-海外仓预退（HWC-YT）"),"",IF(L81=0,"仍未销售：需要调整申报，全额缴回预退税",IF(L81&lt;N(E81),"部分已售：需要调整申报，全额冲减后按已售部分重报",IF(N81="","全部已售：填入实际应退税额后判断",IF(O81=0,"全部已售、无差异：无需调整申报","全部已售、有差异：需要调整申报")))))</f>
        <v/>
      </c>
      <c r="Q81" s="41"/>
      <c r="R81" s="44"/>
      <c r="S81" s="36" t="str">
        <f aca="false">IF(A81="","",IF(D81="","请选择申报方式",IF(D81&lt;&gt;"未售-海外仓预退（HWC-YT）","不涉及核算",IF(Q81&lt;&gt;"","已核算",IF(J81="","待税务办结",IF(K81&lt;0,"已逾期：税务将追回预退税",IF(K81&lt;=60,"临近截止（60天内）","待核算")))))))</f>
        <v/>
      </c>
      <c r="T81" s="30" t="str">
        <f aca="false">IF(ISNUMBER(C81),DATE(YEAR(C81)+1,4,30),"")</f>
        <v/>
      </c>
      <c r="U81" s="43"/>
    </row>
    <row r="82" customFormat="false" ht="21.75" hidden="false" customHeight="true" outlineLevel="0" collapsed="false">
      <c r="A82" s="44"/>
      <c r="B82" s="36" t="str">
        <f aca="false">IF(A82="","",IFERROR(INDEX(①出口报关!$I$4:$I$303,MATCH(A82,①出口报关!$A$4:$A$303,0)),"编号不存在"))</f>
        <v/>
      </c>
      <c r="C82" s="30" t="str">
        <f aca="false">IF(A82="","",IFERROR(IF(INDEX(①出口报关!$D$4:$D$303,MATCH(A82,①出口报关!$A$4:$A$303,0))=0,"",INDEX(①出口报关!$D$4:$D$303,MATCH(A82,①出口报关!$A$4:$A$303,0))),"编号不存在"))</f>
        <v/>
      </c>
      <c r="D82" s="43"/>
      <c r="E82" s="45"/>
      <c r="F82" s="41"/>
      <c r="G82" s="48"/>
      <c r="H82" s="46"/>
      <c r="I82" s="41"/>
      <c r="J82" s="30" t="str">
        <f aca="false">IF(AND(D82="未售-海外仓预退（HWC-YT）",ISNUMBER(I82)),DATE(YEAR(I82)+1,4,30),"")</f>
        <v/>
      </c>
      <c r="K82" s="51" t="str">
        <f aca="true">IF(J82="","",IF(Q82&lt;&gt;"","",J82-TODAY()))</f>
        <v/>
      </c>
      <c r="L82" s="31" t="str">
        <f aca="false">IF(OR(A82="",D82&lt;&gt;"未售-海外仓预退（HWC-YT）"),"",MIN(N(E82),MAX(0,SUMIFS(②销售核销!$I$4:$I$603,②销售核销!$E$4:$E$603,A82)-SUMIFS($E$4:$E$303,$A$4:$A$303,A82,$D$4:$D$303,"已售-按现行规定申报"))))</f>
        <v/>
      </c>
      <c r="M82" s="34" t="str">
        <f aca="false">IF(OR(L82="",N(E82)=0,H82=""),"",ROUND(H82/E82*L82,2))</f>
        <v/>
      </c>
      <c r="N82" s="46"/>
      <c r="O82" s="34" t="str">
        <f aca="false">IF(OR(N82="",H82=""),"",ROUND(N82-H82,2))</f>
        <v/>
      </c>
      <c r="P82" s="36" t="str">
        <f aca="false">IF(OR(A82="",D82&lt;&gt;"未售-海外仓预退（HWC-YT）"),"",IF(L82=0,"仍未销售：需要调整申报，全额缴回预退税",IF(L82&lt;N(E82),"部分已售：需要调整申报，全额冲减后按已售部分重报",IF(N82="","全部已售：填入实际应退税额后判断",IF(O82=0,"全部已售、无差异：无需调整申报","全部已售、有差异：需要调整申报")))))</f>
        <v/>
      </c>
      <c r="Q82" s="41"/>
      <c r="R82" s="44"/>
      <c r="S82" s="36" t="str">
        <f aca="false">IF(A82="","",IF(D82="","请选择申报方式",IF(D82&lt;&gt;"未售-海外仓预退（HWC-YT）","不涉及核算",IF(Q82&lt;&gt;"","已核算",IF(J82="","待税务办结",IF(K82&lt;0,"已逾期：税务将追回预退税",IF(K82&lt;=60,"临近截止（60天内）","待核算")))))))</f>
        <v/>
      </c>
      <c r="T82" s="30" t="str">
        <f aca="false">IF(ISNUMBER(C82),DATE(YEAR(C82)+1,4,30),"")</f>
        <v/>
      </c>
      <c r="U82" s="43"/>
    </row>
    <row r="83" customFormat="false" ht="21.75" hidden="false" customHeight="true" outlineLevel="0" collapsed="false">
      <c r="A83" s="44"/>
      <c r="B83" s="36" t="str">
        <f aca="false">IF(A83="","",IFERROR(INDEX(①出口报关!$I$4:$I$303,MATCH(A83,①出口报关!$A$4:$A$303,0)),"编号不存在"))</f>
        <v/>
      </c>
      <c r="C83" s="30" t="str">
        <f aca="false">IF(A83="","",IFERROR(IF(INDEX(①出口报关!$D$4:$D$303,MATCH(A83,①出口报关!$A$4:$A$303,0))=0,"",INDEX(①出口报关!$D$4:$D$303,MATCH(A83,①出口报关!$A$4:$A$303,0))),"编号不存在"))</f>
        <v/>
      </c>
      <c r="D83" s="43"/>
      <c r="E83" s="45"/>
      <c r="F83" s="41"/>
      <c r="G83" s="48"/>
      <c r="H83" s="46"/>
      <c r="I83" s="41"/>
      <c r="J83" s="30" t="str">
        <f aca="false">IF(AND(D83="未售-海外仓预退（HWC-YT）",ISNUMBER(I83)),DATE(YEAR(I83)+1,4,30),"")</f>
        <v/>
      </c>
      <c r="K83" s="51" t="str">
        <f aca="true">IF(J83="","",IF(Q83&lt;&gt;"","",J83-TODAY()))</f>
        <v/>
      </c>
      <c r="L83" s="31" t="str">
        <f aca="false">IF(OR(A83="",D83&lt;&gt;"未售-海外仓预退（HWC-YT）"),"",MIN(N(E83),MAX(0,SUMIFS(②销售核销!$I$4:$I$603,②销售核销!$E$4:$E$603,A83)-SUMIFS($E$4:$E$303,$A$4:$A$303,A83,$D$4:$D$303,"已售-按现行规定申报"))))</f>
        <v/>
      </c>
      <c r="M83" s="34" t="str">
        <f aca="false">IF(OR(L83="",N(E83)=0,H83=""),"",ROUND(H83/E83*L83,2))</f>
        <v/>
      </c>
      <c r="N83" s="46"/>
      <c r="O83" s="34" t="str">
        <f aca="false">IF(OR(N83="",H83=""),"",ROUND(N83-H83,2))</f>
        <v/>
      </c>
      <c r="P83" s="36" t="str">
        <f aca="false">IF(OR(A83="",D83&lt;&gt;"未售-海外仓预退（HWC-YT）"),"",IF(L83=0,"仍未销售：需要调整申报，全额缴回预退税",IF(L83&lt;N(E83),"部分已售：需要调整申报，全额冲减后按已售部分重报",IF(N83="","全部已售：填入实际应退税额后判断",IF(O83=0,"全部已售、无差异：无需调整申报","全部已售、有差异：需要调整申报")))))</f>
        <v/>
      </c>
      <c r="Q83" s="41"/>
      <c r="R83" s="44"/>
      <c r="S83" s="36" t="str">
        <f aca="false">IF(A83="","",IF(D83="","请选择申报方式",IF(D83&lt;&gt;"未售-海外仓预退（HWC-YT）","不涉及核算",IF(Q83&lt;&gt;"","已核算",IF(J83="","待税务办结",IF(K83&lt;0,"已逾期：税务将追回预退税",IF(K83&lt;=60,"临近截止（60天内）","待核算")))))))</f>
        <v/>
      </c>
      <c r="T83" s="30" t="str">
        <f aca="false">IF(ISNUMBER(C83),DATE(YEAR(C83)+1,4,30),"")</f>
        <v/>
      </c>
      <c r="U83" s="43"/>
    </row>
    <row r="84" customFormat="false" ht="21.75" hidden="false" customHeight="true" outlineLevel="0" collapsed="false">
      <c r="A84" s="44"/>
      <c r="B84" s="36" t="str">
        <f aca="false">IF(A84="","",IFERROR(INDEX(①出口报关!$I$4:$I$303,MATCH(A84,①出口报关!$A$4:$A$303,0)),"编号不存在"))</f>
        <v/>
      </c>
      <c r="C84" s="30" t="str">
        <f aca="false">IF(A84="","",IFERROR(IF(INDEX(①出口报关!$D$4:$D$303,MATCH(A84,①出口报关!$A$4:$A$303,0))=0,"",INDEX(①出口报关!$D$4:$D$303,MATCH(A84,①出口报关!$A$4:$A$303,0))),"编号不存在"))</f>
        <v/>
      </c>
      <c r="D84" s="43"/>
      <c r="E84" s="45"/>
      <c r="F84" s="41"/>
      <c r="G84" s="48"/>
      <c r="H84" s="46"/>
      <c r="I84" s="41"/>
      <c r="J84" s="30" t="str">
        <f aca="false">IF(AND(D84="未售-海外仓预退（HWC-YT）",ISNUMBER(I84)),DATE(YEAR(I84)+1,4,30),"")</f>
        <v/>
      </c>
      <c r="K84" s="51" t="str">
        <f aca="true">IF(J84="","",IF(Q84&lt;&gt;"","",J84-TODAY()))</f>
        <v/>
      </c>
      <c r="L84" s="31" t="str">
        <f aca="false">IF(OR(A84="",D84&lt;&gt;"未售-海外仓预退（HWC-YT）"),"",MIN(N(E84),MAX(0,SUMIFS(②销售核销!$I$4:$I$603,②销售核销!$E$4:$E$603,A84)-SUMIFS($E$4:$E$303,$A$4:$A$303,A84,$D$4:$D$303,"已售-按现行规定申报"))))</f>
        <v/>
      </c>
      <c r="M84" s="34" t="str">
        <f aca="false">IF(OR(L84="",N(E84)=0,H84=""),"",ROUND(H84/E84*L84,2))</f>
        <v/>
      </c>
      <c r="N84" s="46"/>
      <c r="O84" s="34" t="str">
        <f aca="false">IF(OR(N84="",H84=""),"",ROUND(N84-H84,2))</f>
        <v/>
      </c>
      <c r="P84" s="36" t="str">
        <f aca="false">IF(OR(A84="",D84&lt;&gt;"未售-海外仓预退（HWC-YT）"),"",IF(L84=0,"仍未销售：需要调整申报，全额缴回预退税",IF(L84&lt;N(E84),"部分已售：需要调整申报，全额冲减后按已售部分重报",IF(N84="","全部已售：填入实际应退税额后判断",IF(O84=0,"全部已售、无差异：无需调整申报","全部已售、有差异：需要调整申报")))))</f>
        <v/>
      </c>
      <c r="Q84" s="41"/>
      <c r="R84" s="44"/>
      <c r="S84" s="36" t="str">
        <f aca="false">IF(A84="","",IF(D84="","请选择申报方式",IF(D84&lt;&gt;"未售-海外仓预退（HWC-YT）","不涉及核算",IF(Q84&lt;&gt;"","已核算",IF(J84="","待税务办结",IF(K84&lt;0,"已逾期：税务将追回预退税",IF(K84&lt;=60,"临近截止（60天内）","待核算")))))))</f>
        <v/>
      </c>
      <c r="T84" s="30" t="str">
        <f aca="false">IF(ISNUMBER(C84),DATE(YEAR(C84)+1,4,30),"")</f>
        <v/>
      </c>
      <c r="U84" s="43"/>
    </row>
    <row r="85" customFormat="false" ht="21.75" hidden="false" customHeight="true" outlineLevel="0" collapsed="false">
      <c r="A85" s="44"/>
      <c r="B85" s="36" t="str">
        <f aca="false">IF(A85="","",IFERROR(INDEX(①出口报关!$I$4:$I$303,MATCH(A85,①出口报关!$A$4:$A$303,0)),"编号不存在"))</f>
        <v/>
      </c>
      <c r="C85" s="30" t="str">
        <f aca="false">IF(A85="","",IFERROR(IF(INDEX(①出口报关!$D$4:$D$303,MATCH(A85,①出口报关!$A$4:$A$303,0))=0,"",INDEX(①出口报关!$D$4:$D$303,MATCH(A85,①出口报关!$A$4:$A$303,0))),"编号不存在"))</f>
        <v/>
      </c>
      <c r="D85" s="43"/>
      <c r="E85" s="45"/>
      <c r="F85" s="41"/>
      <c r="G85" s="48"/>
      <c r="H85" s="46"/>
      <c r="I85" s="41"/>
      <c r="J85" s="30" t="str">
        <f aca="false">IF(AND(D85="未售-海外仓预退（HWC-YT）",ISNUMBER(I85)),DATE(YEAR(I85)+1,4,30),"")</f>
        <v/>
      </c>
      <c r="K85" s="51" t="str">
        <f aca="true">IF(J85="","",IF(Q85&lt;&gt;"","",J85-TODAY()))</f>
        <v/>
      </c>
      <c r="L85" s="31" t="str">
        <f aca="false">IF(OR(A85="",D85&lt;&gt;"未售-海外仓预退（HWC-YT）"),"",MIN(N(E85),MAX(0,SUMIFS(②销售核销!$I$4:$I$603,②销售核销!$E$4:$E$603,A85)-SUMIFS($E$4:$E$303,$A$4:$A$303,A85,$D$4:$D$303,"已售-按现行规定申报"))))</f>
        <v/>
      </c>
      <c r="M85" s="34" t="str">
        <f aca="false">IF(OR(L85="",N(E85)=0,H85=""),"",ROUND(H85/E85*L85,2))</f>
        <v/>
      </c>
      <c r="N85" s="46"/>
      <c r="O85" s="34" t="str">
        <f aca="false">IF(OR(N85="",H85=""),"",ROUND(N85-H85,2))</f>
        <v/>
      </c>
      <c r="P85" s="36" t="str">
        <f aca="false">IF(OR(A85="",D85&lt;&gt;"未售-海外仓预退（HWC-YT）"),"",IF(L85=0,"仍未销售：需要调整申报，全额缴回预退税",IF(L85&lt;N(E85),"部分已售：需要调整申报，全额冲减后按已售部分重报",IF(N85="","全部已售：填入实际应退税额后判断",IF(O85=0,"全部已售、无差异：无需调整申报","全部已售、有差异：需要调整申报")))))</f>
        <v/>
      </c>
      <c r="Q85" s="41"/>
      <c r="R85" s="44"/>
      <c r="S85" s="36" t="str">
        <f aca="false">IF(A85="","",IF(D85="","请选择申报方式",IF(D85&lt;&gt;"未售-海外仓预退（HWC-YT）","不涉及核算",IF(Q85&lt;&gt;"","已核算",IF(J85="","待税务办结",IF(K85&lt;0,"已逾期：税务将追回预退税",IF(K85&lt;=60,"临近截止（60天内）","待核算")))))))</f>
        <v/>
      </c>
      <c r="T85" s="30" t="str">
        <f aca="false">IF(ISNUMBER(C85),DATE(YEAR(C85)+1,4,30),"")</f>
        <v/>
      </c>
      <c r="U85" s="43"/>
    </row>
    <row r="86" customFormat="false" ht="21.75" hidden="false" customHeight="true" outlineLevel="0" collapsed="false">
      <c r="A86" s="44"/>
      <c r="B86" s="36" t="str">
        <f aca="false">IF(A86="","",IFERROR(INDEX(①出口报关!$I$4:$I$303,MATCH(A86,①出口报关!$A$4:$A$303,0)),"编号不存在"))</f>
        <v/>
      </c>
      <c r="C86" s="30" t="str">
        <f aca="false">IF(A86="","",IFERROR(IF(INDEX(①出口报关!$D$4:$D$303,MATCH(A86,①出口报关!$A$4:$A$303,0))=0,"",INDEX(①出口报关!$D$4:$D$303,MATCH(A86,①出口报关!$A$4:$A$303,0))),"编号不存在"))</f>
        <v/>
      </c>
      <c r="D86" s="43"/>
      <c r="E86" s="45"/>
      <c r="F86" s="41"/>
      <c r="G86" s="48"/>
      <c r="H86" s="46"/>
      <c r="I86" s="41"/>
      <c r="J86" s="30" t="str">
        <f aca="false">IF(AND(D86="未售-海外仓预退（HWC-YT）",ISNUMBER(I86)),DATE(YEAR(I86)+1,4,30),"")</f>
        <v/>
      </c>
      <c r="K86" s="51" t="str">
        <f aca="true">IF(J86="","",IF(Q86&lt;&gt;"","",J86-TODAY()))</f>
        <v/>
      </c>
      <c r="L86" s="31" t="str">
        <f aca="false">IF(OR(A86="",D86&lt;&gt;"未售-海外仓预退（HWC-YT）"),"",MIN(N(E86),MAX(0,SUMIFS(②销售核销!$I$4:$I$603,②销售核销!$E$4:$E$603,A86)-SUMIFS($E$4:$E$303,$A$4:$A$303,A86,$D$4:$D$303,"已售-按现行规定申报"))))</f>
        <v/>
      </c>
      <c r="M86" s="34" t="str">
        <f aca="false">IF(OR(L86="",N(E86)=0,H86=""),"",ROUND(H86/E86*L86,2))</f>
        <v/>
      </c>
      <c r="N86" s="46"/>
      <c r="O86" s="34" t="str">
        <f aca="false">IF(OR(N86="",H86=""),"",ROUND(N86-H86,2))</f>
        <v/>
      </c>
      <c r="P86" s="36" t="str">
        <f aca="false">IF(OR(A86="",D86&lt;&gt;"未售-海外仓预退（HWC-YT）"),"",IF(L86=0,"仍未销售：需要调整申报，全额缴回预退税",IF(L86&lt;N(E86),"部分已售：需要调整申报，全额冲减后按已售部分重报",IF(N86="","全部已售：填入实际应退税额后判断",IF(O86=0,"全部已售、无差异：无需调整申报","全部已售、有差异：需要调整申报")))))</f>
        <v/>
      </c>
      <c r="Q86" s="41"/>
      <c r="R86" s="44"/>
      <c r="S86" s="36" t="str">
        <f aca="false">IF(A86="","",IF(D86="","请选择申报方式",IF(D86&lt;&gt;"未售-海外仓预退（HWC-YT）","不涉及核算",IF(Q86&lt;&gt;"","已核算",IF(J86="","待税务办结",IF(K86&lt;0,"已逾期：税务将追回预退税",IF(K86&lt;=60,"临近截止（60天内）","待核算")))))))</f>
        <v/>
      </c>
      <c r="T86" s="30" t="str">
        <f aca="false">IF(ISNUMBER(C86),DATE(YEAR(C86)+1,4,30),"")</f>
        <v/>
      </c>
      <c r="U86" s="43"/>
    </row>
    <row r="87" customFormat="false" ht="21.75" hidden="false" customHeight="true" outlineLevel="0" collapsed="false">
      <c r="A87" s="44"/>
      <c r="B87" s="36" t="str">
        <f aca="false">IF(A87="","",IFERROR(INDEX(①出口报关!$I$4:$I$303,MATCH(A87,①出口报关!$A$4:$A$303,0)),"编号不存在"))</f>
        <v/>
      </c>
      <c r="C87" s="30" t="str">
        <f aca="false">IF(A87="","",IFERROR(IF(INDEX(①出口报关!$D$4:$D$303,MATCH(A87,①出口报关!$A$4:$A$303,0))=0,"",INDEX(①出口报关!$D$4:$D$303,MATCH(A87,①出口报关!$A$4:$A$303,0))),"编号不存在"))</f>
        <v/>
      </c>
      <c r="D87" s="43"/>
      <c r="E87" s="45"/>
      <c r="F87" s="41"/>
      <c r="G87" s="48"/>
      <c r="H87" s="46"/>
      <c r="I87" s="41"/>
      <c r="J87" s="30" t="str">
        <f aca="false">IF(AND(D87="未售-海外仓预退（HWC-YT）",ISNUMBER(I87)),DATE(YEAR(I87)+1,4,30),"")</f>
        <v/>
      </c>
      <c r="K87" s="51" t="str">
        <f aca="true">IF(J87="","",IF(Q87&lt;&gt;"","",J87-TODAY()))</f>
        <v/>
      </c>
      <c r="L87" s="31" t="str">
        <f aca="false">IF(OR(A87="",D87&lt;&gt;"未售-海外仓预退（HWC-YT）"),"",MIN(N(E87),MAX(0,SUMIFS(②销售核销!$I$4:$I$603,②销售核销!$E$4:$E$603,A87)-SUMIFS($E$4:$E$303,$A$4:$A$303,A87,$D$4:$D$303,"已售-按现行规定申报"))))</f>
        <v/>
      </c>
      <c r="M87" s="34" t="str">
        <f aca="false">IF(OR(L87="",N(E87)=0,H87=""),"",ROUND(H87/E87*L87,2))</f>
        <v/>
      </c>
      <c r="N87" s="46"/>
      <c r="O87" s="34" t="str">
        <f aca="false">IF(OR(N87="",H87=""),"",ROUND(N87-H87,2))</f>
        <v/>
      </c>
      <c r="P87" s="36" t="str">
        <f aca="false">IF(OR(A87="",D87&lt;&gt;"未售-海外仓预退（HWC-YT）"),"",IF(L87=0,"仍未销售：需要调整申报，全额缴回预退税",IF(L87&lt;N(E87),"部分已售：需要调整申报，全额冲减后按已售部分重报",IF(N87="","全部已售：填入实际应退税额后判断",IF(O87=0,"全部已售、无差异：无需调整申报","全部已售、有差异：需要调整申报")))))</f>
        <v/>
      </c>
      <c r="Q87" s="41"/>
      <c r="R87" s="44"/>
      <c r="S87" s="36" t="str">
        <f aca="false">IF(A87="","",IF(D87="","请选择申报方式",IF(D87&lt;&gt;"未售-海外仓预退（HWC-YT）","不涉及核算",IF(Q87&lt;&gt;"","已核算",IF(J87="","待税务办结",IF(K87&lt;0,"已逾期：税务将追回预退税",IF(K87&lt;=60,"临近截止（60天内）","待核算")))))))</f>
        <v/>
      </c>
      <c r="T87" s="30" t="str">
        <f aca="false">IF(ISNUMBER(C87),DATE(YEAR(C87)+1,4,30),"")</f>
        <v/>
      </c>
      <c r="U87" s="43"/>
    </row>
    <row r="88" customFormat="false" ht="21.75" hidden="false" customHeight="true" outlineLevel="0" collapsed="false">
      <c r="A88" s="44"/>
      <c r="B88" s="36" t="str">
        <f aca="false">IF(A88="","",IFERROR(INDEX(①出口报关!$I$4:$I$303,MATCH(A88,①出口报关!$A$4:$A$303,0)),"编号不存在"))</f>
        <v/>
      </c>
      <c r="C88" s="30" t="str">
        <f aca="false">IF(A88="","",IFERROR(IF(INDEX(①出口报关!$D$4:$D$303,MATCH(A88,①出口报关!$A$4:$A$303,0))=0,"",INDEX(①出口报关!$D$4:$D$303,MATCH(A88,①出口报关!$A$4:$A$303,0))),"编号不存在"))</f>
        <v/>
      </c>
      <c r="D88" s="43"/>
      <c r="E88" s="45"/>
      <c r="F88" s="41"/>
      <c r="G88" s="48"/>
      <c r="H88" s="46"/>
      <c r="I88" s="41"/>
      <c r="J88" s="30" t="str">
        <f aca="false">IF(AND(D88="未售-海外仓预退（HWC-YT）",ISNUMBER(I88)),DATE(YEAR(I88)+1,4,30),"")</f>
        <v/>
      </c>
      <c r="K88" s="51" t="str">
        <f aca="true">IF(J88="","",IF(Q88&lt;&gt;"","",J88-TODAY()))</f>
        <v/>
      </c>
      <c r="L88" s="31" t="str">
        <f aca="false">IF(OR(A88="",D88&lt;&gt;"未售-海外仓预退（HWC-YT）"),"",MIN(N(E88),MAX(0,SUMIFS(②销售核销!$I$4:$I$603,②销售核销!$E$4:$E$603,A88)-SUMIFS($E$4:$E$303,$A$4:$A$303,A88,$D$4:$D$303,"已售-按现行规定申报"))))</f>
        <v/>
      </c>
      <c r="M88" s="34" t="str">
        <f aca="false">IF(OR(L88="",N(E88)=0,H88=""),"",ROUND(H88/E88*L88,2))</f>
        <v/>
      </c>
      <c r="N88" s="46"/>
      <c r="O88" s="34" t="str">
        <f aca="false">IF(OR(N88="",H88=""),"",ROUND(N88-H88,2))</f>
        <v/>
      </c>
      <c r="P88" s="36" t="str">
        <f aca="false">IF(OR(A88="",D88&lt;&gt;"未售-海外仓预退（HWC-YT）"),"",IF(L88=0,"仍未销售：需要调整申报，全额缴回预退税",IF(L88&lt;N(E88),"部分已售：需要调整申报，全额冲减后按已售部分重报",IF(N88="","全部已售：填入实际应退税额后判断",IF(O88=0,"全部已售、无差异：无需调整申报","全部已售、有差异：需要调整申报")))))</f>
        <v/>
      </c>
      <c r="Q88" s="41"/>
      <c r="R88" s="44"/>
      <c r="S88" s="36" t="str">
        <f aca="false">IF(A88="","",IF(D88="","请选择申报方式",IF(D88&lt;&gt;"未售-海外仓预退（HWC-YT）","不涉及核算",IF(Q88&lt;&gt;"","已核算",IF(J88="","待税务办结",IF(K88&lt;0,"已逾期：税务将追回预退税",IF(K88&lt;=60,"临近截止（60天内）","待核算")))))))</f>
        <v/>
      </c>
      <c r="T88" s="30" t="str">
        <f aca="false">IF(ISNUMBER(C88),DATE(YEAR(C88)+1,4,30),"")</f>
        <v/>
      </c>
      <c r="U88" s="43"/>
    </row>
    <row r="89" customFormat="false" ht="21.75" hidden="false" customHeight="true" outlineLevel="0" collapsed="false">
      <c r="A89" s="44"/>
      <c r="B89" s="36" t="str">
        <f aca="false">IF(A89="","",IFERROR(INDEX(①出口报关!$I$4:$I$303,MATCH(A89,①出口报关!$A$4:$A$303,0)),"编号不存在"))</f>
        <v/>
      </c>
      <c r="C89" s="30" t="str">
        <f aca="false">IF(A89="","",IFERROR(IF(INDEX(①出口报关!$D$4:$D$303,MATCH(A89,①出口报关!$A$4:$A$303,0))=0,"",INDEX(①出口报关!$D$4:$D$303,MATCH(A89,①出口报关!$A$4:$A$303,0))),"编号不存在"))</f>
        <v/>
      </c>
      <c r="D89" s="43"/>
      <c r="E89" s="45"/>
      <c r="F89" s="41"/>
      <c r="G89" s="48"/>
      <c r="H89" s="46"/>
      <c r="I89" s="41"/>
      <c r="J89" s="30" t="str">
        <f aca="false">IF(AND(D89="未售-海外仓预退（HWC-YT）",ISNUMBER(I89)),DATE(YEAR(I89)+1,4,30),"")</f>
        <v/>
      </c>
      <c r="K89" s="51" t="str">
        <f aca="true">IF(J89="","",IF(Q89&lt;&gt;"","",J89-TODAY()))</f>
        <v/>
      </c>
      <c r="L89" s="31" t="str">
        <f aca="false">IF(OR(A89="",D89&lt;&gt;"未售-海外仓预退（HWC-YT）"),"",MIN(N(E89),MAX(0,SUMIFS(②销售核销!$I$4:$I$603,②销售核销!$E$4:$E$603,A89)-SUMIFS($E$4:$E$303,$A$4:$A$303,A89,$D$4:$D$303,"已售-按现行规定申报"))))</f>
        <v/>
      </c>
      <c r="M89" s="34" t="str">
        <f aca="false">IF(OR(L89="",N(E89)=0,H89=""),"",ROUND(H89/E89*L89,2))</f>
        <v/>
      </c>
      <c r="N89" s="46"/>
      <c r="O89" s="34" t="str">
        <f aca="false">IF(OR(N89="",H89=""),"",ROUND(N89-H89,2))</f>
        <v/>
      </c>
      <c r="P89" s="36" t="str">
        <f aca="false">IF(OR(A89="",D89&lt;&gt;"未售-海外仓预退（HWC-YT）"),"",IF(L89=0,"仍未销售：需要调整申报，全额缴回预退税",IF(L89&lt;N(E89),"部分已售：需要调整申报，全额冲减后按已售部分重报",IF(N89="","全部已售：填入实际应退税额后判断",IF(O89=0,"全部已售、无差异：无需调整申报","全部已售、有差异：需要调整申报")))))</f>
        <v/>
      </c>
      <c r="Q89" s="41"/>
      <c r="R89" s="44"/>
      <c r="S89" s="36" t="str">
        <f aca="false">IF(A89="","",IF(D89="","请选择申报方式",IF(D89&lt;&gt;"未售-海外仓预退（HWC-YT）","不涉及核算",IF(Q89&lt;&gt;"","已核算",IF(J89="","待税务办结",IF(K89&lt;0,"已逾期：税务将追回预退税",IF(K89&lt;=60,"临近截止（60天内）","待核算")))))))</f>
        <v/>
      </c>
      <c r="T89" s="30" t="str">
        <f aca="false">IF(ISNUMBER(C89),DATE(YEAR(C89)+1,4,30),"")</f>
        <v/>
      </c>
      <c r="U89" s="43"/>
    </row>
    <row r="90" customFormat="false" ht="21.75" hidden="false" customHeight="true" outlineLevel="0" collapsed="false">
      <c r="A90" s="44"/>
      <c r="B90" s="36" t="str">
        <f aca="false">IF(A90="","",IFERROR(INDEX(①出口报关!$I$4:$I$303,MATCH(A90,①出口报关!$A$4:$A$303,0)),"编号不存在"))</f>
        <v/>
      </c>
      <c r="C90" s="30" t="str">
        <f aca="false">IF(A90="","",IFERROR(IF(INDEX(①出口报关!$D$4:$D$303,MATCH(A90,①出口报关!$A$4:$A$303,0))=0,"",INDEX(①出口报关!$D$4:$D$303,MATCH(A90,①出口报关!$A$4:$A$303,0))),"编号不存在"))</f>
        <v/>
      </c>
      <c r="D90" s="43"/>
      <c r="E90" s="45"/>
      <c r="F90" s="41"/>
      <c r="G90" s="48"/>
      <c r="H90" s="46"/>
      <c r="I90" s="41"/>
      <c r="J90" s="30" t="str">
        <f aca="false">IF(AND(D90="未售-海外仓预退（HWC-YT）",ISNUMBER(I90)),DATE(YEAR(I90)+1,4,30),"")</f>
        <v/>
      </c>
      <c r="K90" s="51" t="str">
        <f aca="true">IF(J90="","",IF(Q90&lt;&gt;"","",J90-TODAY()))</f>
        <v/>
      </c>
      <c r="L90" s="31" t="str">
        <f aca="false">IF(OR(A90="",D90&lt;&gt;"未售-海外仓预退（HWC-YT）"),"",MIN(N(E90),MAX(0,SUMIFS(②销售核销!$I$4:$I$603,②销售核销!$E$4:$E$603,A90)-SUMIFS($E$4:$E$303,$A$4:$A$303,A90,$D$4:$D$303,"已售-按现行规定申报"))))</f>
        <v/>
      </c>
      <c r="M90" s="34" t="str">
        <f aca="false">IF(OR(L90="",N(E90)=0,H90=""),"",ROUND(H90/E90*L90,2))</f>
        <v/>
      </c>
      <c r="N90" s="46"/>
      <c r="O90" s="34" t="str">
        <f aca="false">IF(OR(N90="",H90=""),"",ROUND(N90-H90,2))</f>
        <v/>
      </c>
      <c r="P90" s="36" t="str">
        <f aca="false">IF(OR(A90="",D90&lt;&gt;"未售-海外仓预退（HWC-YT）"),"",IF(L90=0,"仍未销售：需要调整申报，全额缴回预退税",IF(L90&lt;N(E90),"部分已售：需要调整申报，全额冲减后按已售部分重报",IF(N90="","全部已售：填入实际应退税额后判断",IF(O90=0,"全部已售、无差异：无需调整申报","全部已售、有差异：需要调整申报")))))</f>
        <v/>
      </c>
      <c r="Q90" s="41"/>
      <c r="R90" s="44"/>
      <c r="S90" s="36" t="str">
        <f aca="false">IF(A90="","",IF(D90="","请选择申报方式",IF(D90&lt;&gt;"未售-海外仓预退（HWC-YT）","不涉及核算",IF(Q90&lt;&gt;"","已核算",IF(J90="","待税务办结",IF(K90&lt;0,"已逾期：税务将追回预退税",IF(K90&lt;=60,"临近截止（60天内）","待核算")))))))</f>
        <v/>
      </c>
      <c r="T90" s="30" t="str">
        <f aca="false">IF(ISNUMBER(C90),DATE(YEAR(C90)+1,4,30),"")</f>
        <v/>
      </c>
      <c r="U90" s="43"/>
    </row>
    <row r="91" customFormat="false" ht="21.75" hidden="false" customHeight="true" outlineLevel="0" collapsed="false">
      <c r="A91" s="44"/>
      <c r="B91" s="36" t="str">
        <f aca="false">IF(A91="","",IFERROR(INDEX(①出口报关!$I$4:$I$303,MATCH(A91,①出口报关!$A$4:$A$303,0)),"编号不存在"))</f>
        <v/>
      </c>
      <c r="C91" s="30" t="str">
        <f aca="false">IF(A91="","",IFERROR(IF(INDEX(①出口报关!$D$4:$D$303,MATCH(A91,①出口报关!$A$4:$A$303,0))=0,"",INDEX(①出口报关!$D$4:$D$303,MATCH(A91,①出口报关!$A$4:$A$303,0))),"编号不存在"))</f>
        <v/>
      </c>
      <c r="D91" s="43"/>
      <c r="E91" s="45"/>
      <c r="F91" s="41"/>
      <c r="G91" s="48"/>
      <c r="H91" s="46"/>
      <c r="I91" s="41"/>
      <c r="J91" s="30" t="str">
        <f aca="false">IF(AND(D91="未售-海外仓预退（HWC-YT）",ISNUMBER(I91)),DATE(YEAR(I91)+1,4,30),"")</f>
        <v/>
      </c>
      <c r="K91" s="51" t="str">
        <f aca="true">IF(J91="","",IF(Q91&lt;&gt;"","",J91-TODAY()))</f>
        <v/>
      </c>
      <c r="L91" s="31" t="str">
        <f aca="false">IF(OR(A91="",D91&lt;&gt;"未售-海外仓预退（HWC-YT）"),"",MIN(N(E91),MAX(0,SUMIFS(②销售核销!$I$4:$I$603,②销售核销!$E$4:$E$603,A91)-SUMIFS($E$4:$E$303,$A$4:$A$303,A91,$D$4:$D$303,"已售-按现行规定申报"))))</f>
        <v/>
      </c>
      <c r="M91" s="34" t="str">
        <f aca="false">IF(OR(L91="",N(E91)=0,H91=""),"",ROUND(H91/E91*L91,2))</f>
        <v/>
      </c>
      <c r="N91" s="46"/>
      <c r="O91" s="34" t="str">
        <f aca="false">IF(OR(N91="",H91=""),"",ROUND(N91-H91,2))</f>
        <v/>
      </c>
      <c r="P91" s="36" t="str">
        <f aca="false">IF(OR(A91="",D91&lt;&gt;"未售-海外仓预退（HWC-YT）"),"",IF(L91=0,"仍未销售：需要调整申报，全额缴回预退税",IF(L91&lt;N(E91),"部分已售：需要调整申报，全额冲减后按已售部分重报",IF(N91="","全部已售：填入实际应退税额后判断",IF(O91=0,"全部已售、无差异：无需调整申报","全部已售、有差异：需要调整申报")))))</f>
        <v/>
      </c>
      <c r="Q91" s="41"/>
      <c r="R91" s="44"/>
      <c r="S91" s="36" t="str">
        <f aca="false">IF(A91="","",IF(D91="","请选择申报方式",IF(D91&lt;&gt;"未售-海外仓预退（HWC-YT）","不涉及核算",IF(Q91&lt;&gt;"","已核算",IF(J91="","待税务办结",IF(K91&lt;0,"已逾期：税务将追回预退税",IF(K91&lt;=60,"临近截止（60天内）","待核算")))))))</f>
        <v/>
      </c>
      <c r="T91" s="30" t="str">
        <f aca="false">IF(ISNUMBER(C91),DATE(YEAR(C91)+1,4,30),"")</f>
        <v/>
      </c>
      <c r="U91" s="43"/>
    </row>
    <row r="92" customFormat="false" ht="21.75" hidden="false" customHeight="true" outlineLevel="0" collapsed="false">
      <c r="A92" s="44"/>
      <c r="B92" s="36" t="str">
        <f aca="false">IF(A92="","",IFERROR(INDEX(①出口报关!$I$4:$I$303,MATCH(A92,①出口报关!$A$4:$A$303,0)),"编号不存在"))</f>
        <v/>
      </c>
      <c r="C92" s="30" t="str">
        <f aca="false">IF(A92="","",IFERROR(IF(INDEX(①出口报关!$D$4:$D$303,MATCH(A92,①出口报关!$A$4:$A$303,0))=0,"",INDEX(①出口报关!$D$4:$D$303,MATCH(A92,①出口报关!$A$4:$A$303,0))),"编号不存在"))</f>
        <v/>
      </c>
      <c r="D92" s="43"/>
      <c r="E92" s="45"/>
      <c r="F92" s="41"/>
      <c r="G92" s="48"/>
      <c r="H92" s="46"/>
      <c r="I92" s="41"/>
      <c r="J92" s="30" t="str">
        <f aca="false">IF(AND(D92="未售-海外仓预退（HWC-YT）",ISNUMBER(I92)),DATE(YEAR(I92)+1,4,30),"")</f>
        <v/>
      </c>
      <c r="K92" s="51" t="str">
        <f aca="true">IF(J92="","",IF(Q92&lt;&gt;"","",J92-TODAY()))</f>
        <v/>
      </c>
      <c r="L92" s="31" t="str">
        <f aca="false">IF(OR(A92="",D92&lt;&gt;"未售-海外仓预退（HWC-YT）"),"",MIN(N(E92),MAX(0,SUMIFS(②销售核销!$I$4:$I$603,②销售核销!$E$4:$E$603,A92)-SUMIFS($E$4:$E$303,$A$4:$A$303,A92,$D$4:$D$303,"已售-按现行规定申报"))))</f>
        <v/>
      </c>
      <c r="M92" s="34" t="str">
        <f aca="false">IF(OR(L92="",N(E92)=0,H92=""),"",ROUND(H92/E92*L92,2))</f>
        <v/>
      </c>
      <c r="N92" s="46"/>
      <c r="O92" s="34" t="str">
        <f aca="false">IF(OR(N92="",H92=""),"",ROUND(N92-H92,2))</f>
        <v/>
      </c>
      <c r="P92" s="36" t="str">
        <f aca="false">IF(OR(A92="",D92&lt;&gt;"未售-海外仓预退（HWC-YT）"),"",IF(L92=0,"仍未销售：需要调整申报，全额缴回预退税",IF(L92&lt;N(E92),"部分已售：需要调整申报，全额冲减后按已售部分重报",IF(N92="","全部已售：填入实际应退税额后判断",IF(O92=0,"全部已售、无差异：无需调整申报","全部已售、有差异：需要调整申报")))))</f>
        <v/>
      </c>
      <c r="Q92" s="41"/>
      <c r="R92" s="44"/>
      <c r="S92" s="36" t="str">
        <f aca="false">IF(A92="","",IF(D92="","请选择申报方式",IF(D92&lt;&gt;"未售-海外仓预退（HWC-YT）","不涉及核算",IF(Q92&lt;&gt;"","已核算",IF(J92="","待税务办结",IF(K92&lt;0,"已逾期：税务将追回预退税",IF(K92&lt;=60,"临近截止（60天内）","待核算")))))))</f>
        <v/>
      </c>
      <c r="T92" s="30" t="str">
        <f aca="false">IF(ISNUMBER(C92),DATE(YEAR(C92)+1,4,30),"")</f>
        <v/>
      </c>
      <c r="U92" s="43"/>
    </row>
    <row r="93" customFormat="false" ht="21.75" hidden="false" customHeight="true" outlineLevel="0" collapsed="false">
      <c r="A93" s="44"/>
      <c r="B93" s="36" t="str">
        <f aca="false">IF(A93="","",IFERROR(INDEX(①出口报关!$I$4:$I$303,MATCH(A93,①出口报关!$A$4:$A$303,0)),"编号不存在"))</f>
        <v/>
      </c>
      <c r="C93" s="30" t="str">
        <f aca="false">IF(A93="","",IFERROR(IF(INDEX(①出口报关!$D$4:$D$303,MATCH(A93,①出口报关!$A$4:$A$303,0))=0,"",INDEX(①出口报关!$D$4:$D$303,MATCH(A93,①出口报关!$A$4:$A$303,0))),"编号不存在"))</f>
        <v/>
      </c>
      <c r="D93" s="43"/>
      <c r="E93" s="45"/>
      <c r="F93" s="41"/>
      <c r="G93" s="48"/>
      <c r="H93" s="46"/>
      <c r="I93" s="41"/>
      <c r="J93" s="30" t="str">
        <f aca="false">IF(AND(D93="未售-海外仓预退（HWC-YT）",ISNUMBER(I93)),DATE(YEAR(I93)+1,4,30),"")</f>
        <v/>
      </c>
      <c r="K93" s="51" t="str">
        <f aca="true">IF(J93="","",IF(Q93&lt;&gt;"","",J93-TODAY()))</f>
        <v/>
      </c>
      <c r="L93" s="31" t="str">
        <f aca="false">IF(OR(A93="",D93&lt;&gt;"未售-海外仓预退（HWC-YT）"),"",MIN(N(E93),MAX(0,SUMIFS(②销售核销!$I$4:$I$603,②销售核销!$E$4:$E$603,A93)-SUMIFS($E$4:$E$303,$A$4:$A$303,A93,$D$4:$D$303,"已售-按现行规定申报"))))</f>
        <v/>
      </c>
      <c r="M93" s="34" t="str">
        <f aca="false">IF(OR(L93="",N(E93)=0,H93=""),"",ROUND(H93/E93*L93,2))</f>
        <v/>
      </c>
      <c r="N93" s="46"/>
      <c r="O93" s="34" t="str">
        <f aca="false">IF(OR(N93="",H93=""),"",ROUND(N93-H93,2))</f>
        <v/>
      </c>
      <c r="P93" s="36" t="str">
        <f aca="false">IF(OR(A93="",D93&lt;&gt;"未售-海外仓预退（HWC-YT）"),"",IF(L93=0,"仍未销售：需要调整申报，全额缴回预退税",IF(L93&lt;N(E93),"部分已售：需要调整申报，全额冲减后按已售部分重报",IF(N93="","全部已售：填入实际应退税额后判断",IF(O93=0,"全部已售、无差异：无需调整申报","全部已售、有差异：需要调整申报")))))</f>
        <v/>
      </c>
      <c r="Q93" s="41"/>
      <c r="R93" s="44"/>
      <c r="S93" s="36" t="str">
        <f aca="false">IF(A93="","",IF(D93="","请选择申报方式",IF(D93&lt;&gt;"未售-海外仓预退（HWC-YT）","不涉及核算",IF(Q93&lt;&gt;"","已核算",IF(J93="","待税务办结",IF(K93&lt;0,"已逾期：税务将追回预退税",IF(K93&lt;=60,"临近截止（60天内）","待核算")))))))</f>
        <v/>
      </c>
      <c r="T93" s="30" t="str">
        <f aca="false">IF(ISNUMBER(C93),DATE(YEAR(C93)+1,4,30),"")</f>
        <v/>
      </c>
      <c r="U93" s="43"/>
    </row>
    <row r="94" customFormat="false" ht="21.75" hidden="false" customHeight="true" outlineLevel="0" collapsed="false">
      <c r="A94" s="44"/>
      <c r="B94" s="36" t="str">
        <f aca="false">IF(A94="","",IFERROR(INDEX(①出口报关!$I$4:$I$303,MATCH(A94,①出口报关!$A$4:$A$303,0)),"编号不存在"))</f>
        <v/>
      </c>
      <c r="C94" s="30" t="str">
        <f aca="false">IF(A94="","",IFERROR(IF(INDEX(①出口报关!$D$4:$D$303,MATCH(A94,①出口报关!$A$4:$A$303,0))=0,"",INDEX(①出口报关!$D$4:$D$303,MATCH(A94,①出口报关!$A$4:$A$303,0))),"编号不存在"))</f>
        <v/>
      </c>
      <c r="D94" s="43"/>
      <c r="E94" s="45"/>
      <c r="F94" s="41"/>
      <c r="G94" s="48"/>
      <c r="H94" s="46"/>
      <c r="I94" s="41"/>
      <c r="J94" s="30" t="str">
        <f aca="false">IF(AND(D94="未售-海外仓预退（HWC-YT）",ISNUMBER(I94)),DATE(YEAR(I94)+1,4,30),"")</f>
        <v/>
      </c>
      <c r="K94" s="51" t="str">
        <f aca="true">IF(J94="","",IF(Q94&lt;&gt;"","",J94-TODAY()))</f>
        <v/>
      </c>
      <c r="L94" s="31" t="str">
        <f aca="false">IF(OR(A94="",D94&lt;&gt;"未售-海外仓预退（HWC-YT）"),"",MIN(N(E94),MAX(0,SUMIFS(②销售核销!$I$4:$I$603,②销售核销!$E$4:$E$603,A94)-SUMIFS($E$4:$E$303,$A$4:$A$303,A94,$D$4:$D$303,"已售-按现行规定申报"))))</f>
        <v/>
      </c>
      <c r="M94" s="34" t="str">
        <f aca="false">IF(OR(L94="",N(E94)=0,H94=""),"",ROUND(H94/E94*L94,2))</f>
        <v/>
      </c>
      <c r="N94" s="46"/>
      <c r="O94" s="34" t="str">
        <f aca="false">IF(OR(N94="",H94=""),"",ROUND(N94-H94,2))</f>
        <v/>
      </c>
      <c r="P94" s="36" t="str">
        <f aca="false">IF(OR(A94="",D94&lt;&gt;"未售-海外仓预退（HWC-YT）"),"",IF(L94=0,"仍未销售：需要调整申报，全额缴回预退税",IF(L94&lt;N(E94),"部分已售：需要调整申报，全额冲减后按已售部分重报",IF(N94="","全部已售：填入实际应退税额后判断",IF(O94=0,"全部已售、无差异：无需调整申报","全部已售、有差异：需要调整申报")))))</f>
        <v/>
      </c>
      <c r="Q94" s="41"/>
      <c r="R94" s="44"/>
      <c r="S94" s="36" t="str">
        <f aca="false">IF(A94="","",IF(D94="","请选择申报方式",IF(D94&lt;&gt;"未售-海外仓预退（HWC-YT）","不涉及核算",IF(Q94&lt;&gt;"","已核算",IF(J94="","待税务办结",IF(K94&lt;0,"已逾期：税务将追回预退税",IF(K94&lt;=60,"临近截止（60天内）","待核算")))))))</f>
        <v/>
      </c>
      <c r="T94" s="30" t="str">
        <f aca="false">IF(ISNUMBER(C94),DATE(YEAR(C94)+1,4,30),"")</f>
        <v/>
      </c>
      <c r="U94" s="43"/>
    </row>
    <row r="95" customFormat="false" ht="21.75" hidden="false" customHeight="true" outlineLevel="0" collapsed="false">
      <c r="A95" s="44"/>
      <c r="B95" s="36" t="str">
        <f aca="false">IF(A95="","",IFERROR(INDEX(①出口报关!$I$4:$I$303,MATCH(A95,①出口报关!$A$4:$A$303,0)),"编号不存在"))</f>
        <v/>
      </c>
      <c r="C95" s="30" t="str">
        <f aca="false">IF(A95="","",IFERROR(IF(INDEX(①出口报关!$D$4:$D$303,MATCH(A95,①出口报关!$A$4:$A$303,0))=0,"",INDEX(①出口报关!$D$4:$D$303,MATCH(A95,①出口报关!$A$4:$A$303,0))),"编号不存在"))</f>
        <v/>
      </c>
      <c r="D95" s="43"/>
      <c r="E95" s="45"/>
      <c r="F95" s="41"/>
      <c r="G95" s="48"/>
      <c r="H95" s="46"/>
      <c r="I95" s="41"/>
      <c r="J95" s="30" t="str">
        <f aca="false">IF(AND(D95="未售-海外仓预退（HWC-YT）",ISNUMBER(I95)),DATE(YEAR(I95)+1,4,30),"")</f>
        <v/>
      </c>
      <c r="K95" s="51" t="str">
        <f aca="true">IF(J95="","",IF(Q95&lt;&gt;"","",J95-TODAY()))</f>
        <v/>
      </c>
      <c r="L95" s="31" t="str">
        <f aca="false">IF(OR(A95="",D95&lt;&gt;"未售-海外仓预退（HWC-YT）"),"",MIN(N(E95),MAX(0,SUMIFS(②销售核销!$I$4:$I$603,②销售核销!$E$4:$E$603,A95)-SUMIFS($E$4:$E$303,$A$4:$A$303,A95,$D$4:$D$303,"已售-按现行规定申报"))))</f>
        <v/>
      </c>
      <c r="M95" s="34" t="str">
        <f aca="false">IF(OR(L95="",N(E95)=0,H95=""),"",ROUND(H95/E95*L95,2))</f>
        <v/>
      </c>
      <c r="N95" s="46"/>
      <c r="O95" s="34" t="str">
        <f aca="false">IF(OR(N95="",H95=""),"",ROUND(N95-H95,2))</f>
        <v/>
      </c>
      <c r="P95" s="36" t="str">
        <f aca="false">IF(OR(A95="",D95&lt;&gt;"未售-海外仓预退（HWC-YT）"),"",IF(L95=0,"仍未销售：需要调整申报，全额缴回预退税",IF(L95&lt;N(E95),"部分已售：需要调整申报，全额冲减后按已售部分重报",IF(N95="","全部已售：填入实际应退税额后判断",IF(O95=0,"全部已售、无差异：无需调整申报","全部已售、有差异：需要调整申报")))))</f>
        <v/>
      </c>
      <c r="Q95" s="41"/>
      <c r="R95" s="44"/>
      <c r="S95" s="36" t="str">
        <f aca="false">IF(A95="","",IF(D95="","请选择申报方式",IF(D95&lt;&gt;"未售-海外仓预退（HWC-YT）","不涉及核算",IF(Q95&lt;&gt;"","已核算",IF(J95="","待税务办结",IF(K95&lt;0,"已逾期：税务将追回预退税",IF(K95&lt;=60,"临近截止（60天内）","待核算")))))))</f>
        <v/>
      </c>
      <c r="T95" s="30" t="str">
        <f aca="false">IF(ISNUMBER(C95),DATE(YEAR(C95)+1,4,30),"")</f>
        <v/>
      </c>
      <c r="U95" s="43"/>
    </row>
    <row r="96" customFormat="false" ht="21.75" hidden="false" customHeight="true" outlineLevel="0" collapsed="false">
      <c r="A96" s="44"/>
      <c r="B96" s="36" t="str">
        <f aca="false">IF(A96="","",IFERROR(INDEX(①出口报关!$I$4:$I$303,MATCH(A96,①出口报关!$A$4:$A$303,0)),"编号不存在"))</f>
        <v/>
      </c>
      <c r="C96" s="30" t="str">
        <f aca="false">IF(A96="","",IFERROR(IF(INDEX(①出口报关!$D$4:$D$303,MATCH(A96,①出口报关!$A$4:$A$303,0))=0,"",INDEX(①出口报关!$D$4:$D$303,MATCH(A96,①出口报关!$A$4:$A$303,0))),"编号不存在"))</f>
        <v/>
      </c>
      <c r="D96" s="43"/>
      <c r="E96" s="45"/>
      <c r="F96" s="41"/>
      <c r="G96" s="48"/>
      <c r="H96" s="46"/>
      <c r="I96" s="41"/>
      <c r="J96" s="30" t="str">
        <f aca="false">IF(AND(D96="未售-海外仓预退（HWC-YT）",ISNUMBER(I96)),DATE(YEAR(I96)+1,4,30),"")</f>
        <v/>
      </c>
      <c r="K96" s="51" t="str">
        <f aca="true">IF(J96="","",IF(Q96&lt;&gt;"","",J96-TODAY()))</f>
        <v/>
      </c>
      <c r="L96" s="31" t="str">
        <f aca="false">IF(OR(A96="",D96&lt;&gt;"未售-海外仓预退（HWC-YT）"),"",MIN(N(E96),MAX(0,SUMIFS(②销售核销!$I$4:$I$603,②销售核销!$E$4:$E$603,A96)-SUMIFS($E$4:$E$303,$A$4:$A$303,A96,$D$4:$D$303,"已售-按现行规定申报"))))</f>
        <v/>
      </c>
      <c r="M96" s="34" t="str">
        <f aca="false">IF(OR(L96="",N(E96)=0,H96=""),"",ROUND(H96/E96*L96,2))</f>
        <v/>
      </c>
      <c r="N96" s="46"/>
      <c r="O96" s="34" t="str">
        <f aca="false">IF(OR(N96="",H96=""),"",ROUND(N96-H96,2))</f>
        <v/>
      </c>
      <c r="P96" s="36" t="str">
        <f aca="false">IF(OR(A96="",D96&lt;&gt;"未售-海外仓预退（HWC-YT）"),"",IF(L96=0,"仍未销售：需要调整申报，全额缴回预退税",IF(L96&lt;N(E96),"部分已售：需要调整申报，全额冲减后按已售部分重报",IF(N96="","全部已售：填入实际应退税额后判断",IF(O96=0,"全部已售、无差异：无需调整申报","全部已售、有差异：需要调整申报")))))</f>
        <v/>
      </c>
      <c r="Q96" s="41"/>
      <c r="R96" s="44"/>
      <c r="S96" s="36" t="str">
        <f aca="false">IF(A96="","",IF(D96="","请选择申报方式",IF(D96&lt;&gt;"未售-海外仓预退（HWC-YT）","不涉及核算",IF(Q96&lt;&gt;"","已核算",IF(J96="","待税务办结",IF(K96&lt;0,"已逾期：税务将追回预退税",IF(K96&lt;=60,"临近截止（60天内）","待核算")))))))</f>
        <v/>
      </c>
      <c r="T96" s="30" t="str">
        <f aca="false">IF(ISNUMBER(C96),DATE(YEAR(C96)+1,4,30),"")</f>
        <v/>
      </c>
      <c r="U96" s="43"/>
    </row>
    <row r="97" customFormat="false" ht="21.75" hidden="false" customHeight="true" outlineLevel="0" collapsed="false">
      <c r="A97" s="44"/>
      <c r="B97" s="36" t="str">
        <f aca="false">IF(A97="","",IFERROR(INDEX(①出口报关!$I$4:$I$303,MATCH(A97,①出口报关!$A$4:$A$303,0)),"编号不存在"))</f>
        <v/>
      </c>
      <c r="C97" s="30" t="str">
        <f aca="false">IF(A97="","",IFERROR(IF(INDEX(①出口报关!$D$4:$D$303,MATCH(A97,①出口报关!$A$4:$A$303,0))=0,"",INDEX(①出口报关!$D$4:$D$303,MATCH(A97,①出口报关!$A$4:$A$303,0))),"编号不存在"))</f>
        <v/>
      </c>
      <c r="D97" s="43"/>
      <c r="E97" s="45"/>
      <c r="F97" s="41"/>
      <c r="G97" s="48"/>
      <c r="H97" s="46"/>
      <c r="I97" s="41"/>
      <c r="J97" s="30" t="str">
        <f aca="false">IF(AND(D97="未售-海外仓预退（HWC-YT）",ISNUMBER(I97)),DATE(YEAR(I97)+1,4,30),"")</f>
        <v/>
      </c>
      <c r="K97" s="51" t="str">
        <f aca="true">IF(J97="","",IF(Q97&lt;&gt;"","",J97-TODAY()))</f>
        <v/>
      </c>
      <c r="L97" s="31" t="str">
        <f aca="false">IF(OR(A97="",D97&lt;&gt;"未售-海外仓预退（HWC-YT）"),"",MIN(N(E97),MAX(0,SUMIFS(②销售核销!$I$4:$I$603,②销售核销!$E$4:$E$603,A97)-SUMIFS($E$4:$E$303,$A$4:$A$303,A97,$D$4:$D$303,"已售-按现行规定申报"))))</f>
        <v/>
      </c>
      <c r="M97" s="34" t="str">
        <f aca="false">IF(OR(L97="",N(E97)=0,H97=""),"",ROUND(H97/E97*L97,2))</f>
        <v/>
      </c>
      <c r="N97" s="46"/>
      <c r="O97" s="34" t="str">
        <f aca="false">IF(OR(N97="",H97=""),"",ROUND(N97-H97,2))</f>
        <v/>
      </c>
      <c r="P97" s="36" t="str">
        <f aca="false">IF(OR(A97="",D97&lt;&gt;"未售-海外仓预退（HWC-YT）"),"",IF(L97=0,"仍未销售：需要调整申报，全额缴回预退税",IF(L97&lt;N(E97),"部分已售：需要调整申报，全额冲减后按已售部分重报",IF(N97="","全部已售：填入实际应退税额后判断",IF(O97=0,"全部已售、无差异：无需调整申报","全部已售、有差异：需要调整申报")))))</f>
        <v/>
      </c>
      <c r="Q97" s="41"/>
      <c r="R97" s="44"/>
      <c r="S97" s="36" t="str">
        <f aca="false">IF(A97="","",IF(D97="","请选择申报方式",IF(D97&lt;&gt;"未售-海外仓预退（HWC-YT）","不涉及核算",IF(Q97&lt;&gt;"","已核算",IF(J97="","待税务办结",IF(K97&lt;0,"已逾期：税务将追回预退税",IF(K97&lt;=60,"临近截止（60天内）","待核算")))))))</f>
        <v/>
      </c>
      <c r="T97" s="30" t="str">
        <f aca="false">IF(ISNUMBER(C97),DATE(YEAR(C97)+1,4,30),"")</f>
        <v/>
      </c>
      <c r="U97" s="43"/>
    </row>
    <row r="98" customFormat="false" ht="21.75" hidden="false" customHeight="true" outlineLevel="0" collapsed="false">
      <c r="A98" s="44"/>
      <c r="B98" s="36" t="str">
        <f aca="false">IF(A98="","",IFERROR(INDEX(①出口报关!$I$4:$I$303,MATCH(A98,①出口报关!$A$4:$A$303,0)),"编号不存在"))</f>
        <v/>
      </c>
      <c r="C98" s="30" t="str">
        <f aca="false">IF(A98="","",IFERROR(IF(INDEX(①出口报关!$D$4:$D$303,MATCH(A98,①出口报关!$A$4:$A$303,0))=0,"",INDEX(①出口报关!$D$4:$D$303,MATCH(A98,①出口报关!$A$4:$A$303,0))),"编号不存在"))</f>
        <v/>
      </c>
      <c r="D98" s="43"/>
      <c r="E98" s="45"/>
      <c r="F98" s="41"/>
      <c r="G98" s="48"/>
      <c r="H98" s="46"/>
      <c r="I98" s="41"/>
      <c r="J98" s="30" t="str">
        <f aca="false">IF(AND(D98="未售-海外仓预退（HWC-YT）",ISNUMBER(I98)),DATE(YEAR(I98)+1,4,30),"")</f>
        <v/>
      </c>
      <c r="K98" s="51" t="str">
        <f aca="true">IF(J98="","",IF(Q98&lt;&gt;"","",J98-TODAY()))</f>
        <v/>
      </c>
      <c r="L98" s="31" t="str">
        <f aca="false">IF(OR(A98="",D98&lt;&gt;"未售-海外仓预退（HWC-YT）"),"",MIN(N(E98),MAX(0,SUMIFS(②销售核销!$I$4:$I$603,②销售核销!$E$4:$E$603,A98)-SUMIFS($E$4:$E$303,$A$4:$A$303,A98,$D$4:$D$303,"已售-按现行规定申报"))))</f>
        <v/>
      </c>
      <c r="M98" s="34" t="str">
        <f aca="false">IF(OR(L98="",N(E98)=0,H98=""),"",ROUND(H98/E98*L98,2))</f>
        <v/>
      </c>
      <c r="N98" s="46"/>
      <c r="O98" s="34" t="str">
        <f aca="false">IF(OR(N98="",H98=""),"",ROUND(N98-H98,2))</f>
        <v/>
      </c>
      <c r="P98" s="36" t="str">
        <f aca="false">IF(OR(A98="",D98&lt;&gt;"未售-海外仓预退（HWC-YT）"),"",IF(L98=0,"仍未销售：需要调整申报，全额缴回预退税",IF(L98&lt;N(E98),"部分已售：需要调整申报，全额冲减后按已售部分重报",IF(N98="","全部已售：填入实际应退税额后判断",IF(O98=0,"全部已售、无差异：无需调整申报","全部已售、有差异：需要调整申报")))))</f>
        <v/>
      </c>
      <c r="Q98" s="41"/>
      <c r="R98" s="44"/>
      <c r="S98" s="36" t="str">
        <f aca="false">IF(A98="","",IF(D98="","请选择申报方式",IF(D98&lt;&gt;"未售-海外仓预退（HWC-YT）","不涉及核算",IF(Q98&lt;&gt;"","已核算",IF(J98="","待税务办结",IF(K98&lt;0,"已逾期：税务将追回预退税",IF(K98&lt;=60,"临近截止（60天内）","待核算")))))))</f>
        <v/>
      </c>
      <c r="T98" s="30" t="str">
        <f aca="false">IF(ISNUMBER(C98),DATE(YEAR(C98)+1,4,30),"")</f>
        <v/>
      </c>
      <c r="U98" s="43"/>
    </row>
    <row r="99" customFormat="false" ht="21.75" hidden="false" customHeight="true" outlineLevel="0" collapsed="false">
      <c r="A99" s="44"/>
      <c r="B99" s="36" t="str">
        <f aca="false">IF(A99="","",IFERROR(INDEX(①出口报关!$I$4:$I$303,MATCH(A99,①出口报关!$A$4:$A$303,0)),"编号不存在"))</f>
        <v/>
      </c>
      <c r="C99" s="30" t="str">
        <f aca="false">IF(A99="","",IFERROR(IF(INDEX(①出口报关!$D$4:$D$303,MATCH(A99,①出口报关!$A$4:$A$303,0))=0,"",INDEX(①出口报关!$D$4:$D$303,MATCH(A99,①出口报关!$A$4:$A$303,0))),"编号不存在"))</f>
        <v/>
      </c>
      <c r="D99" s="43"/>
      <c r="E99" s="45"/>
      <c r="F99" s="41"/>
      <c r="G99" s="48"/>
      <c r="H99" s="46"/>
      <c r="I99" s="41"/>
      <c r="J99" s="30" t="str">
        <f aca="false">IF(AND(D99="未售-海外仓预退（HWC-YT）",ISNUMBER(I99)),DATE(YEAR(I99)+1,4,30),"")</f>
        <v/>
      </c>
      <c r="K99" s="51" t="str">
        <f aca="true">IF(J99="","",IF(Q99&lt;&gt;"","",J99-TODAY()))</f>
        <v/>
      </c>
      <c r="L99" s="31" t="str">
        <f aca="false">IF(OR(A99="",D99&lt;&gt;"未售-海外仓预退（HWC-YT）"),"",MIN(N(E99),MAX(0,SUMIFS(②销售核销!$I$4:$I$603,②销售核销!$E$4:$E$603,A99)-SUMIFS($E$4:$E$303,$A$4:$A$303,A99,$D$4:$D$303,"已售-按现行规定申报"))))</f>
        <v/>
      </c>
      <c r="M99" s="34" t="str">
        <f aca="false">IF(OR(L99="",N(E99)=0,H99=""),"",ROUND(H99/E99*L99,2))</f>
        <v/>
      </c>
      <c r="N99" s="46"/>
      <c r="O99" s="34" t="str">
        <f aca="false">IF(OR(N99="",H99=""),"",ROUND(N99-H99,2))</f>
        <v/>
      </c>
      <c r="P99" s="36" t="str">
        <f aca="false">IF(OR(A99="",D99&lt;&gt;"未售-海外仓预退（HWC-YT）"),"",IF(L99=0,"仍未销售：需要调整申报，全额缴回预退税",IF(L99&lt;N(E99),"部分已售：需要调整申报，全额冲减后按已售部分重报",IF(N99="","全部已售：填入实际应退税额后判断",IF(O99=0,"全部已售、无差异：无需调整申报","全部已售、有差异：需要调整申报")))))</f>
        <v/>
      </c>
      <c r="Q99" s="41"/>
      <c r="R99" s="44"/>
      <c r="S99" s="36" t="str">
        <f aca="false">IF(A99="","",IF(D99="","请选择申报方式",IF(D99&lt;&gt;"未售-海外仓预退（HWC-YT）","不涉及核算",IF(Q99&lt;&gt;"","已核算",IF(J99="","待税务办结",IF(K99&lt;0,"已逾期：税务将追回预退税",IF(K99&lt;=60,"临近截止（60天内）","待核算")))))))</f>
        <v/>
      </c>
      <c r="T99" s="30" t="str">
        <f aca="false">IF(ISNUMBER(C99),DATE(YEAR(C99)+1,4,30),"")</f>
        <v/>
      </c>
      <c r="U99" s="43"/>
    </row>
    <row r="100" customFormat="false" ht="21.75" hidden="false" customHeight="true" outlineLevel="0" collapsed="false">
      <c r="A100" s="44"/>
      <c r="B100" s="36" t="str">
        <f aca="false">IF(A100="","",IFERROR(INDEX(①出口报关!$I$4:$I$303,MATCH(A100,①出口报关!$A$4:$A$303,0)),"编号不存在"))</f>
        <v/>
      </c>
      <c r="C100" s="30" t="str">
        <f aca="false">IF(A100="","",IFERROR(IF(INDEX(①出口报关!$D$4:$D$303,MATCH(A100,①出口报关!$A$4:$A$303,0))=0,"",INDEX(①出口报关!$D$4:$D$303,MATCH(A100,①出口报关!$A$4:$A$303,0))),"编号不存在"))</f>
        <v/>
      </c>
      <c r="D100" s="43"/>
      <c r="E100" s="45"/>
      <c r="F100" s="41"/>
      <c r="G100" s="48"/>
      <c r="H100" s="46"/>
      <c r="I100" s="41"/>
      <c r="J100" s="30" t="str">
        <f aca="false">IF(AND(D100="未售-海外仓预退（HWC-YT）",ISNUMBER(I100)),DATE(YEAR(I100)+1,4,30),"")</f>
        <v/>
      </c>
      <c r="K100" s="51" t="str">
        <f aca="true">IF(J100="","",IF(Q100&lt;&gt;"","",J100-TODAY()))</f>
        <v/>
      </c>
      <c r="L100" s="31" t="str">
        <f aca="false">IF(OR(A100="",D100&lt;&gt;"未售-海外仓预退（HWC-YT）"),"",MIN(N(E100),MAX(0,SUMIFS(②销售核销!$I$4:$I$603,②销售核销!$E$4:$E$603,A100)-SUMIFS($E$4:$E$303,$A$4:$A$303,A100,$D$4:$D$303,"已售-按现行规定申报"))))</f>
        <v/>
      </c>
      <c r="M100" s="34" t="str">
        <f aca="false">IF(OR(L100="",N(E100)=0,H100=""),"",ROUND(H100/E100*L100,2))</f>
        <v/>
      </c>
      <c r="N100" s="46"/>
      <c r="O100" s="34" t="str">
        <f aca="false">IF(OR(N100="",H100=""),"",ROUND(N100-H100,2))</f>
        <v/>
      </c>
      <c r="P100" s="36" t="str">
        <f aca="false">IF(OR(A100="",D100&lt;&gt;"未售-海外仓预退（HWC-YT）"),"",IF(L100=0,"仍未销售：需要调整申报，全额缴回预退税",IF(L100&lt;N(E100),"部分已售：需要调整申报，全额冲减后按已售部分重报",IF(N100="","全部已售：填入实际应退税额后判断",IF(O100=0,"全部已售、无差异：无需调整申报","全部已售、有差异：需要调整申报")))))</f>
        <v/>
      </c>
      <c r="Q100" s="41"/>
      <c r="R100" s="44"/>
      <c r="S100" s="36" t="str">
        <f aca="false">IF(A100="","",IF(D100="","请选择申报方式",IF(D100&lt;&gt;"未售-海外仓预退（HWC-YT）","不涉及核算",IF(Q100&lt;&gt;"","已核算",IF(J100="","待税务办结",IF(K100&lt;0,"已逾期：税务将追回预退税",IF(K100&lt;=60,"临近截止（60天内）","待核算")))))))</f>
        <v/>
      </c>
      <c r="T100" s="30" t="str">
        <f aca="false">IF(ISNUMBER(C100),DATE(YEAR(C100)+1,4,30),"")</f>
        <v/>
      </c>
      <c r="U100" s="43"/>
    </row>
    <row r="101" customFormat="false" ht="21.75" hidden="false" customHeight="true" outlineLevel="0" collapsed="false">
      <c r="A101" s="44"/>
      <c r="B101" s="36" t="str">
        <f aca="false">IF(A101="","",IFERROR(INDEX(①出口报关!$I$4:$I$303,MATCH(A101,①出口报关!$A$4:$A$303,0)),"编号不存在"))</f>
        <v/>
      </c>
      <c r="C101" s="30" t="str">
        <f aca="false">IF(A101="","",IFERROR(IF(INDEX(①出口报关!$D$4:$D$303,MATCH(A101,①出口报关!$A$4:$A$303,0))=0,"",INDEX(①出口报关!$D$4:$D$303,MATCH(A101,①出口报关!$A$4:$A$303,0))),"编号不存在"))</f>
        <v/>
      </c>
      <c r="D101" s="43"/>
      <c r="E101" s="45"/>
      <c r="F101" s="41"/>
      <c r="G101" s="48"/>
      <c r="H101" s="46"/>
      <c r="I101" s="41"/>
      <c r="J101" s="30" t="str">
        <f aca="false">IF(AND(D101="未售-海外仓预退（HWC-YT）",ISNUMBER(I101)),DATE(YEAR(I101)+1,4,30),"")</f>
        <v/>
      </c>
      <c r="K101" s="51" t="str">
        <f aca="true">IF(J101="","",IF(Q101&lt;&gt;"","",J101-TODAY()))</f>
        <v/>
      </c>
      <c r="L101" s="31" t="str">
        <f aca="false">IF(OR(A101="",D101&lt;&gt;"未售-海外仓预退（HWC-YT）"),"",MIN(N(E101),MAX(0,SUMIFS(②销售核销!$I$4:$I$603,②销售核销!$E$4:$E$603,A101)-SUMIFS($E$4:$E$303,$A$4:$A$303,A101,$D$4:$D$303,"已售-按现行规定申报"))))</f>
        <v/>
      </c>
      <c r="M101" s="34" t="str">
        <f aca="false">IF(OR(L101="",N(E101)=0,H101=""),"",ROUND(H101/E101*L101,2))</f>
        <v/>
      </c>
      <c r="N101" s="46"/>
      <c r="O101" s="34" t="str">
        <f aca="false">IF(OR(N101="",H101=""),"",ROUND(N101-H101,2))</f>
        <v/>
      </c>
      <c r="P101" s="36" t="str">
        <f aca="false">IF(OR(A101="",D101&lt;&gt;"未售-海外仓预退（HWC-YT）"),"",IF(L101=0,"仍未销售：需要调整申报，全额缴回预退税",IF(L101&lt;N(E101),"部分已售：需要调整申报，全额冲减后按已售部分重报",IF(N101="","全部已售：填入实际应退税额后判断",IF(O101=0,"全部已售、无差异：无需调整申报","全部已售、有差异：需要调整申报")))))</f>
        <v/>
      </c>
      <c r="Q101" s="41"/>
      <c r="R101" s="44"/>
      <c r="S101" s="36" t="str">
        <f aca="false">IF(A101="","",IF(D101="","请选择申报方式",IF(D101&lt;&gt;"未售-海外仓预退（HWC-YT）","不涉及核算",IF(Q101&lt;&gt;"","已核算",IF(J101="","待税务办结",IF(K101&lt;0,"已逾期：税务将追回预退税",IF(K101&lt;=60,"临近截止（60天内）","待核算")))))))</f>
        <v/>
      </c>
      <c r="T101" s="30" t="str">
        <f aca="false">IF(ISNUMBER(C101),DATE(YEAR(C101)+1,4,30),"")</f>
        <v/>
      </c>
      <c r="U101" s="43"/>
    </row>
    <row r="102" customFormat="false" ht="21.75" hidden="false" customHeight="true" outlineLevel="0" collapsed="false">
      <c r="A102" s="44"/>
      <c r="B102" s="36" t="str">
        <f aca="false">IF(A102="","",IFERROR(INDEX(①出口报关!$I$4:$I$303,MATCH(A102,①出口报关!$A$4:$A$303,0)),"编号不存在"))</f>
        <v/>
      </c>
      <c r="C102" s="30" t="str">
        <f aca="false">IF(A102="","",IFERROR(IF(INDEX(①出口报关!$D$4:$D$303,MATCH(A102,①出口报关!$A$4:$A$303,0))=0,"",INDEX(①出口报关!$D$4:$D$303,MATCH(A102,①出口报关!$A$4:$A$303,0))),"编号不存在"))</f>
        <v/>
      </c>
      <c r="D102" s="43"/>
      <c r="E102" s="45"/>
      <c r="F102" s="41"/>
      <c r="G102" s="48"/>
      <c r="H102" s="46"/>
      <c r="I102" s="41"/>
      <c r="J102" s="30" t="str">
        <f aca="false">IF(AND(D102="未售-海外仓预退（HWC-YT）",ISNUMBER(I102)),DATE(YEAR(I102)+1,4,30),"")</f>
        <v/>
      </c>
      <c r="K102" s="51" t="str">
        <f aca="true">IF(J102="","",IF(Q102&lt;&gt;"","",J102-TODAY()))</f>
        <v/>
      </c>
      <c r="L102" s="31" t="str">
        <f aca="false">IF(OR(A102="",D102&lt;&gt;"未售-海外仓预退（HWC-YT）"),"",MIN(N(E102),MAX(0,SUMIFS(②销售核销!$I$4:$I$603,②销售核销!$E$4:$E$603,A102)-SUMIFS($E$4:$E$303,$A$4:$A$303,A102,$D$4:$D$303,"已售-按现行规定申报"))))</f>
        <v/>
      </c>
      <c r="M102" s="34" t="str">
        <f aca="false">IF(OR(L102="",N(E102)=0,H102=""),"",ROUND(H102/E102*L102,2))</f>
        <v/>
      </c>
      <c r="N102" s="46"/>
      <c r="O102" s="34" t="str">
        <f aca="false">IF(OR(N102="",H102=""),"",ROUND(N102-H102,2))</f>
        <v/>
      </c>
      <c r="P102" s="36" t="str">
        <f aca="false">IF(OR(A102="",D102&lt;&gt;"未售-海外仓预退（HWC-YT）"),"",IF(L102=0,"仍未销售：需要调整申报，全额缴回预退税",IF(L102&lt;N(E102),"部分已售：需要调整申报，全额冲减后按已售部分重报",IF(N102="","全部已售：填入实际应退税额后判断",IF(O102=0,"全部已售、无差异：无需调整申报","全部已售、有差异：需要调整申报")))))</f>
        <v/>
      </c>
      <c r="Q102" s="41"/>
      <c r="R102" s="44"/>
      <c r="S102" s="36" t="str">
        <f aca="false">IF(A102="","",IF(D102="","请选择申报方式",IF(D102&lt;&gt;"未售-海外仓预退（HWC-YT）","不涉及核算",IF(Q102&lt;&gt;"","已核算",IF(J102="","待税务办结",IF(K102&lt;0,"已逾期：税务将追回预退税",IF(K102&lt;=60,"临近截止（60天内）","待核算")))))))</f>
        <v/>
      </c>
      <c r="T102" s="30" t="str">
        <f aca="false">IF(ISNUMBER(C102),DATE(YEAR(C102)+1,4,30),"")</f>
        <v/>
      </c>
      <c r="U102" s="43"/>
    </row>
    <row r="103" customFormat="false" ht="21.75" hidden="false" customHeight="true" outlineLevel="0" collapsed="false">
      <c r="A103" s="44"/>
      <c r="B103" s="36" t="str">
        <f aca="false">IF(A103="","",IFERROR(INDEX(①出口报关!$I$4:$I$303,MATCH(A103,①出口报关!$A$4:$A$303,0)),"编号不存在"))</f>
        <v/>
      </c>
      <c r="C103" s="30" t="str">
        <f aca="false">IF(A103="","",IFERROR(IF(INDEX(①出口报关!$D$4:$D$303,MATCH(A103,①出口报关!$A$4:$A$303,0))=0,"",INDEX(①出口报关!$D$4:$D$303,MATCH(A103,①出口报关!$A$4:$A$303,0))),"编号不存在"))</f>
        <v/>
      </c>
      <c r="D103" s="43"/>
      <c r="E103" s="45"/>
      <c r="F103" s="41"/>
      <c r="G103" s="48"/>
      <c r="H103" s="46"/>
      <c r="I103" s="41"/>
      <c r="J103" s="30" t="str">
        <f aca="false">IF(AND(D103="未售-海外仓预退（HWC-YT）",ISNUMBER(I103)),DATE(YEAR(I103)+1,4,30),"")</f>
        <v/>
      </c>
      <c r="K103" s="51" t="str">
        <f aca="true">IF(J103="","",IF(Q103&lt;&gt;"","",J103-TODAY()))</f>
        <v/>
      </c>
      <c r="L103" s="31" t="str">
        <f aca="false">IF(OR(A103="",D103&lt;&gt;"未售-海外仓预退（HWC-YT）"),"",MIN(N(E103),MAX(0,SUMIFS(②销售核销!$I$4:$I$603,②销售核销!$E$4:$E$603,A103)-SUMIFS($E$4:$E$303,$A$4:$A$303,A103,$D$4:$D$303,"已售-按现行规定申报"))))</f>
        <v/>
      </c>
      <c r="M103" s="34" t="str">
        <f aca="false">IF(OR(L103="",N(E103)=0,H103=""),"",ROUND(H103/E103*L103,2))</f>
        <v/>
      </c>
      <c r="N103" s="46"/>
      <c r="O103" s="34" t="str">
        <f aca="false">IF(OR(N103="",H103=""),"",ROUND(N103-H103,2))</f>
        <v/>
      </c>
      <c r="P103" s="36" t="str">
        <f aca="false">IF(OR(A103="",D103&lt;&gt;"未售-海外仓预退（HWC-YT）"),"",IF(L103=0,"仍未销售：需要调整申报，全额缴回预退税",IF(L103&lt;N(E103),"部分已售：需要调整申报，全额冲减后按已售部分重报",IF(N103="","全部已售：填入实际应退税额后判断",IF(O103=0,"全部已售、无差异：无需调整申报","全部已售、有差异：需要调整申报")))))</f>
        <v/>
      </c>
      <c r="Q103" s="41"/>
      <c r="R103" s="44"/>
      <c r="S103" s="36" t="str">
        <f aca="false">IF(A103="","",IF(D103="","请选择申报方式",IF(D103&lt;&gt;"未售-海外仓预退（HWC-YT）","不涉及核算",IF(Q103&lt;&gt;"","已核算",IF(J103="","待税务办结",IF(K103&lt;0,"已逾期：税务将追回预退税",IF(K103&lt;=60,"临近截止（60天内）","待核算")))))))</f>
        <v/>
      </c>
      <c r="T103" s="30" t="str">
        <f aca="false">IF(ISNUMBER(C103),DATE(YEAR(C103)+1,4,30),"")</f>
        <v/>
      </c>
      <c r="U103" s="43"/>
    </row>
    <row r="104" customFormat="false" ht="21.75" hidden="false" customHeight="true" outlineLevel="0" collapsed="false">
      <c r="A104" s="44"/>
      <c r="B104" s="36" t="str">
        <f aca="false">IF(A104="","",IFERROR(INDEX(①出口报关!$I$4:$I$303,MATCH(A104,①出口报关!$A$4:$A$303,0)),"编号不存在"))</f>
        <v/>
      </c>
      <c r="C104" s="30" t="str">
        <f aca="false">IF(A104="","",IFERROR(IF(INDEX(①出口报关!$D$4:$D$303,MATCH(A104,①出口报关!$A$4:$A$303,0))=0,"",INDEX(①出口报关!$D$4:$D$303,MATCH(A104,①出口报关!$A$4:$A$303,0))),"编号不存在"))</f>
        <v/>
      </c>
      <c r="D104" s="43"/>
      <c r="E104" s="45"/>
      <c r="F104" s="41"/>
      <c r="G104" s="48"/>
      <c r="H104" s="46"/>
      <c r="I104" s="41"/>
      <c r="J104" s="30" t="str">
        <f aca="false">IF(AND(D104="未售-海外仓预退（HWC-YT）",ISNUMBER(I104)),DATE(YEAR(I104)+1,4,30),"")</f>
        <v/>
      </c>
      <c r="K104" s="51" t="str">
        <f aca="true">IF(J104="","",IF(Q104&lt;&gt;"","",J104-TODAY()))</f>
        <v/>
      </c>
      <c r="L104" s="31" t="str">
        <f aca="false">IF(OR(A104="",D104&lt;&gt;"未售-海外仓预退（HWC-YT）"),"",MIN(N(E104),MAX(0,SUMIFS(②销售核销!$I$4:$I$603,②销售核销!$E$4:$E$603,A104)-SUMIFS($E$4:$E$303,$A$4:$A$303,A104,$D$4:$D$303,"已售-按现行规定申报"))))</f>
        <v/>
      </c>
      <c r="M104" s="34" t="str">
        <f aca="false">IF(OR(L104="",N(E104)=0,H104=""),"",ROUND(H104/E104*L104,2))</f>
        <v/>
      </c>
      <c r="N104" s="46"/>
      <c r="O104" s="34" t="str">
        <f aca="false">IF(OR(N104="",H104=""),"",ROUND(N104-H104,2))</f>
        <v/>
      </c>
      <c r="P104" s="36" t="str">
        <f aca="false">IF(OR(A104="",D104&lt;&gt;"未售-海外仓预退（HWC-YT）"),"",IF(L104=0,"仍未销售：需要调整申报，全额缴回预退税",IF(L104&lt;N(E104),"部分已售：需要调整申报，全额冲减后按已售部分重报",IF(N104="","全部已售：填入实际应退税额后判断",IF(O104=0,"全部已售、无差异：无需调整申报","全部已售、有差异：需要调整申报")))))</f>
        <v/>
      </c>
      <c r="Q104" s="41"/>
      <c r="R104" s="44"/>
      <c r="S104" s="36" t="str">
        <f aca="false">IF(A104="","",IF(D104="","请选择申报方式",IF(D104&lt;&gt;"未售-海外仓预退（HWC-YT）","不涉及核算",IF(Q104&lt;&gt;"","已核算",IF(J104="","待税务办结",IF(K104&lt;0,"已逾期：税务将追回预退税",IF(K104&lt;=60,"临近截止（60天内）","待核算")))))))</f>
        <v/>
      </c>
      <c r="T104" s="30" t="str">
        <f aca="false">IF(ISNUMBER(C104),DATE(YEAR(C104)+1,4,30),"")</f>
        <v/>
      </c>
      <c r="U104" s="43"/>
    </row>
    <row r="105" customFormat="false" ht="21.75" hidden="false" customHeight="true" outlineLevel="0" collapsed="false">
      <c r="A105" s="44"/>
      <c r="B105" s="36" t="str">
        <f aca="false">IF(A105="","",IFERROR(INDEX(①出口报关!$I$4:$I$303,MATCH(A105,①出口报关!$A$4:$A$303,0)),"编号不存在"))</f>
        <v/>
      </c>
      <c r="C105" s="30" t="str">
        <f aca="false">IF(A105="","",IFERROR(IF(INDEX(①出口报关!$D$4:$D$303,MATCH(A105,①出口报关!$A$4:$A$303,0))=0,"",INDEX(①出口报关!$D$4:$D$303,MATCH(A105,①出口报关!$A$4:$A$303,0))),"编号不存在"))</f>
        <v/>
      </c>
      <c r="D105" s="43"/>
      <c r="E105" s="45"/>
      <c r="F105" s="41"/>
      <c r="G105" s="48"/>
      <c r="H105" s="46"/>
      <c r="I105" s="41"/>
      <c r="J105" s="30" t="str">
        <f aca="false">IF(AND(D105="未售-海外仓预退（HWC-YT）",ISNUMBER(I105)),DATE(YEAR(I105)+1,4,30),"")</f>
        <v/>
      </c>
      <c r="K105" s="51" t="str">
        <f aca="true">IF(J105="","",IF(Q105&lt;&gt;"","",J105-TODAY()))</f>
        <v/>
      </c>
      <c r="L105" s="31" t="str">
        <f aca="false">IF(OR(A105="",D105&lt;&gt;"未售-海外仓预退（HWC-YT）"),"",MIN(N(E105),MAX(0,SUMIFS(②销售核销!$I$4:$I$603,②销售核销!$E$4:$E$603,A105)-SUMIFS($E$4:$E$303,$A$4:$A$303,A105,$D$4:$D$303,"已售-按现行规定申报"))))</f>
        <v/>
      </c>
      <c r="M105" s="34" t="str">
        <f aca="false">IF(OR(L105="",N(E105)=0,H105=""),"",ROUND(H105/E105*L105,2))</f>
        <v/>
      </c>
      <c r="N105" s="46"/>
      <c r="O105" s="34" t="str">
        <f aca="false">IF(OR(N105="",H105=""),"",ROUND(N105-H105,2))</f>
        <v/>
      </c>
      <c r="P105" s="36" t="str">
        <f aca="false">IF(OR(A105="",D105&lt;&gt;"未售-海外仓预退（HWC-YT）"),"",IF(L105=0,"仍未销售：需要调整申报，全额缴回预退税",IF(L105&lt;N(E105),"部分已售：需要调整申报，全额冲减后按已售部分重报",IF(N105="","全部已售：填入实际应退税额后判断",IF(O105=0,"全部已售、无差异：无需调整申报","全部已售、有差异：需要调整申报")))))</f>
        <v/>
      </c>
      <c r="Q105" s="41"/>
      <c r="R105" s="44"/>
      <c r="S105" s="36" t="str">
        <f aca="false">IF(A105="","",IF(D105="","请选择申报方式",IF(D105&lt;&gt;"未售-海外仓预退（HWC-YT）","不涉及核算",IF(Q105&lt;&gt;"","已核算",IF(J105="","待税务办结",IF(K105&lt;0,"已逾期：税务将追回预退税",IF(K105&lt;=60,"临近截止（60天内）","待核算")))))))</f>
        <v/>
      </c>
      <c r="T105" s="30" t="str">
        <f aca="false">IF(ISNUMBER(C105),DATE(YEAR(C105)+1,4,30),"")</f>
        <v/>
      </c>
      <c r="U105" s="43"/>
    </row>
    <row r="106" customFormat="false" ht="21.75" hidden="false" customHeight="true" outlineLevel="0" collapsed="false">
      <c r="A106" s="44"/>
      <c r="B106" s="36" t="str">
        <f aca="false">IF(A106="","",IFERROR(INDEX(①出口报关!$I$4:$I$303,MATCH(A106,①出口报关!$A$4:$A$303,0)),"编号不存在"))</f>
        <v/>
      </c>
      <c r="C106" s="30" t="str">
        <f aca="false">IF(A106="","",IFERROR(IF(INDEX(①出口报关!$D$4:$D$303,MATCH(A106,①出口报关!$A$4:$A$303,0))=0,"",INDEX(①出口报关!$D$4:$D$303,MATCH(A106,①出口报关!$A$4:$A$303,0))),"编号不存在"))</f>
        <v/>
      </c>
      <c r="D106" s="43"/>
      <c r="E106" s="45"/>
      <c r="F106" s="41"/>
      <c r="G106" s="48"/>
      <c r="H106" s="46"/>
      <c r="I106" s="41"/>
      <c r="J106" s="30" t="str">
        <f aca="false">IF(AND(D106="未售-海外仓预退（HWC-YT）",ISNUMBER(I106)),DATE(YEAR(I106)+1,4,30),"")</f>
        <v/>
      </c>
      <c r="K106" s="51" t="str">
        <f aca="true">IF(J106="","",IF(Q106&lt;&gt;"","",J106-TODAY()))</f>
        <v/>
      </c>
      <c r="L106" s="31" t="str">
        <f aca="false">IF(OR(A106="",D106&lt;&gt;"未售-海外仓预退（HWC-YT）"),"",MIN(N(E106),MAX(0,SUMIFS(②销售核销!$I$4:$I$603,②销售核销!$E$4:$E$603,A106)-SUMIFS($E$4:$E$303,$A$4:$A$303,A106,$D$4:$D$303,"已售-按现行规定申报"))))</f>
        <v/>
      </c>
      <c r="M106" s="34" t="str">
        <f aca="false">IF(OR(L106="",N(E106)=0,H106=""),"",ROUND(H106/E106*L106,2))</f>
        <v/>
      </c>
      <c r="N106" s="46"/>
      <c r="O106" s="34" t="str">
        <f aca="false">IF(OR(N106="",H106=""),"",ROUND(N106-H106,2))</f>
        <v/>
      </c>
      <c r="P106" s="36" t="str">
        <f aca="false">IF(OR(A106="",D106&lt;&gt;"未售-海外仓预退（HWC-YT）"),"",IF(L106=0,"仍未销售：需要调整申报，全额缴回预退税",IF(L106&lt;N(E106),"部分已售：需要调整申报，全额冲减后按已售部分重报",IF(N106="","全部已售：填入实际应退税额后判断",IF(O106=0,"全部已售、无差异：无需调整申报","全部已售、有差异：需要调整申报")))))</f>
        <v/>
      </c>
      <c r="Q106" s="41"/>
      <c r="R106" s="44"/>
      <c r="S106" s="36" t="str">
        <f aca="false">IF(A106="","",IF(D106="","请选择申报方式",IF(D106&lt;&gt;"未售-海外仓预退（HWC-YT）","不涉及核算",IF(Q106&lt;&gt;"","已核算",IF(J106="","待税务办结",IF(K106&lt;0,"已逾期：税务将追回预退税",IF(K106&lt;=60,"临近截止（60天内）","待核算")))))))</f>
        <v/>
      </c>
      <c r="T106" s="30" t="str">
        <f aca="false">IF(ISNUMBER(C106),DATE(YEAR(C106)+1,4,30),"")</f>
        <v/>
      </c>
      <c r="U106" s="43"/>
    </row>
    <row r="107" customFormat="false" ht="21.75" hidden="false" customHeight="true" outlineLevel="0" collapsed="false">
      <c r="A107" s="44"/>
      <c r="B107" s="36" t="str">
        <f aca="false">IF(A107="","",IFERROR(INDEX(①出口报关!$I$4:$I$303,MATCH(A107,①出口报关!$A$4:$A$303,0)),"编号不存在"))</f>
        <v/>
      </c>
      <c r="C107" s="30" t="str">
        <f aca="false">IF(A107="","",IFERROR(IF(INDEX(①出口报关!$D$4:$D$303,MATCH(A107,①出口报关!$A$4:$A$303,0))=0,"",INDEX(①出口报关!$D$4:$D$303,MATCH(A107,①出口报关!$A$4:$A$303,0))),"编号不存在"))</f>
        <v/>
      </c>
      <c r="D107" s="43"/>
      <c r="E107" s="45"/>
      <c r="F107" s="41"/>
      <c r="G107" s="48"/>
      <c r="H107" s="46"/>
      <c r="I107" s="41"/>
      <c r="J107" s="30" t="str">
        <f aca="false">IF(AND(D107="未售-海外仓预退（HWC-YT）",ISNUMBER(I107)),DATE(YEAR(I107)+1,4,30),"")</f>
        <v/>
      </c>
      <c r="K107" s="51" t="str">
        <f aca="true">IF(J107="","",IF(Q107&lt;&gt;"","",J107-TODAY()))</f>
        <v/>
      </c>
      <c r="L107" s="31" t="str">
        <f aca="false">IF(OR(A107="",D107&lt;&gt;"未售-海外仓预退（HWC-YT）"),"",MIN(N(E107),MAX(0,SUMIFS(②销售核销!$I$4:$I$603,②销售核销!$E$4:$E$603,A107)-SUMIFS($E$4:$E$303,$A$4:$A$303,A107,$D$4:$D$303,"已售-按现行规定申报"))))</f>
        <v/>
      </c>
      <c r="M107" s="34" t="str">
        <f aca="false">IF(OR(L107="",N(E107)=0,H107=""),"",ROUND(H107/E107*L107,2))</f>
        <v/>
      </c>
      <c r="N107" s="46"/>
      <c r="O107" s="34" t="str">
        <f aca="false">IF(OR(N107="",H107=""),"",ROUND(N107-H107,2))</f>
        <v/>
      </c>
      <c r="P107" s="36" t="str">
        <f aca="false">IF(OR(A107="",D107&lt;&gt;"未售-海外仓预退（HWC-YT）"),"",IF(L107=0,"仍未销售：需要调整申报，全额缴回预退税",IF(L107&lt;N(E107),"部分已售：需要调整申报，全额冲减后按已售部分重报",IF(N107="","全部已售：填入实际应退税额后判断",IF(O107=0,"全部已售、无差异：无需调整申报","全部已售、有差异：需要调整申报")))))</f>
        <v/>
      </c>
      <c r="Q107" s="41"/>
      <c r="R107" s="44"/>
      <c r="S107" s="36" t="str">
        <f aca="false">IF(A107="","",IF(D107="","请选择申报方式",IF(D107&lt;&gt;"未售-海外仓预退（HWC-YT）","不涉及核算",IF(Q107&lt;&gt;"","已核算",IF(J107="","待税务办结",IF(K107&lt;0,"已逾期：税务将追回预退税",IF(K107&lt;=60,"临近截止（60天内）","待核算")))))))</f>
        <v/>
      </c>
      <c r="T107" s="30" t="str">
        <f aca="false">IF(ISNUMBER(C107),DATE(YEAR(C107)+1,4,30),"")</f>
        <v/>
      </c>
      <c r="U107" s="43"/>
    </row>
    <row r="108" customFormat="false" ht="21.75" hidden="false" customHeight="true" outlineLevel="0" collapsed="false">
      <c r="A108" s="44"/>
      <c r="B108" s="36" t="str">
        <f aca="false">IF(A108="","",IFERROR(INDEX(①出口报关!$I$4:$I$303,MATCH(A108,①出口报关!$A$4:$A$303,0)),"编号不存在"))</f>
        <v/>
      </c>
      <c r="C108" s="30" t="str">
        <f aca="false">IF(A108="","",IFERROR(IF(INDEX(①出口报关!$D$4:$D$303,MATCH(A108,①出口报关!$A$4:$A$303,0))=0,"",INDEX(①出口报关!$D$4:$D$303,MATCH(A108,①出口报关!$A$4:$A$303,0))),"编号不存在"))</f>
        <v/>
      </c>
      <c r="D108" s="43"/>
      <c r="E108" s="45"/>
      <c r="F108" s="41"/>
      <c r="G108" s="48"/>
      <c r="H108" s="46"/>
      <c r="I108" s="41"/>
      <c r="J108" s="30" t="str">
        <f aca="false">IF(AND(D108="未售-海外仓预退（HWC-YT）",ISNUMBER(I108)),DATE(YEAR(I108)+1,4,30),"")</f>
        <v/>
      </c>
      <c r="K108" s="51" t="str">
        <f aca="true">IF(J108="","",IF(Q108&lt;&gt;"","",J108-TODAY()))</f>
        <v/>
      </c>
      <c r="L108" s="31" t="str">
        <f aca="false">IF(OR(A108="",D108&lt;&gt;"未售-海外仓预退（HWC-YT）"),"",MIN(N(E108),MAX(0,SUMIFS(②销售核销!$I$4:$I$603,②销售核销!$E$4:$E$603,A108)-SUMIFS($E$4:$E$303,$A$4:$A$303,A108,$D$4:$D$303,"已售-按现行规定申报"))))</f>
        <v/>
      </c>
      <c r="M108" s="34" t="str">
        <f aca="false">IF(OR(L108="",N(E108)=0,H108=""),"",ROUND(H108/E108*L108,2))</f>
        <v/>
      </c>
      <c r="N108" s="46"/>
      <c r="O108" s="34" t="str">
        <f aca="false">IF(OR(N108="",H108=""),"",ROUND(N108-H108,2))</f>
        <v/>
      </c>
      <c r="P108" s="36" t="str">
        <f aca="false">IF(OR(A108="",D108&lt;&gt;"未售-海外仓预退（HWC-YT）"),"",IF(L108=0,"仍未销售：需要调整申报，全额缴回预退税",IF(L108&lt;N(E108),"部分已售：需要调整申报，全额冲减后按已售部分重报",IF(N108="","全部已售：填入实际应退税额后判断",IF(O108=0,"全部已售、无差异：无需调整申报","全部已售、有差异：需要调整申报")))))</f>
        <v/>
      </c>
      <c r="Q108" s="41"/>
      <c r="R108" s="44"/>
      <c r="S108" s="36" t="str">
        <f aca="false">IF(A108="","",IF(D108="","请选择申报方式",IF(D108&lt;&gt;"未售-海外仓预退（HWC-YT）","不涉及核算",IF(Q108&lt;&gt;"","已核算",IF(J108="","待税务办结",IF(K108&lt;0,"已逾期：税务将追回预退税",IF(K108&lt;=60,"临近截止（60天内）","待核算")))))))</f>
        <v/>
      </c>
      <c r="T108" s="30" t="str">
        <f aca="false">IF(ISNUMBER(C108),DATE(YEAR(C108)+1,4,30),"")</f>
        <v/>
      </c>
      <c r="U108" s="43"/>
    </row>
    <row r="109" customFormat="false" ht="21.75" hidden="false" customHeight="true" outlineLevel="0" collapsed="false">
      <c r="A109" s="44"/>
      <c r="B109" s="36" t="str">
        <f aca="false">IF(A109="","",IFERROR(INDEX(①出口报关!$I$4:$I$303,MATCH(A109,①出口报关!$A$4:$A$303,0)),"编号不存在"))</f>
        <v/>
      </c>
      <c r="C109" s="30" t="str">
        <f aca="false">IF(A109="","",IFERROR(IF(INDEX(①出口报关!$D$4:$D$303,MATCH(A109,①出口报关!$A$4:$A$303,0))=0,"",INDEX(①出口报关!$D$4:$D$303,MATCH(A109,①出口报关!$A$4:$A$303,0))),"编号不存在"))</f>
        <v/>
      </c>
      <c r="D109" s="43"/>
      <c r="E109" s="45"/>
      <c r="F109" s="41"/>
      <c r="G109" s="48"/>
      <c r="H109" s="46"/>
      <c r="I109" s="41"/>
      <c r="J109" s="30" t="str">
        <f aca="false">IF(AND(D109="未售-海外仓预退（HWC-YT）",ISNUMBER(I109)),DATE(YEAR(I109)+1,4,30),"")</f>
        <v/>
      </c>
      <c r="K109" s="51" t="str">
        <f aca="true">IF(J109="","",IF(Q109&lt;&gt;"","",J109-TODAY()))</f>
        <v/>
      </c>
      <c r="L109" s="31" t="str">
        <f aca="false">IF(OR(A109="",D109&lt;&gt;"未售-海外仓预退（HWC-YT）"),"",MIN(N(E109),MAX(0,SUMIFS(②销售核销!$I$4:$I$603,②销售核销!$E$4:$E$603,A109)-SUMIFS($E$4:$E$303,$A$4:$A$303,A109,$D$4:$D$303,"已售-按现行规定申报"))))</f>
        <v/>
      </c>
      <c r="M109" s="34" t="str">
        <f aca="false">IF(OR(L109="",N(E109)=0,H109=""),"",ROUND(H109/E109*L109,2))</f>
        <v/>
      </c>
      <c r="N109" s="46"/>
      <c r="O109" s="34" t="str">
        <f aca="false">IF(OR(N109="",H109=""),"",ROUND(N109-H109,2))</f>
        <v/>
      </c>
      <c r="P109" s="36" t="str">
        <f aca="false">IF(OR(A109="",D109&lt;&gt;"未售-海外仓预退（HWC-YT）"),"",IF(L109=0,"仍未销售：需要调整申报，全额缴回预退税",IF(L109&lt;N(E109),"部分已售：需要调整申报，全额冲减后按已售部分重报",IF(N109="","全部已售：填入实际应退税额后判断",IF(O109=0,"全部已售、无差异：无需调整申报","全部已售、有差异：需要调整申报")))))</f>
        <v/>
      </c>
      <c r="Q109" s="41"/>
      <c r="R109" s="44"/>
      <c r="S109" s="36" t="str">
        <f aca="false">IF(A109="","",IF(D109="","请选择申报方式",IF(D109&lt;&gt;"未售-海外仓预退（HWC-YT）","不涉及核算",IF(Q109&lt;&gt;"","已核算",IF(J109="","待税务办结",IF(K109&lt;0,"已逾期：税务将追回预退税",IF(K109&lt;=60,"临近截止（60天内）","待核算")))))))</f>
        <v/>
      </c>
      <c r="T109" s="30" t="str">
        <f aca="false">IF(ISNUMBER(C109),DATE(YEAR(C109)+1,4,30),"")</f>
        <v/>
      </c>
      <c r="U109" s="43"/>
    </row>
    <row r="110" customFormat="false" ht="21.75" hidden="false" customHeight="true" outlineLevel="0" collapsed="false">
      <c r="A110" s="44"/>
      <c r="B110" s="36" t="str">
        <f aca="false">IF(A110="","",IFERROR(INDEX(①出口报关!$I$4:$I$303,MATCH(A110,①出口报关!$A$4:$A$303,0)),"编号不存在"))</f>
        <v/>
      </c>
      <c r="C110" s="30" t="str">
        <f aca="false">IF(A110="","",IFERROR(IF(INDEX(①出口报关!$D$4:$D$303,MATCH(A110,①出口报关!$A$4:$A$303,0))=0,"",INDEX(①出口报关!$D$4:$D$303,MATCH(A110,①出口报关!$A$4:$A$303,0))),"编号不存在"))</f>
        <v/>
      </c>
      <c r="D110" s="43"/>
      <c r="E110" s="45"/>
      <c r="F110" s="41"/>
      <c r="G110" s="48"/>
      <c r="H110" s="46"/>
      <c r="I110" s="41"/>
      <c r="J110" s="30" t="str">
        <f aca="false">IF(AND(D110="未售-海外仓预退（HWC-YT）",ISNUMBER(I110)),DATE(YEAR(I110)+1,4,30),"")</f>
        <v/>
      </c>
      <c r="K110" s="51" t="str">
        <f aca="true">IF(J110="","",IF(Q110&lt;&gt;"","",J110-TODAY()))</f>
        <v/>
      </c>
      <c r="L110" s="31" t="str">
        <f aca="false">IF(OR(A110="",D110&lt;&gt;"未售-海外仓预退（HWC-YT）"),"",MIN(N(E110),MAX(0,SUMIFS(②销售核销!$I$4:$I$603,②销售核销!$E$4:$E$603,A110)-SUMIFS($E$4:$E$303,$A$4:$A$303,A110,$D$4:$D$303,"已售-按现行规定申报"))))</f>
        <v/>
      </c>
      <c r="M110" s="34" t="str">
        <f aca="false">IF(OR(L110="",N(E110)=0,H110=""),"",ROUND(H110/E110*L110,2))</f>
        <v/>
      </c>
      <c r="N110" s="46"/>
      <c r="O110" s="34" t="str">
        <f aca="false">IF(OR(N110="",H110=""),"",ROUND(N110-H110,2))</f>
        <v/>
      </c>
      <c r="P110" s="36" t="str">
        <f aca="false">IF(OR(A110="",D110&lt;&gt;"未售-海外仓预退（HWC-YT）"),"",IF(L110=0,"仍未销售：需要调整申报，全额缴回预退税",IF(L110&lt;N(E110),"部分已售：需要调整申报，全额冲减后按已售部分重报",IF(N110="","全部已售：填入实际应退税额后判断",IF(O110=0,"全部已售、无差异：无需调整申报","全部已售、有差异：需要调整申报")))))</f>
        <v/>
      </c>
      <c r="Q110" s="41"/>
      <c r="R110" s="44"/>
      <c r="S110" s="36" t="str">
        <f aca="false">IF(A110="","",IF(D110="","请选择申报方式",IF(D110&lt;&gt;"未售-海外仓预退（HWC-YT）","不涉及核算",IF(Q110&lt;&gt;"","已核算",IF(J110="","待税务办结",IF(K110&lt;0,"已逾期：税务将追回预退税",IF(K110&lt;=60,"临近截止（60天内）","待核算")))))))</f>
        <v/>
      </c>
      <c r="T110" s="30" t="str">
        <f aca="false">IF(ISNUMBER(C110),DATE(YEAR(C110)+1,4,30),"")</f>
        <v/>
      </c>
      <c r="U110" s="43"/>
    </row>
    <row r="111" customFormat="false" ht="21.75" hidden="false" customHeight="true" outlineLevel="0" collapsed="false">
      <c r="A111" s="44"/>
      <c r="B111" s="36" t="str">
        <f aca="false">IF(A111="","",IFERROR(INDEX(①出口报关!$I$4:$I$303,MATCH(A111,①出口报关!$A$4:$A$303,0)),"编号不存在"))</f>
        <v/>
      </c>
      <c r="C111" s="30" t="str">
        <f aca="false">IF(A111="","",IFERROR(IF(INDEX(①出口报关!$D$4:$D$303,MATCH(A111,①出口报关!$A$4:$A$303,0))=0,"",INDEX(①出口报关!$D$4:$D$303,MATCH(A111,①出口报关!$A$4:$A$303,0))),"编号不存在"))</f>
        <v/>
      </c>
      <c r="D111" s="43"/>
      <c r="E111" s="45"/>
      <c r="F111" s="41"/>
      <c r="G111" s="48"/>
      <c r="H111" s="46"/>
      <c r="I111" s="41"/>
      <c r="J111" s="30" t="str">
        <f aca="false">IF(AND(D111="未售-海外仓预退（HWC-YT）",ISNUMBER(I111)),DATE(YEAR(I111)+1,4,30),"")</f>
        <v/>
      </c>
      <c r="K111" s="51" t="str">
        <f aca="true">IF(J111="","",IF(Q111&lt;&gt;"","",J111-TODAY()))</f>
        <v/>
      </c>
      <c r="L111" s="31" t="str">
        <f aca="false">IF(OR(A111="",D111&lt;&gt;"未售-海外仓预退（HWC-YT）"),"",MIN(N(E111),MAX(0,SUMIFS(②销售核销!$I$4:$I$603,②销售核销!$E$4:$E$603,A111)-SUMIFS($E$4:$E$303,$A$4:$A$303,A111,$D$4:$D$303,"已售-按现行规定申报"))))</f>
        <v/>
      </c>
      <c r="M111" s="34" t="str">
        <f aca="false">IF(OR(L111="",N(E111)=0,H111=""),"",ROUND(H111/E111*L111,2))</f>
        <v/>
      </c>
      <c r="N111" s="46"/>
      <c r="O111" s="34" t="str">
        <f aca="false">IF(OR(N111="",H111=""),"",ROUND(N111-H111,2))</f>
        <v/>
      </c>
      <c r="P111" s="36" t="str">
        <f aca="false">IF(OR(A111="",D111&lt;&gt;"未售-海外仓预退（HWC-YT）"),"",IF(L111=0,"仍未销售：需要调整申报，全额缴回预退税",IF(L111&lt;N(E111),"部分已售：需要调整申报，全额冲减后按已售部分重报",IF(N111="","全部已售：填入实际应退税额后判断",IF(O111=0,"全部已售、无差异：无需调整申报","全部已售、有差异：需要调整申报")))))</f>
        <v/>
      </c>
      <c r="Q111" s="41"/>
      <c r="R111" s="44"/>
      <c r="S111" s="36" t="str">
        <f aca="false">IF(A111="","",IF(D111="","请选择申报方式",IF(D111&lt;&gt;"未售-海外仓预退（HWC-YT）","不涉及核算",IF(Q111&lt;&gt;"","已核算",IF(J111="","待税务办结",IF(K111&lt;0,"已逾期：税务将追回预退税",IF(K111&lt;=60,"临近截止（60天内）","待核算")))))))</f>
        <v/>
      </c>
      <c r="T111" s="30" t="str">
        <f aca="false">IF(ISNUMBER(C111),DATE(YEAR(C111)+1,4,30),"")</f>
        <v/>
      </c>
      <c r="U111" s="43"/>
    </row>
    <row r="112" customFormat="false" ht="21.75" hidden="false" customHeight="true" outlineLevel="0" collapsed="false">
      <c r="A112" s="44"/>
      <c r="B112" s="36" t="str">
        <f aca="false">IF(A112="","",IFERROR(INDEX(①出口报关!$I$4:$I$303,MATCH(A112,①出口报关!$A$4:$A$303,0)),"编号不存在"))</f>
        <v/>
      </c>
      <c r="C112" s="30" t="str">
        <f aca="false">IF(A112="","",IFERROR(IF(INDEX(①出口报关!$D$4:$D$303,MATCH(A112,①出口报关!$A$4:$A$303,0))=0,"",INDEX(①出口报关!$D$4:$D$303,MATCH(A112,①出口报关!$A$4:$A$303,0))),"编号不存在"))</f>
        <v/>
      </c>
      <c r="D112" s="43"/>
      <c r="E112" s="45"/>
      <c r="F112" s="41"/>
      <c r="G112" s="48"/>
      <c r="H112" s="46"/>
      <c r="I112" s="41"/>
      <c r="J112" s="30" t="str">
        <f aca="false">IF(AND(D112="未售-海外仓预退（HWC-YT）",ISNUMBER(I112)),DATE(YEAR(I112)+1,4,30),"")</f>
        <v/>
      </c>
      <c r="K112" s="51" t="str">
        <f aca="true">IF(J112="","",IF(Q112&lt;&gt;"","",J112-TODAY()))</f>
        <v/>
      </c>
      <c r="L112" s="31" t="str">
        <f aca="false">IF(OR(A112="",D112&lt;&gt;"未售-海外仓预退（HWC-YT）"),"",MIN(N(E112),MAX(0,SUMIFS(②销售核销!$I$4:$I$603,②销售核销!$E$4:$E$603,A112)-SUMIFS($E$4:$E$303,$A$4:$A$303,A112,$D$4:$D$303,"已售-按现行规定申报"))))</f>
        <v/>
      </c>
      <c r="M112" s="34" t="str">
        <f aca="false">IF(OR(L112="",N(E112)=0,H112=""),"",ROUND(H112/E112*L112,2))</f>
        <v/>
      </c>
      <c r="N112" s="46"/>
      <c r="O112" s="34" t="str">
        <f aca="false">IF(OR(N112="",H112=""),"",ROUND(N112-H112,2))</f>
        <v/>
      </c>
      <c r="P112" s="36" t="str">
        <f aca="false">IF(OR(A112="",D112&lt;&gt;"未售-海外仓预退（HWC-YT）"),"",IF(L112=0,"仍未销售：需要调整申报，全额缴回预退税",IF(L112&lt;N(E112),"部分已售：需要调整申报，全额冲减后按已售部分重报",IF(N112="","全部已售：填入实际应退税额后判断",IF(O112=0,"全部已售、无差异：无需调整申报","全部已售、有差异：需要调整申报")))))</f>
        <v/>
      </c>
      <c r="Q112" s="41"/>
      <c r="R112" s="44"/>
      <c r="S112" s="36" t="str">
        <f aca="false">IF(A112="","",IF(D112="","请选择申报方式",IF(D112&lt;&gt;"未售-海外仓预退（HWC-YT）","不涉及核算",IF(Q112&lt;&gt;"","已核算",IF(J112="","待税务办结",IF(K112&lt;0,"已逾期：税务将追回预退税",IF(K112&lt;=60,"临近截止（60天内）","待核算")))))))</f>
        <v/>
      </c>
      <c r="T112" s="30" t="str">
        <f aca="false">IF(ISNUMBER(C112),DATE(YEAR(C112)+1,4,30),"")</f>
        <v/>
      </c>
      <c r="U112" s="43"/>
    </row>
    <row r="113" customFormat="false" ht="21.75" hidden="false" customHeight="true" outlineLevel="0" collapsed="false">
      <c r="A113" s="44"/>
      <c r="B113" s="36" t="str">
        <f aca="false">IF(A113="","",IFERROR(INDEX(①出口报关!$I$4:$I$303,MATCH(A113,①出口报关!$A$4:$A$303,0)),"编号不存在"))</f>
        <v/>
      </c>
      <c r="C113" s="30" t="str">
        <f aca="false">IF(A113="","",IFERROR(IF(INDEX(①出口报关!$D$4:$D$303,MATCH(A113,①出口报关!$A$4:$A$303,0))=0,"",INDEX(①出口报关!$D$4:$D$303,MATCH(A113,①出口报关!$A$4:$A$303,0))),"编号不存在"))</f>
        <v/>
      </c>
      <c r="D113" s="43"/>
      <c r="E113" s="45"/>
      <c r="F113" s="41"/>
      <c r="G113" s="48"/>
      <c r="H113" s="46"/>
      <c r="I113" s="41"/>
      <c r="J113" s="30" t="str">
        <f aca="false">IF(AND(D113="未售-海外仓预退（HWC-YT）",ISNUMBER(I113)),DATE(YEAR(I113)+1,4,30),"")</f>
        <v/>
      </c>
      <c r="K113" s="51" t="str">
        <f aca="true">IF(J113="","",IF(Q113&lt;&gt;"","",J113-TODAY()))</f>
        <v/>
      </c>
      <c r="L113" s="31" t="str">
        <f aca="false">IF(OR(A113="",D113&lt;&gt;"未售-海外仓预退（HWC-YT）"),"",MIN(N(E113),MAX(0,SUMIFS(②销售核销!$I$4:$I$603,②销售核销!$E$4:$E$603,A113)-SUMIFS($E$4:$E$303,$A$4:$A$303,A113,$D$4:$D$303,"已售-按现行规定申报"))))</f>
        <v/>
      </c>
      <c r="M113" s="34" t="str">
        <f aca="false">IF(OR(L113="",N(E113)=0,H113=""),"",ROUND(H113/E113*L113,2))</f>
        <v/>
      </c>
      <c r="N113" s="46"/>
      <c r="O113" s="34" t="str">
        <f aca="false">IF(OR(N113="",H113=""),"",ROUND(N113-H113,2))</f>
        <v/>
      </c>
      <c r="P113" s="36" t="str">
        <f aca="false">IF(OR(A113="",D113&lt;&gt;"未售-海外仓预退（HWC-YT）"),"",IF(L113=0,"仍未销售：需要调整申报，全额缴回预退税",IF(L113&lt;N(E113),"部分已售：需要调整申报，全额冲减后按已售部分重报",IF(N113="","全部已售：填入实际应退税额后判断",IF(O113=0,"全部已售、无差异：无需调整申报","全部已售、有差异：需要调整申报")))))</f>
        <v/>
      </c>
      <c r="Q113" s="41"/>
      <c r="R113" s="44"/>
      <c r="S113" s="36" t="str">
        <f aca="false">IF(A113="","",IF(D113="","请选择申报方式",IF(D113&lt;&gt;"未售-海外仓预退（HWC-YT）","不涉及核算",IF(Q113&lt;&gt;"","已核算",IF(J113="","待税务办结",IF(K113&lt;0,"已逾期：税务将追回预退税",IF(K113&lt;=60,"临近截止（60天内）","待核算")))))))</f>
        <v/>
      </c>
      <c r="T113" s="30" t="str">
        <f aca="false">IF(ISNUMBER(C113),DATE(YEAR(C113)+1,4,30),"")</f>
        <v/>
      </c>
      <c r="U113" s="43"/>
    </row>
    <row r="114" customFormat="false" ht="21.75" hidden="false" customHeight="true" outlineLevel="0" collapsed="false">
      <c r="A114" s="44"/>
      <c r="B114" s="36" t="str">
        <f aca="false">IF(A114="","",IFERROR(INDEX(①出口报关!$I$4:$I$303,MATCH(A114,①出口报关!$A$4:$A$303,0)),"编号不存在"))</f>
        <v/>
      </c>
      <c r="C114" s="30" t="str">
        <f aca="false">IF(A114="","",IFERROR(IF(INDEX(①出口报关!$D$4:$D$303,MATCH(A114,①出口报关!$A$4:$A$303,0))=0,"",INDEX(①出口报关!$D$4:$D$303,MATCH(A114,①出口报关!$A$4:$A$303,0))),"编号不存在"))</f>
        <v/>
      </c>
      <c r="D114" s="43"/>
      <c r="E114" s="45"/>
      <c r="F114" s="41"/>
      <c r="G114" s="48"/>
      <c r="H114" s="46"/>
      <c r="I114" s="41"/>
      <c r="J114" s="30" t="str">
        <f aca="false">IF(AND(D114="未售-海外仓预退（HWC-YT）",ISNUMBER(I114)),DATE(YEAR(I114)+1,4,30),"")</f>
        <v/>
      </c>
      <c r="K114" s="51" t="str">
        <f aca="true">IF(J114="","",IF(Q114&lt;&gt;"","",J114-TODAY()))</f>
        <v/>
      </c>
      <c r="L114" s="31" t="str">
        <f aca="false">IF(OR(A114="",D114&lt;&gt;"未售-海外仓预退（HWC-YT）"),"",MIN(N(E114),MAX(0,SUMIFS(②销售核销!$I$4:$I$603,②销售核销!$E$4:$E$603,A114)-SUMIFS($E$4:$E$303,$A$4:$A$303,A114,$D$4:$D$303,"已售-按现行规定申报"))))</f>
        <v/>
      </c>
      <c r="M114" s="34" t="str">
        <f aca="false">IF(OR(L114="",N(E114)=0,H114=""),"",ROUND(H114/E114*L114,2))</f>
        <v/>
      </c>
      <c r="N114" s="46"/>
      <c r="O114" s="34" t="str">
        <f aca="false">IF(OR(N114="",H114=""),"",ROUND(N114-H114,2))</f>
        <v/>
      </c>
      <c r="P114" s="36" t="str">
        <f aca="false">IF(OR(A114="",D114&lt;&gt;"未售-海外仓预退（HWC-YT）"),"",IF(L114=0,"仍未销售：需要调整申报，全额缴回预退税",IF(L114&lt;N(E114),"部分已售：需要调整申报，全额冲减后按已售部分重报",IF(N114="","全部已售：填入实际应退税额后判断",IF(O114=0,"全部已售、无差异：无需调整申报","全部已售、有差异：需要调整申报")))))</f>
        <v/>
      </c>
      <c r="Q114" s="41"/>
      <c r="R114" s="44"/>
      <c r="S114" s="36" t="str">
        <f aca="false">IF(A114="","",IF(D114="","请选择申报方式",IF(D114&lt;&gt;"未售-海外仓预退（HWC-YT）","不涉及核算",IF(Q114&lt;&gt;"","已核算",IF(J114="","待税务办结",IF(K114&lt;0,"已逾期：税务将追回预退税",IF(K114&lt;=60,"临近截止（60天内）","待核算")))))))</f>
        <v/>
      </c>
      <c r="T114" s="30" t="str">
        <f aca="false">IF(ISNUMBER(C114),DATE(YEAR(C114)+1,4,30),"")</f>
        <v/>
      </c>
      <c r="U114" s="43"/>
    </row>
    <row r="115" customFormat="false" ht="21.75" hidden="false" customHeight="true" outlineLevel="0" collapsed="false">
      <c r="A115" s="44"/>
      <c r="B115" s="36" t="str">
        <f aca="false">IF(A115="","",IFERROR(INDEX(①出口报关!$I$4:$I$303,MATCH(A115,①出口报关!$A$4:$A$303,0)),"编号不存在"))</f>
        <v/>
      </c>
      <c r="C115" s="30" t="str">
        <f aca="false">IF(A115="","",IFERROR(IF(INDEX(①出口报关!$D$4:$D$303,MATCH(A115,①出口报关!$A$4:$A$303,0))=0,"",INDEX(①出口报关!$D$4:$D$303,MATCH(A115,①出口报关!$A$4:$A$303,0))),"编号不存在"))</f>
        <v/>
      </c>
      <c r="D115" s="43"/>
      <c r="E115" s="45"/>
      <c r="F115" s="41"/>
      <c r="G115" s="48"/>
      <c r="H115" s="46"/>
      <c r="I115" s="41"/>
      <c r="J115" s="30" t="str">
        <f aca="false">IF(AND(D115="未售-海外仓预退（HWC-YT）",ISNUMBER(I115)),DATE(YEAR(I115)+1,4,30),"")</f>
        <v/>
      </c>
      <c r="K115" s="51" t="str">
        <f aca="true">IF(J115="","",IF(Q115&lt;&gt;"","",J115-TODAY()))</f>
        <v/>
      </c>
      <c r="L115" s="31" t="str">
        <f aca="false">IF(OR(A115="",D115&lt;&gt;"未售-海外仓预退（HWC-YT）"),"",MIN(N(E115),MAX(0,SUMIFS(②销售核销!$I$4:$I$603,②销售核销!$E$4:$E$603,A115)-SUMIFS($E$4:$E$303,$A$4:$A$303,A115,$D$4:$D$303,"已售-按现行规定申报"))))</f>
        <v/>
      </c>
      <c r="M115" s="34" t="str">
        <f aca="false">IF(OR(L115="",N(E115)=0,H115=""),"",ROUND(H115/E115*L115,2))</f>
        <v/>
      </c>
      <c r="N115" s="46"/>
      <c r="O115" s="34" t="str">
        <f aca="false">IF(OR(N115="",H115=""),"",ROUND(N115-H115,2))</f>
        <v/>
      </c>
      <c r="P115" s="36" t="str">
        <f aca="false">IF(OR(A115="",D115&lt;&gt;"未售-海外仓预退（HWC-YT）"),"",IF(L115=0,"仍未销售：需要调整申报，全额缴回预退税",IF(L115&lt;N(E115),"部分已售：需要调整申报，全额冲减后按已售部分重报",IF(N115="","全部已售：填入实际应退税额后判断",IF(O115=0,"全部已售、无差异：无需调整申报","全部已售、有差异：需要调整申报")))))</f>
        <v/>
      </c>
      <c r="Q115" s="41"/>
      <c r="R115" s="44"/>
      <c r="S115" s="36" t="str">
        <f aca="false">IF(A115="","",IF(D115="","请选择申报方式",IF(D115&lt;&gt;"未售-海外仓预退（HWC-YT）","不涉及核算",IF(Q115&lt;&gt;"","已核算",IF(J115="","待税务办结",IF(K115&lt;0,"已逾期：税务将追回预退税",IF(K115&lt;=60,"临近截止（60天内）","待核算")))))))</f>
        <v/>
      </c>
      <c r="T115" s="30" t="str">
        <f aca="false">IF(ISNUMBER(C115),DATE(YEAR(C115)+1,4,30),"")</f>
        <v/>
      </c>
      <c r="U115" s="43"/>
    </row>
    <row r="116" customFormat="false" ht="21.75" hidden="false" customHeight="true" outlineLevel="0" collapsed="false">
      <c r="A116" s="44"/>
      <c r="B116" s="36" t="str">
        <f aca="false">IF(A116="","",IFERROR(INDEX(①出口报关!$I$4:$I$303,MATCH(A116,①出口报关!$A$4:$A$303,0)),"编号不存在"))</f>
        <v/>
      </c>
      <c r="C116" s="30" t="str">
        <f aca="false">IF(A116="","",IFERROR(IF(INDEX(①出口报关!$D$4:$D$303,MATCH(A116,①出口报关!$A$4:$A$303,0))=0,"",INDEX(①出口报关!$D$4:$D$303,MATCH(A116,①出口报关!$A$4:$A$303,0))),"编号不存在"))</f>
        <v/>
      </c>
      <c r="D116" s="43"/>
      <c r="E116" s="45"/>
      <c r="F116" s="41"/>
      <c r="G116" s="48"/>
      <c r="H116" s="46"/>
      <c r="I116" s="41"/>
      <c r="J116" s="30" t="str">
        <f aca="false">IF(AND(D116="未售-海外仓预退（HWC-YT）",ISNUMBER(I116)),DATE(YEAR(I116)+1,4,30),"")</f>
        <v/>
      </c>
      <c r="K116" s="51" t="str">
        <f aca="true">IF(J116="","",IF(Q116&lt;&gt;"","",J116-TODAY()))</f>
        <v/>
      </c>
      <c r="L116" s="31" t="str">
        <f aca="false">IF(OR(A116="",D116&lt;&gt;"未售-海外仓预退（HWC-YT）"),"",MIN(N(E116),MAX(0,SUMIFS(②销售核销!$I$4:$I$603,②销售核销!$E$4:$E$603,A116)-SUMIFS($E$4:$E$303,$A$4:$A$303,A116,$D$4:$D$303,"已售-按现行规定申报"))))</f>
        <v/>
      </c>
      <c r="M116" s="34" t="str">
        <f aca="false">IF(OR(L116="",N(E116)=0,H116=""),"",ROUND(H116/E116*L116,2))</f>
        <v/>
      </c>
      <c r="N116" s="46"/>
      <c r="O116" s="34" t="str">
        <f aca="false">IF(OR(N116="",H116=""),"",ROUND(N116-H116,2))</f>
        <v/>
      </c>
      <c r="P116" s="36" t="str">
        <f aca="false">IF(OR(A116="",D116&lt;&gt;"未售-海外仓预退（HWC-YT）"),"",IF(L116=0,"仍未销售：需要调整申报，全额缴回预退税",IF(L116&lt;N(E116),"部分已售：需要调整申报，全额冲减后按已售部分重报",IF(N116="","全部已售：填入实际应退税额后判断",IF(O116=0,"全部已售、无差异：无需调整申报","全部已售、有差异：需要调整申报")))))</f>
        <v/>
      </c>
      <c r="Q116" s="41"/>
      <c r="R116" s="44"/>
      <c r="S116" s="36" t="str">
        <f aca="false">IF(A116="","",IF(D116="","请选择申报方式",IF(D116&lt;&gt;"未售-海外仓预退（HWC-YT）","不涉及核算",IF(Q116&lt;&gt;"","已核算",IF(J116="","待税务办结",IF(K116&lt;0,"已逾期：税务将追回预退税",IF(K116&lt;=60,"临近截止（60天内）","待核算")))))))</f>
        <v/>
      </c>
      <c r="T116" s="30" t="str">
        <f aca="false">IF(ISNUMBER(C116),DATE(YEAR(C116)+1,4,30),"")</f>
        <v/>
      </c>
      <c r="U116" s="43"/>
    </row>
    <row r="117" customFormat="false" ht="21.75" hidden="false" customHeight="true" outlineLevel="0" collapsed="false">
      <c r="A117" s="44"/>
      <c r="B117" s="36" t="str">
        <f aca="false">IF(A117="","",IFERROR(INDEX(①出口报关!$I$4:$I$303,MATCH(A117,①出口报关!$A$4:$A$303,0)),"编号不存在"))</f>
        <v/>
      </c>
      <c r="C117" s="30" t="str">
        <f aca="false">IF(A117="","",IFERROR(IF(INDEX(①出口报关!$D$4:$D$303,MATCH(A117,①出口报关!$A$4:$A$303,0))=0,"",INDEX(①出口报关!$D$4:$D$303,MATCH(A117,①出口报关!$A$4:$A$303,0))),"编号不存在"))</f>
        <v/>
      </c>
      <c r="D117" s="43"/>
      <c r="E117" s="45"/>
      <c r="F117" s="41"/>
      <c r="G117" s="48"/>
      <c r="H117" s="46"/>
      <c r="I117" s="41"/>
      <c r="J117" s="30" t="str">
        <f aca="false">IF(AND(D117="未售-海外仓预退（HWC-YT）",ISNUMBER(I117)),DATE(YEAR(I117)+1,4,30),"")</f>
        <v/>
      </c>
      <c r="K117" s="51" t="str">
        <f aca="true">IF(J117="","",IF(Q117&lt;&gt;"","",J117-TODAY()))</f>
        <v/>
      </c>
      <c r="L117" s="31" t="str">
        <f aca="false">IF(OR(A117="",D117&lt;&gt;"未售-海外仓预退（HWC-YT）"),"",MIN(N(E117),MAX(0,SUMIFS(②销售核销!$I$4:$I$603,②销售核销!$E$4:$E$603,A117)-SUMIFS($E$4:$E$303,$A$4:$A$303,A117,$D$4:$D$303,"已售-按现行规定申报"))))</f>
        <v/>
      </c>
      <c r="M117" s="34" t="str">
        <f aca="false">IF(OR(L117="",N(E117)=0,H117=""),"",ROUND(H117/E117*L117,2))</f>
        <v/>
      </c>
      <c r="N117" s="46"/>
      <c r="O117" s="34" t="str">
        <f aca="false">IF(OR(N117="",H117=""),"",ROUND(N117-H117,2))</f>
        <v/>
      </c>
      <c r="P117" s="36" t="str">
        <f aca="false">IF(OR(A117="",D117&lt;&gt;"未售-海外仓预退（HWC-YT）"),"",IF(L117=0,"仍未销售：需要调整申报，全额缴回预退税",IF(L117&lt;N(E117),"部分已售：需要调整申报，全额冲减后按已售部分重报",IF(N117="","全部已售：填入实际应退税额后判断",IF(O117=0,"全部已售、无差异：无需调整申报","全部已售、有差异：需要调整申报")))))</f>
        <v/>
      </c>
      <c r="Q117" s="41"/>
      <c r="R117" s="44"/>
      <c r="S117" s="36" t="str">
        <f aca="false">IF(A117="","",IF(D117="","请选择申报方式",IF(D117&lt;&gt;"未售-海外仓预退（HWC-YT）","不涉及核算",IF(Q117&lt;&gt;"","已核算",IF(J117="","待税务办结",IF(K117&lt;0,"已逾期：税务将追回预退税",IF(K117&lt;=60,"临近截止（60天内）","待核算")))))))</f>
        <v/>
      </c>
      <c r="T117" s="30" t="str">
        <f aca="false">IF(ISNUMBER(C117),DATE(YEAR(C117)+1,4,30),"")</f>
        <v/>
      </c>
      <c r="U117" s="43"/>
    </row>
    <row r="118" customFormat="false" ht="21.75" hidden="false" customHeight="true" outlineLevel="0" collapsed="false">
      <c r="A118" s="44"/>
      <c r="B118" s="36" t="str">
        <f aca="false">IF(A118="","",IFERROR(INDEX(①出口报关!$I$4:$I$303,MATCH(A118,①出口报关!$A$4:$A$303,0)),"编号不存在"))</f>
        <v/>
      </c>
      <c r="C118" s="30" t="str">
        <f aca="false">IF(A118="","",IFERROR(IF(INDEX(①出口报关!$D$4:$D$303,MATCH(A118,①出口报关!$A$4:$A$303,0))=0,"",INDEX(①出口报关!$D$4:$D$303,MATCH(A118,①出口报关!$A$4:$A$303,0))),"编号不存在"))</f>
        <v/>
      </c>
      <c r="D118" s="43"/>
      <c r="E118" s="45"/>
      <c r="F118" s="41"/>
      <c r="G118" s="48"/>
      <c r="H118" s="46"/>
      <c r="I118" s="41"/>
      <c r="J118" s="30" t="str">
        <f aca="false">IF(AND(D118="未售-海外仓预退（HWC-YT）",ISNUMBER(I118)),DATE(YEAR(I118)+1,4,30),"")</f>
        <v/>
      </c>
      <c r="K118" s="51" t="str">
        <f aca="true">IF(J118="","",IF(Q118&lt;&gt;"","",J118-TODAY()))</f>
        <v/>
      </c>
      <c r="L118" s="31" t="str">
        <f aca="false">IF(OR(A118="",D118&lt;&gt;"未售-海外仓预退（HWC-YT）"),"",MIN(N(E118),MAX(0,SUMIFS(②销售核销!$I$4:$I$603,②销售核销!$E$4:$E$603,A118)-SUMIFS($E$4:$E$303,$A$4:$A$303,A118,$D$4:$D$303,"已售-按现行规定申报"))))</f>
        <v/>
      </c>
      <c r="M118" s="34" t="str">
        <f aca="false">IF(OR(L118="",N(E118)=0,H118=""),"",ROUND(H118/E118*L118,2))</f>
        <v/>
      </c>
      <c r="N118" s="46"/>
      <c r="O118" s="34" t="str">
        <f aca="false">IF(OR(N118="",H118=""),"",ROUND(N118-H118,2))</f>
        <v/>
      </c>
      <c r="P118" s="36" t="str">
        <f aca="false">IF(OR(A118="",D118&lt;&gt;"未售-海外仓预退（HWC-YT）"),"",IF(L118=0,"仍未销售：需要调整申报，全额缴回预退税",IF(L118&lt;N(E118),"部分已售：需要调整申报，全额冲减后按已售部分重报",IF(N118="","全部已售：填入实际应退税额后判断",IF(O118=0,"全部已售、无差异：无需调整申报","全部已售、有差异：需要调整申报")))))</f>
        <v/>
      </c>
      <c r="Q118" s="41"/>
      <c r="R118" s="44"/>
      <c r="S118" s="36" t="str">
        <f aca="false">IF(A118="","",IF(D118="","请选择申报方式",IF(D118&lt;&gt;"未售-海外仓预退（HWC-YT）","不涉及核算",IF(Q118&lt;&gt;"","已核算",IF(J118="","待税务办结",IF(K118&lt;0,"已逾期：税务将追回预退税",IF(K118&lt;=60,"临近截止（60天内）","待核算")))))))</f>
        <v/>
      </c>
      <c r="T118" s="30" t="str">
        <f aca="false">IF(ISNUMBER(C118),DATE(YEAR(C118)+1,4,30),"")</f>
        <v/>
      </c>
      <c r="U118" s="43"/>
    </row>
    <row r="119" customFormat="false" ht="21.75" hidden="false" customHeight="true" outlineLevel="0" collapsed="false">
      <c r="A119" s="44"/>
      <c r="B119" s="36" t="str">
        <f aca="false">IF(A119="","",IFERROR(INDEX(①出口报关!$I$4:$I$303,MATCH(A119,①出口报关!$A$4:$A$303,0)),"编号不存在"))</f>
        <v/>
      </c>
      <c r="C119" s="30" t="str">
        <f aca="false">IF(A119="","",IFERROR(IF(INDEX(①出口报关!$D$4:$D$303,MATCH(A119,①出口报关!$A$4:$A$303,0))=0,"",INDEX(①出口报关!$D$4:$D$303,MATCH(A119,①出口报关!$A$4:$A$303,0))),"编号不存在"))</f>
        <v/>
      </c>
      <c r="D119" s="43"/>
      <c r="E119" s="45"/>
      <c r="F119" s="41"/>
      <c r="G119" s="48"/>
      <c r="H119" s="46"/>
      <c r="I119" s="41"/>
      <c r="J119" s="30" t="str">
        <f aca="false">IF(AND(D119="未售-海外仓预退（HWC-YT）",ISNUMBER(I119)),DATE(YEAR(I119)+1,4,30),"")</f>
        <v/>
      </c>
      <c r="K119" s="51" t="str">
        <f aca="true">IF(J119="","",IF(Q119&lt;&gt;"","",J119-TODAY()))</f>
        <v/>
      </c>
      <c r="L119" s="31" t="str">
        <f aca="false">IF(OR(A119="",D119&lt;&gt;"未售-海外仓预退（HWC-YT）"),"",MIN(N(E119),MAX(0,SUMIFS(②销售核销!$I$4:$I$603,②销售核销!$E$4:$E$603,A119)-SUMIFS($E$4:$E$303,$A$4:$A$303,A119,$D$4:$D$303,"已售-按现行规定申报"))))</f>
        <v/>
      </c>
      <c r="M119" s="34" t="str">
        <f aca="false">IF(OR(L119="",N(E119)=0,H119=""),"",ROUND(H119/E119*L119,2))</f>
        <v/>
      </c>
      <c r="N119" s="46"/>
      <c r="O119" s="34" t="str">
        <f aca="false">IF(OR(N119="",H119=""),"",ROUND(N119-H119,2))</f>
        <v/>
      </c>
      <c r="P119" s="36" t="str">
        <f aca="false">IF(OR(A119="",D119&lt;&gt;"未售-海外仓预退（HWC-YT）"),"",IF(L119=0,"仍未销售：需要调整申报，全额缴回预退税",IF(L119&lt;N(E119),"部分已售：需要调整申报，全额冲减后按已售部分重报",IF(N119="","全部已售：填入实际应退税额后判断",IF(O119=0,"全部已售、无差异：无需调整申报","全部已售、有差异：需要调整申报")))))</f>
        <v/>
      </c>
      <c r="Q119" s="41"/>
      <c r="R119" s="44"/>
      <c r="S119" s="36" t="str">
        <f aca="false">IF(A119="","",IF(D119="","请选择申报方式",IF(D119&lt;&gt;"未售-海外仓预退（HWC-YT）","不涉及核算",IF(Q119&lt;&gt;"","已核算",IF(J119="","待税务办结",IF(K119&lt;0,"已逾期：税务将追回预退税",IF(K119&lt;=60,"临近截止（60天内）","待核算")))))))</f>
        <v/>
      </c>
      <c r="T119" s="30" t="str">
        <f aca="false">IF(ISNUMBER(C119),DATE(YEAR(C119)+1,4,30),"")</f>
        <v/>
      </c>
      <c r="U119" s="43"/>
    </row>
    <row r="120" customFormat="false" ht="21.75" hidden="false" customHeight="true" outlineLevel="0" collapsed="false">
      <c r="A120" s="44"/>
      <c r="B120" s="36" t="str">
        <f aca="false">IF(A120="","",IFERROR(INDEX(①出口报关!$I$4:$I$303,MATCH(A120,①出口报关!$A$4:$A$303,0)),"编号不存在"))</f>
        <v/>
      </c>
      <c r="C120" s="30" t="str">
        <f aca="false">IF(A120="","",IFERROR(IF(INDEX(①出口报关!$D$4:$D$303,MATCH(A120,①出口报关!$A$4:$A$303,0))=0,"",INDEX(①出口报关!$D$4:$D$303,MATCH(A120,①出口报关!$A$4:$A$303,0))),"编号不存在"))</f>
        <v/>
      </c>
      <c r="D120" s="43"/>
      <c r="E120" s="45"/>
      <c r="F120" s="41"/>
      <c r="G120" s="48"/>
      <c r="H120" s="46"/>
      <c r="I120" s="41"/>
      <c r="J120" s="30" t="str">
        <f aca="false">IF(AND(D120="未售-海外仓预退（HWC-YT）",ISNUMBER(I120)),DATE(YEAR(I120)+1,4,30),"")</f>
        <v/>
      </c>
      <c r="K120" s="51" t="str">
        <f aca="true">IF(J120="","",IF(Q120&lt;&gt;"","",J120-TODAY()))</f>
        <v/>
      </c>
      <c r="L120" s="31" t="str">
        <f aca="false">IF(OR(A120="",D120&lt;&gt;"未售-海外仓预退（HWC-YT）"),"",MIN(N(E120),MAX(0,SUMIFS(②销售核销!$I$4:$I$603,②销售核销!$E$4:$E$603,A120)-SUMIFS($E$4:$E$303,$A$4:$A$303,A120,$D$4:$D$303,"已售-按现行规定申报"))))</f>
        <v/>
      </c>
      <c r="M120" s="34" t="str">
        <f aca="false">IF(OR(L120="",N(E120)=0,H120=""),"",ROUND(H120/E120*L120,2))</f>
        <v/>
      </c>
      <c r="N120" s="46"/>
      <c r="O120" s="34" t="str">
        <f aca="false">IF(OR(N120="",H120=""),"",ROUND(N120-H120,2))</f>
        <v/>
      </c>
      <c r="P120" s="36" t="str">
        <f aca="false">IF(OR(A120="",D120&lt;&gt;"未售-海外仓预退（HWC-YT）"),"",IF(L120=0,"仍未销售：需要调整申报，全额缴回预退税",IF(L120&lt;N(E120),"部分已售：需要调整申报，全额冲减后按已售部分重报",IF(N120="","全部已售：填入实际应退税额后判断",IF(O120=0,"全部已售、无差异：无需调整申报","全部已售、有差异：需要调整申报")))))</f>
        <v/>
      </c>
      <c r="Q120" s="41"/>
      <c r="R120" s="44"/>
      <c r="S120" s="36" t="str">
        <f aca="false">IF(A120="","",IF(D120="","请选择申报方式",IF(D120&lt;&gt;"未售-海外仓预退（HWC-YT）","不涉及核算",IF(Q120&lt;&gt;"","已核算",IF(J120="","待税务办结",IF(K120&lt;0,"已逾期：税务将追回预退税",IF(K120&lt;=60,"临近截止（60天内）","待核算")))))))</f>
        <v/>
      </c>
      <c r="T120" s="30" t="str">
        <f aca="false">IF(ISNUMBER(C120),DATE(YEAR(C120)+1,4,30),"")</f>
        <v/>
      </c>
      <c r="U120" s="43"/>
    </row>
    <row r="121" customFormat="false" ht="21.75" hidden="false" customHeight="true" outlineLevel="0" collapsed="false">
      <c r="A121" s="44"/>
      <c r="B121" s="36" t="str">
        <f aca="false">IF(A121="","",IFERROR(INDEX(①出口报关!$I$4:$I$303,MATCH(A121,①出口报关!$A$4:$A$303,0)),"编号不存在"))</f>
        <v/>
      </c>
      <c r="C121" s="30" t="str">
        <f aca="false">IF(A121="","",IFERROR(IF(INDEX(①出口报关!$D$4:$D$303,MATCH(A121,①出口报关!$A$4:$A$303,0))=0,"",INDEX(①出口报关!$D$4:$D$303,MATCH(A121,①出口报关!$A$4:$A$303,0))),"编号不存在"))</f>
        <v/>
      </c>
      <c r="D121" s="43"/>
      <c r="E121" s="45"/>
      <c r="F121" s="41"/>
      <c r="G121" s="48"/>
      <c r="H121" s="46"/>
      <c r="I121" s="41"/>
      <c r="J121" s="30" t="str">
        <f aca="false">IF(AND(D121="未售-海外仓预退（HWC-YT）",ISNUMBER(I121)),DATE(YEAR(I121)+1,4,30),"")</f>
        <v/>
      </c>
      <c r="K121" s="51" t="str">
        <f aca="true">IF(J121="","",IF(Q121&lt;&gt;"","",J121-TODAY()))</f>
        <v/>
      </c>
      <c r="L121" s="31" t="str">
        <f aca="false">IF(OR(A121="",D121&lt;&gt;"未售-海外仓预退（HWC-YT）"),"",MIN(N(E121),MAX(0,SUMIFS(②销售核销!$I$4:$I$603,②销售核销!$E$4:$E$603,A121)-SUMIFS($E$4:$E$303,$A$4:$A$303,A121,$D$4:$D$303,"已售-按现行规定申报"))))</f>
        <v/>
      </c>
      <c r="M121" s="34" t="str">
        <f aca="false">IF(OR(L121="",N(E121)=0,H121=""),"",ROUND(H121/E121*L121,2))</f>
        <v/>
      </c>
      <c r="N121" s="46"/>
      <c r="O121" s="34" t="str">
        <f aca="false">IF(OR(N121="",H121=""),"",ROUND(N121-H121,2))</f>
        <v/>
      </c>
      <c r="P121" s="36" t="str">
        <f aca="false">IF(OR(A121="",D121&lt;&gt;"未售-海外仓预退（HWC-YT）"),"",IF(L121=0,"仍未销售：需要调整申报，全额缴回预退税",IF(L121&lt;N(E121),"部分已售：需要调整申报，全额冲减后按已售部分重报",IF(N121="","全部已售：填入实际应退税额后判断",IF(O121=0,"全部已售、无差异：无需调整申报","全部已售、有差异：需要调整申报")))))</f>
        <v/>
      </c>
      <c r="Q121" s="41"/>
      <c r="R121" s="44"/>
      <c r="S121" s="36" t="str">
        <f aca="false">IF(A121="","",IF(D121="","请选择申报方式",IF(D121&lt;&gt;"未售-海外仓预退（HWC-YT）","不涉及核算",IF(Q121&lt;&gt;"","已核算",IF(J121="","待税务办结",IF(K121&lt;0,"已逾期：税务将追回预退税",IF(K121&lt;=60,"临近截止（60天内）","待核算")))))))</f>
        <v/>
      </c>
      <c r="T121" s="30" t="str">
        <f aca="false">IF(ISNUMBER(C121),DATE(YEAR(C121)+1,4,30),"")</f>
        <v/>
      </c>
      <c r="U121" s="43"/>
    </row>
    <row r="122" customFormat="false" ht="21.75" hidden="false" customHeight="true" outlineLevel="0" collapsed="false">
      <c r="A122" s="44"/>
      <c r="B122" s="36" t="str">
        <f aca="false">IF(A122="","",IFERROR(INDEX(①出口报关!$I$4:$I$303,MATCH(A122,①出口报关!$A$4:$A$303,0)),"编号不存在"))</f>
        <v/>
      </c>
      <c r="C122" s="30" t="str">
        <f aca="false">IF(A122="","",IFERROR(IF(INDEX(①出口报关!$D$4:$D$303,MATCH(A122,①出口报关!$A$4:$A$303,0))=0,"",INDEX(①出口报关!$D$4:$D$303,MATCH(A122,①出口报关!$A$4:$A$303,0))),"编号不存在"))</f>
        <v/>
      </c>
      <c r="D122" s="43"/>
      <c r="E122" s="45"/>
      <c r="F122" s="41"/>
      <c r="G122" s="48"/>
      <c r="H122" s="46"/>
      <c r="I122" s="41"/>
      <c r="J122" s="30" t="str">
        <f aca="false">IF(AND(D122="未售-海外仓预退（HWC-YT）",ISNUMBER(I122)),DATE(YEAR(I122)+1,4,30),"")</f>
        <v/>
      </c>
      <c r="K122" s="51" t="str">
        <f aca="true">IF(J122="","",IF(Q122&lt;&gt;"","",J122-TODAY()))</f>
        <v/>
      </c>
      <c r="L122" s="31" t="str">
        <f aca="false">IF(OR(A122="",D122&lt;&gt;"未售-海外仓预退（HWC-YT）"),"",MIN(N(E122),MAX(0,SUMIFS(②销售核销!$I$4:$I$603,②销售核销!$E$4:$E$603,A122)-SUMIFS($E$4:$E$303,$A$4:$A$303,A122,$D$4:$D$303,"已售-按现行规定申报"))))</f>
        <v/>
      </c>
      <c r="M122" s="34" t="str">
        <f aca="false">IF(OR(L122="",N(E122)=0,H122=""),"",ROUND(H122/E122*L122,2))</f>
        <v/>
      </c>
      <c r="N122" s="46"/>
      <c r="O122" s="34" t="str">
        <f aca="false">IF(OR(N122="",H122=""),"",ROUND(N122-H122,2))</f>
        <v/>
      </c>
      <c r="P122" s="36" t="str">
        <f aca="false">IF(OR(A122="",D122&lt;&gt;"未售-海外仓预退（HWC-YT）"),"",IF(L122=0,"仍未销售：需要调整申报，全额缴回预退税",IF(L122&lt;N(E122),"部分已售：需要调整申报，全额冲减后按已售部分重报",IF(N122="","全部已售：填入实际应退税额后判断",IF(O122=0,"全部已售、无差异：无需调整申报","全部已售、有差异：需要调整申报")))))</f>
        <v/>
      </c>
      <c r="Q122" s="41"/>
      <c r="R122" s="44"/>
      <c r="S122" s="36" t="str">
        <f aca="false">IF(A122="","",IF(D122="","请选择申报方式",IF(D122&lt;&gt;"未售-海外仓预退（HWC-YT）","不涉及核算",IF(Q122&lt;&gt;"","已核算",IF(J122="","待税务办结",IF(K122&lt;0,"已逾期：税务将追回预退税",IF(K122&lt;=60,"临近截止（60天内）","待核算")))))))</f>
        <v/>
      </c>
      <c r="T122" s="30" t="str">
        <f aca="false">IF(ISNUMBER(C122),DATE(YEAR(C122)+1,4,30),"")</f>
        <v/>
      </c>
      <c r="U122" s="43"/>
    </row>
    <row r="123" customFormat="false" ht="21.75" hidden="false" customHeight="true" outlineLevel="0" collapsed="false">
      <c r="A123" s="44"/>
      <c r="B123" s="36" t="str">
        <f aca="false">IF(A123="","",IFERROR(INDEX(①出口报关!$I$4:$I$303,MATCH(A123,①出口报关!$A$4:$A$303,0)),"编号不存在"))</f>
        <v/>
      </c>
      <c r="C123" s="30" t="str">
        <f aca="false">IF(A123="","",IFERROR(IF(INDEX(①出口报关!$D$4:$D$303,MATCH(A123,①出口报关!$A$4:$A$303,0))=0,"",INDEX(①出口报关!$D$4:$D$303,MATCH(A123,①出口报关!$A$4:$A$303,0))),"编号不存在"))</f>
        <v/>
      </c>
      <c r="D123" s="43"/>
      <c r="E123" s="45"/>
      <c r="F123" s="41"/>
      <c r="G123" s="48"/>
      <c r="H123" s="46"/>
      <c r="I123" s="41"/>
      <c r="J123" s="30" t="str">
        <f aca="false">IF(AND(D123="未售-海外仓预退（HWC-YT）",ISNUMBER(I123)),DATE(YEAR(I123)+1,4,30),"")</f>
        <v/>
      </c>
      <c r="K123" s="51" t="str">
        <f aca="true">IF(J123="","",IF(Q123&lt;&gt;"","",J123-TODAY()))</f>
        <v/>
      </c>
      <c r="L123" s="31" t="str">
        <f aca="false">IF(OR(A123="",D123&lt;&gt;"未售-海外仓预退（HWC-YT）"),"",MIN(N(E123),MAX(0,SUMIFS(②销售核销!$I$4:$I$603,②销售核销!$E$4:$E$603,A123)-SUMIFS($E$4:$E$303,$A$4:$A$303,A123,$D$4:$D$303,"已售-按现行规定申报"))))</f>
        <v/>
      </c>
      <c r="M123" s="34" t="str">
        <f aca="false">IF(OR(L123="",N(E123)=0,H123=""),"",ROUND(H123/E123*L123,2))</f>
        <v/>
      </c>
      <c r="N123" s="46"/>
      <c r="O123" s="34" t="str">
        <f aca="false">IF(OR(N123="",H123=""),"",ROUND(N123-H123,2))</f>
        <v/>
      </c>
      <c r="P123" s="36" t="str">
        <f aca="false">IF(OR(A123="",D123&lt;&gt;"未售-海外仓预退（HWC-YT）"),"",IF(L123=0,"仍未销售：需要调整申报，全额缴回预退税",IF(L123&lt;N(E123),"部分已售：需要调整申报，全额冲减后按已售部分重报",IF(N123="","全部已售：填入实际应退税额后判断",IF(O123=0,"全部已售、无差异：无需调整申报","全部已售、有差异：需要调整申报")))))</f>
        <v/>
      </c>
      <c r="Q123" s="41"/>
      <c r="R123" s="44"/>
      <c r="S123" s="36" t="str">
        <f aca="false">IF(A123="","",IF(D123="","请选择申报方式",IF(D123&lt;&gt;"未售-海外仓预退（HWC-YT）","不涉及核算",IF(Q123&lt;&gt;"","已核算",IF(J123="","待税务办结",IF(K123&lt;0,"已逾期：税务将追回预退税",IF(K123&lt;=60,"临近截止（60天内）","待核算")))))))</f>
        <v/>
      </c>
      <c r="T123" s="30" t="str">
        <f aca="false">IF(ISNUMBER(C123),DATE(YEAR(C123)+1,4,30),"")</f>
        <v/>
      </c>
      <c r="U123" s="43"/>
    </row>
    <row r="124" customFormat="false" ht="21.75" hidden="false" customHeight="true" outlineLevel="0" collapsed="false">
      <c r="A124" s="44"/>
      <c r="B124" s="36" t="str">
        <f aca="false">IF(A124="","",IFERROR(INDEX(①出口报关!$I$4:$I$303,MATCH(A124,①出口报关!$A$4:$A$303,0)),"编号不存在"))</f>
        <v/>
      </c>
      <c r="C124" s="30" t="str">
        <f aca="false">IF(A124="","",IFERROR(IF(INDEX(①出口报关!$D$4:$D$303,MATCH(A124,①出口报关!$A$4:$A$303,0))=0,"",INDEX(①出口报关!$D$4:$D$303,MATCH(A124,①出口报关!$A$4:$A$303,0))),"编号不存在"))</f>
        <v/>
      </c>
      <c r="D124" s="43"/>
      <c r="E124" s="45"/>
      <c r="F124" s="41"/>
      <c r="G124" s="48"/>
      <c r="H124" s="46"/>
      <c r="I124" s="41"/>
      <c r="J124" s="30" t="str">
        <f aca="false">IF(AND(D124="未售-海外仓预退（HWC-YT）",ISNUMBER(I124)),DATE(YEAR(I124)+1,4,30),"")</f>
        <v/>
      </c>
      <c r="K124" s="51" t="str">
        <f aca="true">IF(J124="","",IF(Q124&lt;&gt;"","",J124-TODAY()))</f>
        <v/>
      </c>
      <c r="L124" s="31" t="str">
        <f aca="false">IF(OR(A124="",D124&lt;&gt;"未售-海外仓预退（HWC-YT）"),"",MIN(N(E124),MAX(0,SUMIFS(②销售核销!$I$4:$I$603,②销售核销!$E$4:$E$603,A124)-SUMIFS($E$4:$E$303,$A$4:$A$303,A124,$D$4:$D$303,"已售-按现行规定申报"))))</f>
        <v/>
      </c>
      <c r="M124" s="34" t="str">
        <f aca="false">IF(OR(L124="",N(E124)=0,H124=""),"",ROUND(H124/E124*L124,2))</f>
        <v/>
      </c>
      <c r="N124" s="46"/>
      <c r="O124" s="34" t="str">
        <f aca="false">IF(OR(N124="",H124=""),"",ROUND(N124-H124,2))</f>
        <v/>
      </c>
      <c r="P124" s="36" t="str">
        <f aca="false">IF(OR(A124="",D124&lt;&gt;"未售-海外仓预退（HWC-YT）"),"",IF(L124=0,"仍未销售：需要调整申报，全额缴回预退税",IF(L124&lt;N(E124),"部分已售：需要调整申报，全额冲减后按已售部分重报",IF(N124="","全部已售：填入实际应退税额后判断",IF(O124=0,"全部已售、无差异：无需调整申报","全部已售、有差异：需要调整申报")))))</f>
        <v/>
      </c>
      <c r="Q124" s="41"/>
      <c r="R124" s="44"/>
      <c r="S124" s="36" t="str">
        <f aca="false">IF(A124="","",IF(D124="","请选择申报方式",IF(D124&lt;&gt;"未售-海外仓预退（HWC-YT）","不涉及核算",IF(Q124&lt;&gt;"","已核算",IF(J124="","待税务办结",IF(K124&lt;0,"已逾期：税务将追回预退税",IF(K124&lt;=60,"临近截止（60天内）","待核算")))))))</f>
        <v/>
      </c>
      <c r="T124" s="30" t="str">
        <f aca="false">IF(ISNUMBER(C124),DATE(YEAR(C124)+1,4,30),"")</f>
        <v/>
      </c>
      <c r="U124" s="43"/>
    </row>
    <row r="125" customFormat="false" ht="21.75" hidden="false" customHeight="true" outlineLevel="0" collapsed="false">
      <c r="A125" s="44"/>
      <c r="B125" s="36" t="str">
        <f aca="false">IF(A125="","",IFERROR(INDEX(①出口报关!$I$4:$I$303,MATCH(A125,①出口报关!$A$4:$A$303,0)),"编号不存在"))</f>
        <v/>
      </c>
      <c r="C125" s="30" t="str">
        <f aca="false">IF(A125="","",IFERROR(IF(INDEX(①出口报关!$D$4:$D$303,MATCH(A125,①出口报关!$A$4:$A$303,0))=0,"",INDEX(①出口报关!$D$4:$D$303,MATCH(A125,①出口报关!$A$4:$A$303,0))),"编号不存在"))</f>
        <v/>
      </c>
      <c r="D125" s="43"/>
      <c r="E125" s="45"/>
      <c r="F125" s="41"/>
      <c r="G125" s="48"/>
      <c r="H125" s="46"/>
      <c r="I125" s="41"/>
      <c r="J125" s="30" t="str">
        <f aca="false">IF(AND(D125="未售-海外仓预退（HWC-YT）",ISNUMBER(I125)),DATE(YEAR(I125)+1,4,30),"")</f>
        <v/>
      </c>
      <c r="K125" s="51" t="str">
        <f aca="true">IF(J125="","",IF(Q125&lt;&gt;"","",J125-TODAY()))</f>
        <v/>
      </c>
      <c r="L125" s="31" t="str">
        <f aca="false">IF(OR(A125="",D125&lt;&gt;"未售-海外仓预退（HWC-YT）"),"",MIN(N(E125),MAX(0,SUMIFS(②销售核销!$I$4:$I$603,②销售核销!$E$4:$E$603,A125)-SUMIFS($E$4:$E$303,$A$4:$A$303,A125,$D$4:$D$303,"已售-按现行规定申报"))))</f>
        <v/>
      </c>
      <c r="M125" s="34" t="str">
        <f aca="false">IF(OR(L125="",N(E125)=0,H125=""),"",ROUND(H125/E125*L125,2))</f>
        <v/>
      </c>
      <c r="N125" s="46"/>
      <c r="O125" s="34" t="str">
        <f aca="false">IF(OR(N125="",H125=""),"",ROUND(N125-H125,2))</f>
        <v/>
      </c>
      <c r="P125" s="36" t="str">
        <f aca="false">IF(OR(A125="",D125&lt;&gt;"未售-海外仓预退（HWC-YT）"),"",IF(L125=0,"仍未销售：需要调整申报，全额缴回预退税",IF(L125&lt;N(E125),"部分已售：需要调整申报，全额冲减后按已售部分重报",IF(N125="","全部已售：填入实际应退税额后判断",IF(O125=0,"全部已售、无差异：无需调整申报","全部已售、有差异：需要调整申报")))))</f>
        <v/>
      </c>
      <c r="Q125" s="41"/>
      <c r="R125" s="44"/>
      <c r="S125" s="36" t="str">
        <f aca="false">IF(A125="","",IF(D125="","请选择申报方式",IF(D125&lt;&gt;"未售-海外仓预退（HWC-YT）","不涉及核算",IF(Q125&lt;&gt;"","已核算",IF(J125="","待税务办结",IF(K125&lt;0,"已逾期：税务将追回预退税",IF(K125&lt;=60,"临近截止（60天内）","待核算")))))))</f>
        <v/>
      </c>
      <c r="T125" s="30" t="str">
        <f aca="false">IF(ISNUMBER(C125),DATE(YEAR(C125)+1,4,30),"")</f>
        <v/>
      </c>
      <c r="U125" s="43"/>
    </row>
    <row r="126" customFormat="false" ht="21.75" hidden="false" customHeight="true" outlineLevel="0" collapsed="false">
      <c r="A126" s="44"/>
      <c r="B126" s="36" t="str">
        <f aca="false">IF(A126="","",IFERROR(INDEX(①出口报关!$I$4:$I$303,MATCH(A126,①出口报关!$A$4:$A$303,0)),"编号不存在"))</f>
        <v/>
      </c>
      <c r="C126" s="30" t="str">
        <f aca="false">IF(A126="","",IFERROR(IF(INDEX(①出口报关!$D$4:$D$303,MATCH(A126,①出口报关!$A$4:$A$303,0))=0,"",INDEX(①出口报关!$D$4:$D$303,MATCH(A126,①出口报关!$A$4:$A$303,0))),"编号不存在"))</f>
        <v/>
      </c>
      <c r="D126" s="43"/>
      <c r="E126" s="45"/>
      <c r="F126" s="41"/>
      <c r="G126" s="48"/>
      <c r="H126" s="46"/>
      <c r="I126" s="41"/>
      <c r="J126" s="30" t="str">
        <f aca="false">IF(AND(D126="未售-海外仓预退（HWC-YT）",ISNUMBER(I126)),DATE(YEAR(I126)+1,4,30),"")</f>
        <v/>
      </c>
      <c r="K126" s="51" t="str">
        <f aca="true">IF(J126="","",IF(Q126&lt;&gt;"","",J126-TODAY()))</f>
        <v/>
      </c>
      <c r="L126" s="31" t="str">
        <f aca="false">IF(OR(A126="",D126&lt;&gt;"未售-海外仓预退（HWC-YT）"),"",MIN(N(E126),MAX(0,SUMIFS(②销售核销!$I$4:$I$603,②销售核销!$E$4:$E$603,A126)-SUMIFS($E$4:$E$303,$A$4:$A$303,A126,$D$4:$D$303,"已售-按现行规定申报"))))</f>
        <v/>
      </c>
      <c r="M126" s="34" t="str">
        <f aca="false">IF(OR(L126="",N(E126)=0,H126=""),"",ROUND(H126/E126*L126,2))</f>
        <v/>
      </c>
      <c r="N126" s="46"/>
      <c r="O126" s="34" t="str">
        <f aca="false">IF(OR(N126="",H126=""),"",ROUND(N126-H126,2))</f>
        <v/>
      </c>
      <c r="P126" s="36" t="str">
        <f aca="false">IF(OR(A126="",D126&lt;&gt;"未售-海外仓预退（HWC-YT）"),"",IF(L126=0,"仍未销售：需要调整申报，全额缴回预退税",IF(L126&lt;N(E126),"部分已售：需要调整申报，全额冲减后按已售部分重报",IF(N126="","全部已售：填入实际应退税额后判断",IF(O126=0,"全部已售、无差异：无需调整申报","全部已售、有差异：需要调整申报")))))</f>
        <v/>
      </c>
      <c r="Q126" s="41"/>
      <c r="R126" s="44"/>
      <c r="S126" s="36" t="str">
        <f aca="false">IF(A126="","",IF(D126="","请选择申报方式",IF(D126&lt;&gt;"未售-海外仓预退（HWC-YT）","不涉及核算",IF(Q126&lt;&gt;"","已核算",IF(J126="","待税务办结",IF(K126&lt;0,"已逾期：税务将追回预退税",IF(K126&lt;=60,"临近截止（60天内）","待核算")))))))</f>
        <v/>
      </c>
      <c r="T126" s="30" t="str">
        <f aca="false">IF(ISNUMBER(C126),DATE(YEAR(C126)+1,4,30),"")</f>
        <v/>
      </c>
      <c r="U126" s="43"/>
    </row>
    <row r="127" customFormat="false" ht="21.75" hidden="false" customHeight="true" outlineLevel="0" collapsed="false">
      <c r="A127" s="44"/>
      <c r="B127" s="36" t="str">
        <f aca="false">IF(A127="","",IFERROR(INDEX(①出口报关!$I$4:$I$303,MATCH(A127,①出口报关!$A$4:$A$303,0)),"编号不存在"))</f>
        <v/>
      </c>
      <c r="C127" s="30" t="str">
        <f aca="false">IF(A127="","",IFERROR(IF(INDEX(①出口报关!$D$4:$D$303,MATCH(A127,①出口报关!$A$4:$A$303,0))=0,"",INDEX(①出口报关!$D$4:$D$303,MATCH(A127,①出口报关!$A$4:$A$303,0))),"编号不存在"))</f>
        <v/>
      </c>
      <c r="D127" s="43"/>
      <c r="E127" s="45"/>
      <c r="F127" s="41"/>
      <c r="G127" s="48"/>
      <c r="H127" s="46"/>
      <c r="I127" s="41"/>
      <c r="J127" s="30" t="str">
        <f aca="false">IF(AND(D127="未售-海外仓预退（HWC-YT）",ISNUMBER(I127)),DATE(YEAR(I127)+1,4,30),"")</f>
        <v/>
      </c>
      <c r="K127" s="51" t="str">
        <f aca="true">IF(J127="","",IF(Q127&lt;&gt;"","",J127-TODAY()))</f>
        <v/>
      </c>
      <c r="L127" s="31" t="str">
        <f aca="false">IF(OR(A127="",D127&lt;&gt;"未售-海外仓预退（HWC-YT）"),"",MIN(N(E127),MAX(0,SUMIFS(②销售核销!$I$4:$I$603,②销售核销!$E$4:$E$603,A127)-SUMIFS($E$4:$E$303,$A$4:$A$303,A127,$D$4:$D$303,"已售-按现行规定申报"))))</f>
        <v/>
      </c>
      <c r="M127" s="34" t="str">
        <f aca="false">IF(OR(L127="",N(E127)=0,H127=""),"",ROUND(H127/E127*L127,2))</f>
        <v/>
      </c>
      <c r="N127" s="46"/>
      <c r="O127" s="34" t="str">
        <f aca="false">IF(OR(N127="",H127=""),"",ROUND(N127-H127,2))</f>
        <v/>
      </c>
      <c r="P127" s="36" t="str">
        <f aca="false">IF(OR(A127="",D127&lt;&gt;"未售-海外仓预退（HWC-YT）"),"",IF(L127=0,"仍未销售：需要调整申报，全额缴回预退税",IF(L127&lt;N(E127),"部分已售：需要调整申报，全额冲减后按已售部分重报",IF(N127="","全部已售：填入实际应退税额后判断",IF(O127=0,"全部已售、无差异：无需调整申报","全部已售、有差异：需要调整申报")))))</f>
        <v/>
      </c>
      <c r="Q127" s="41"/>
      <c r="R127" s="44"/>
      <c r="S127" s="36" t="str">
        <f aca="false">IF(A127="","",IF(D127="","请选择申报方式",IF(D127&lt;&gt;"未售-海外仓预退（HWC-YT）","不涉及核算",IF(Q127&lt;&gt;"","已核算",IF(J127="","待税务办结",IF(K127&lt;0,"已逾期：税务将追回预退税",IF(K127&lt;=60,"临近截止（60天内）","待核算")))))))</f>
        <v/>
      </c>
      <c r="T127" s="30" t="str">
        <f aca="false">IF(ISNUMBER(C127),DATE(YEAR(C127)+1,4,30),"")</f>
        <v/>
      </c>
      <c r="U127" s="43"/>
    </row>
    <row r="128" customFormat="false" ht="21.75" hidden="false" customHeight="true" outlineLevel="0" collapsed="false">
      <c r="A128" s="44"/>
      <c r="B128" s="36" t="str">
        <f aca="false">IF(A128="","",IFERROR(INDEX(①出口报关!$I$4:$I$303,MATCH(A128,①出口报关!$A$4:$A$303,0)),"编号不存在"))</f>
        <v/>
      </c>
      <c r="C128" s="30" t="str">
        <f aca="false">IF(A128="","",IFERROR(IF(INDEX(①出口报关!$D$4:$D$303,MATCH(A128,①出口报关!$A$4:$A$303,0))=0,"",INDEX(①出口报关!$D$4:$D$303,MATCH(A128,①出口报关!$A$4:$A$303,0))),"编号不存在"))</f>
        <v/>
      </c>
      <c r="D128" s="43"/>
      <c r="E128" s="45"/>
      <c r="F128" s="41"/>
      <c r="G128" s="48"/>
      <c r="H128" s="46"/>
      <c r="I128" s="41"/>
      <c r="J128" s="30" t="str">
        <f aca="false">IF(AND(D128="未售-海外仓预退（HWC-YT）",ISNUMBER(I128)),DATE(YEAR(I128)+1,4,30),"")</f>
        <v/>
      </c>
      <c r="K128" s="51" t="str">
        <f aca="true">IF(J128="","",IF(Q128&lt;&gt;"","",J128-TODAY()))</f>
        <v/>
      </c>
      <c r="L128" s="31" t="str">
        <f aca="false">IF(OR(A128="",D128&lt;&gt;"未售-海外仓预退（HWC-YT）"),"",MIN(N(E128),MAX(0,SUMIFS(②销售核销!$I$4:$I$603,②销售核销!$E$4:$E$603,A128)-SUMIFS($E$4:$E$303,$A$4:$A$303,A128,$D$4:$D$303,"已售-按现行规定申报"))))</f>
        <v/>
      </c>
      <c r="M128" s="34" t="str">
        <f aca="false">IF(OR(L128="",N(E128)=0,H128=""),"",ROUND(H128/E128*L128,2))</f>
        <v/>
      </c>
      <c r="N128" s="46"/>
      <c r="O128" s="34" t="str">
        <f aca="false">IF(OR(N128="",H128=""),"",ROUND(N128-H128,2))</f>
        <v/>
      </c>
      <c r="P128" s="36" t="str">
        <f aca="false">IF(OR(A128="",D128&lt;&gt;"未售-海外仓预退（HWC-YT）"),"",IF(L128=0,"仍未销售：需要调整申报，全额缴回预退税",IF(L128&lt;N(E128),"部分已售：需要调整申报，全额冲减后按已售部分重报",IF(N128="","全部已售：填入实际应退税额后判断",IF(O128=0,"全部已售、无差异：无需调整申报","全部已售、有差异：需要调整申报")))))</f>
        <v/>
      </c>
      <c r="Q128" s="41"/>
      <c r="R128" s="44"/>
      <c r="S128" s="36" t="str">
        <f aca="false">IF(A128="","",IF(D128="","请选择申报方式",IF(D128&lt;&gt;"未售-海外仓预退（HWC-YT）","不涉及核算",IF(Q128&lt;&gt;"","已核算",IF(J128="","待税务办结",IF(K128&lt;0,"已逾期：税务将追回预退税",IF(K128&lt;=60,"临近截止（60天内）","待核算")))))))</f>
        <v/>
      </c>
      <c r="T128" s="30" t="str">
        <f aca="false">IF(ISNUMBER(C128),DATE(YEAR(C128)+1,4,30),"")</f>
        <v/>
      </c>
      <c r="U128" s="43"/>
    </row>
    <row r="129" customFormat="false" ht="21.75" hidden="false" customHeight="true" outlineLevel="0" collapsed="false">
      <c r="A129" s="44"/>
      <c r="B129" s="36" t="str">
        <f aca="false">IF(A129="","",IFERROR(INDEX(①出口报关!$I$4:$I$303,MATCH(A129,①出口报关!$A$4:$A$303,0)),"编号不存在"))</f>
        <v/>
      </c>
      <c r="C129" s="30" t="str">
        <f aca="false">IF(A129="","",IFERROR(IF(INDEX(①出口报关!$D$4:$D$303,MATCH(A129,①出口报关!$A$4:$A$303,0))=0,"",INDEX(①出口报关!$D$4:$D$303,MATCH(A129,①出口报关!$A$4:$A$303,0))),"编号不存在"))</f>
        <v/>
      </c>
      <c r="D129" s="43"/>
      <c r="E129" s="45"/>
      <c r="F129" s="41"/>
      <c r="G129" s="48"/>
      <c r="H129" s="46"/>
      <c r="I129" s="41"/>
      <c r="J129" s="30" t="str">
        <f aca="false">IF(AND(D129="未售-海外仓预退（HWC-YT）",ISNUMBER(I129)),DATE(YEAR(I129)+1,4,30),"")</f>
        <v/>
      </c>
      <c r="K129" s="51" t="str">
        <f aca="true">IF(J129="","",IF(Q129&lt;&gt;"","",J129-TODAY()))</f>
        <v/>
      </c>
      <c r="L129" s="31" t="str">
        <f aca="false">IF(OR(A129="",D129&lt;&gt;"未售-海外仓预退（HWC-YT）"),"",MIN(N(E129),MAX(0,SUMIFS(②销售核销!$I$4:$I$603,②销售核销!$E$4:$E$603,A129)-SUMIFS($E$4:$E$303,$A$4:$A$303,A129,$D$4:$D$303,"已售-按现行规定申报"))))</f>
        <v/>
      </c>
      <c r="M129" s="34" t="str">
        <f aca="false">IF(OR(L129="",N(E129)=0,H129=""),"",ROUND(H129/E129*L129,2))</f>
        <v/>
      </c>
      <c r="N129" s="46"/>
      <c r="O129" s="34" t="str">
        <f aca="false">IF(OR(N129="",H129=""),"",ROUND(N129-H129,2))</f>
        <v/>
      </c>
      <c r="P129" s="36" t="str">
        <f aca="false">IF(OR(A129="",D129&lt;&gt;"未售-海外仓预退（HWC-YT）"),"",IF(L129=0,"仍未销售：需要调整申报，全额缴回预退税",IF(L129&lt;N(E129),"部分已售：需要调整申报，全额冲减后按已售部分重报",IF(N129="","全部已售：填入实际应退税额后判断",IF(O129=0,"全部已售、无差异：无需调整申报","全部已售、有差异：需要调整申报")))))</f>
        <v/>
      </c>
      <c r="Q129" s="41"/>
      <c r="R129" s="44"/>
      <c r="S129" s="36" t="str">
        <f aca="false">IF(A129="","",IF(D129="","请选择申报方式",IF(D129&lt;&gt;"未售-海外仓预退（HWC-YT）","不涉及核算",IF(Q129&lt;&gt;"","已核算",IF(J129="","待税务办结",IF(K129&lt;0,"已逾期：税务将追回预退税",IF(K129&lt;=60,"临近截止（60天内）","待核算")))))))</f>
        <v/>
      </c>
      <c r="T129" s="30" t="str">
        <f aca="false">IF(ISNUMBER(C129),DATE(YEAR(C129)+1,4,30),"")</f>
        <v/>
      </c>
      <c r="U129" s="43"/>
    </row>
    <row r="130" customFormat="false" ht="21.75" hidden="false" customHeight="true" outlineLevel="0" collapsed="false">
      <c r="A130" s="44"/>
      <c r="B130" s="36" t="str">
        <f aca="false">IF(A130="","",IFERROR(INDEX(①出口报关!$I$4:$I$303,MATCH(A130,①出口报关!$A$4:$A$303,0)),"编号不存在"))</f>
        <v/>
      </c>
      <c r="C130" s="30" t="str">
        <f aca="false">IF(A130="","",IFERROR(IF(INDEX(①出口报关!$D$4:$D$303,MATCH(A130,①出口报关!$A$4:$A$303,0))=0,"",INDEX(①出口报关!$D$4:$D$303,MATCH(A130,①出口报关!$A$4:$A$303,0))),"编号不存在"))</f>
        <v/>
      </c>
      <c r="D130" s="43"/>
      <c r="E130" s="45"/>
      <c r="F130" s="41"/>
      <c r="G130" s="48"/>
      <c r="H130" s="46"/>
      <c r="I130" s="41"/>
      <c r="J130" s="30" t="str">
        <f aca="false">IF(AND(D130="未售-海外仓预退（HWC-YT）",ISNUMBER(I130)),DATE(YEAR(I130)+1,4,30),"")</f>
        <v/>
      </c>
      <c r="K130" s="51" t="str">
        <f aca="true">IF(J130="","",IF(Q130&lt;&gt;"","",J130-TODAY()))</f>
        <v/>
      </c>
      <c r="L130" s="31" t="str">
        <f aca="false">IF(OR(A130="",D130&lt;&gt;"未售-海外仓预退（HWC-YT）"),"",MIN(N(E130),MAX(0,SUMIFS(②销售核销!$I$4:$I$603,②销售核销!$E$4:$E$603,A130)-SUMIFS($E$4:$E$303,$A$4:$A$303,A130,$D$4:$D$303,"已售-按现行规定申报"))))</f>
        <v/>
      </c>
      <c r="M130" s="34" t="str">
        <f aca="false">IF(OR(L130="",N(E130)=0,H130=""),"",ROUND(H130/E130*L130,2))</f>
        <v/>
      </c>
      <c r="N130" s="46"/>
      <c r="O130" s="34" t="str">
        <f aca="false">IF(OR(N130="",H130=""),"",ROUND(N130-H130,2))</f>
        <v/>
      </c>
      <c r="P130" s="36" t="str">
        <f aca="false">IF(OR(A130="",D130&lt;&gt;"未售-海外仓预退（HWC-YT）"),"",IF(L130=0,"仍未销售：需要调整申报，全额缴回预退税",IF(L130&lt;N(E130),"部分已售：需要调整申报，全额冲减后按已售部分重报",IF(N130="","全部已售：填入实际应退税额后判断",IF(O130=0,"全部已售、无差异：无需调整申报","全部已售、有差异：需要调整申报")))))</f>
        <v/>
      </c>
      <c r="Q130" s="41"/>
      <c r="R130" s="44"/>
      <c r="S130" s="36" t="str">
        <f aca="false">IF(A130="","",IF(D130="","请选择申报方式",IF(D130&lt;&gt;"未售-海外仓预退（HWC-YT）","不涉及核算",IF(Q130&lt;&gt;"","已核算",IF(J130="","待税务办结",IF(K130&lt;0,"已逾期：税务将追回预退税",IF(K130&lt;=60,"临近截止（60天内）","待核算")))))))</f>
        <v/>
      </c>
      <c r="T130" s="30" t="str">
        <f aca="false">IF(ISNUMBER(C130),DATE(YEAR(C130)+1,4,30),"")</f>
        <v/>
      </c>
      <c r="U130" s="43"/>
    </row>
    <row r="131" customFormat="false" ht="21.75" hidden="false" customHeight="true" outlineLevel="0" collapsed="false">
      <c r="A131" s="44"/>
      <c r="B131" s="36" t="str">
        <f aca="false">IF(A131="","",IFERROR(INDEX(①出口报关!$I$4:$I$303,MATCH(A131,①出口报关!$A$4:$A$303,0)),"编号不存在"))</f>
        <v/>
      </c>
      <c r="C131" s="30" t="str">
        <f aca="false">IF(A131="","",IFERROR(IF(INDEX(①出口报关!$D$4:$D$303,MATCH(A131,①出口报关!$A$4:$A$303,0))=0,"",INDEX(①出口报关!$D$4:$D$303,MATCH(A131,①出口报关!$A$4:$A$303,0))),"编号不存在"))</f>
        <v/>
      </c>
      <c r="D131" s="43"/>
      <c r="E131" s="45"/>
      <c r="F131" s="41"/>
      <c r="G131" s="48"/>
      <c r="H131" s="46"/>
      <c r="I131" s="41"/>
      <c r="J131" s="30" t="str">
        <f aca="false">IF(AND(D131="未售-海外仓预退（HWC-YT）",ISNUMBER(I131)),DATE(YEAR(I131)+1,4,30),"")</f>
        <v/>
      </c>
      <c r="K131" s="51" t="str">
        <f aca="true">IF(J131="","",IF(Q131&lt;&gt;"","",J131-TODAY()))</f>
        <v/>
      </c>
      <c r="L131" s="31" t="str">
        <f aca="false">IF(OR(A131="",D131&lt;&gt;"未售-海外仓预退（HWC-YT）"),"",MIN(N(E131),MAX(0,SUMIFS(②销售核销!$I$4:$I$603,②销售核销!$E$4:$E$603,A131)-SUMIFS($E$4:$E$303,$A$4:$A$303,A131,$D$4:$D$303,"已售-按现行规定申报"))))</f>
        <v/>
      </c>
      <c r="M131" s="34" t="str">
        <f aca="false">IF(OR(L131="",N(E131)=0,H131=""),"",ROUND(H131/E131*L131,2))</f>
        <v/>
      </c>
      <c r="N131" s="46"/>
      <c r="O131" s="34" t="str">
        <f aca="false">IF(OR(N131="",H131=""),"",ROUND(N131-H131,2))</f>
        <v/>
      </c>
      <c r="P131" s="36" t="str">
        <f aca="false">IF(OR(A131="",D131&lt;&gt;"未售-海外仓预退（HWC-YT）"),"",IF(L131=0,"仍未销售：需要调整申报，全额缴回预退税",IF(L131&lt;N(E131),"部分已售：需要调整申报，全额冲减后按已售部分重报",IF(N131="","全部已售：填入实际应退税额后判断",IF(O131=0,"全部已售、无差异：无需调整申报","全部已售、有差异：需要调整申报")))))</f>
        <v/>
      </c>
      <c r="Q131" s="41"/>
      <c r="R131" s="44"/>
      <c r="S131" s="36" t="str">
        <f aca="false">IF(A131="","",IF(D131="","请选择申报方式",IF(D131&lt;&gt;"未售-海外仓预退（HWC-YT）","不涉及核算",IF(Q131&lt;&gt;"","已核算",IF(J131="","待税务办结",IF(K131&lt;0,"已逾期：税务将追回预退税",IF(K131&lt;=60,"临近截止（60天内）","待核算")))))))</f>
        <v/>
      </c>
      <c r="T131" s="30" t="str">
        <f aca="false">IF(ISNUMBER(C131),DATE(YEAR(C131)+1,4,30),"")</f>
        <v/>
      </c>
      <c r="U131" s="43"/>
    </row>
    <row r="132" customFormat="false" ht="21.75" hidden="false" customHeight="true" outlineLevel="0" collapsed="false">
      <c r="A132" s="44"/>
      <c r="B132" s="36" t="str">
        <f aca="false">IF(A132="","",IFERROR(INDEX(①出口报关!$I$4:$I$303,MATCH(A132,①出口报关!$A$4:$A$303,0)),"编号不存在"))</f>
        <v/>
      </c>
      <c r="C132" s="30" t="str">
        <f aca="false">IF(A132="","",IFERROR(IF(INDEX(①出口报关!$D$4:$D$303,MATCH(A132,①出口报关!$A$4:$A$303,0))=0,"",INDEX(①出口报关!$D$4:$D$303,MATCH(A132,①出口报关!$A$4:$A$303,0))),"编号不存在"))</f>
        <v/>
      </c>
      <c r="D132" s="43"/>
      <c r="E132" s="45"/>
      <c r="F132" s="41"/>
      <c r="G132" s="48"/>
      <c r="H132" s="46"/>
      <c r="I132" s="41"/>
      <c r="J132" s="30" t="str">
        <f aca="false">IF(AND(D132="未售-海外仓预退（HWC-YT）",ISNUMBER(I132)),DATE(YEAR(I132)+1,4,30),"")</f>
        <v/>
      </c>
      <c r="K132" s="51" t="str">
        <f aca="true">IF(J132="","",IF(Q132&lt;&gt;"","",J132-TODAY()))</f>
        <v/>
      </c>
      <c r="L132" s="31" t="str">
        <f aca="false">IF(OR(A132="",D132&lt;&gt;"未售-海外仓预退（HWC-YT）"),"",MIN(N(E132),MAX(0,SUMIFS(②销售核销!$I$4:$I$603,②销售核销!$E$4:$E$603,A132)-SUMIFS($E$4:$E$303,$A$4:$A$303,A132,$D$4:$D$303,"已售-按现行规定申报"))))</f>
        <v/>
      </c>
      <c r="M132" s="34" t="str">
        <f aca="false">IF(OR(L132="",N(E132)=0,H132=""),"",ROUND(H132/E132*L132,2))</f>
        <v/>
      </c>
      <c r="N132" s="46"/>
      <c r="O132" s="34" t="str">
        <f aca="false">IF(OR(N132="",H132=""),"",ROUND(N132-H132,2))</f>
        <v/>
      </c>
      <c r="P132" s="36" t="str">
        <f aca="false">IF(OR(A132="",D132&lt;&gt;"未售-海外仓预退（HWC-YT）"),"",IF(L132=0,"仍未销售：需要调整申报，全额缴回预退税",IF(L132&lt;N(E132),"部分已售：需要调整申报，全额冲减后按已售部分重报",IF(N132="","全部已售：填入实际应退税额后判断",IF(O132=0,"全部已售、无差异：无需调整申报","全部已售、有差异：需要调整申报")))))</f>
        <v/>
      </c>
      <c r="Q132" s="41"/>
      <c r="R132" s="44"/>
      <c r="S132" s="36" t="str">
        <f aca="false">IF(A132="","",IF(D132="","请选择申报方式",IF(D132&lt;&gt;"未售-海外仓预退（HWC-YT）","不涉及核算",IF(Q132&lt;&gt;"","已核算",IF(J132="","待税务办结",IF(K132&lt;0,"已逾期：税务将追回预退税",IF(K132&lt;=60,"临近截止（60天内）","待核算")))))))</f>
        <v/>
      </c>
      <c r="T132" s="30" t="str">
        <f aca="false">IF(ISNUMBER(C132),DATE(YEAR(C132)+1,4,30),"")</f>
        <v/>
      </c>
      <c r="U132" s="43"/>
    </row>
    <row r="133" customFormat="false" ht="21.75" hidden="false" customHeight="true" outlineLevel="0" collapsed="false">
      <c r="A133" s="44"/>
      <c r="B133" s="36" t="str">
        <f aca="false">IF(A133="","",IFERROR(INDEX(①出口报关!$I$4:$I$303,MATCH(A133,①出口报关!$A$4:$A$303,0)),"编号不存在"))</f>
        <v/>
      </c>
      <c r="C133" s="30" t="str">
        <f aca="false">IF(A133="","",IFERROR(IF(INDEX(①出口报关!$D$4:$D$303,MATCH(A133,①出口报关!$A$4:$A$303,0))=0,"",INDEX(①出口报关!$D$4:$D$303,MATCH(A133,①出口报关!$A$4:$A$303,0))),"编号不存在"))</f>
        <v/>
      </c>
      <c r="D133" s="43"/>
      <c r="E133" s="45"/>
      <c r="F133" s="41"/>
      <c r="G133" s="48"/>
      <c r="H133" s="46"/>
      <c r="I133" s="41"/>
      <c r="J133" s="30" t="str">
        <f aca="false">IF(AND(D133="未售-海外仓预退（HWC-YT）",ISNUMBER(I133)),DATE(YEAR(I133)+1,4,30),"")</f>
        <v/>
      </c>
      <c r="K133" s="51" t="str">
        <f aca="true">IF(J133="","",IF(Q133&lt;&gt;"","",J133-TODAY()))</f>
        <v/>
      </c>
      <c r="L133" s="31" t="str">
        <f aca="false">IF(OR(A133="",D133&lt;&gt;"未售-海外仓预退（HWC-YT）"),"",MIN(N(E133),MAX(0,SUMIFS(②销售核销!$I$4:$I$603,②销售核销!$E$4:$E$603,A133)-SUMIFS($E$4:$E$303,$A$4:$A$303,A133,$D$4:$D$303,"已售-按现行规定申报"))))</f>
        <v/>
      </c>
      <c r="M133" s="34" t="str">
        <f aca="false">IF(OR(L133="",N(E133)=0,H133=""),"",ROUND(H133/E133*L133,2))</f>
        <v/>
      </c>
      <c r="N133" s="46"/>
      <c r="O133" s="34" t="str">
        <f aca="false">IF(OR(N133="",H133=""),"",ROUND(N133-H133,2))</f>
        <v/>
      </c>
      <c r="P133" s="36" t="str">
        <f aca="false">IF(OR(A133="",D133&lt;&gt;"未售-海外仓预退（HWC-YT）"),"",IF(L133=0,"仍未销售：需要调整申报，全额缴回预退税",IF(L133&lt;N(E133),"部分已售：需要调整申报，全额冲减后按已售部分重报",IF(N133="","全部已售：填入实际应退税额后判断",IF(O133=0,"全部已售、无差异：无需调整申报","全部已售、有差异：需要调整申报")))))</f>
        <v/>
      </c>
      <c r="Q133" s="41"/>
      <c r="R133" s="44"/>
      <c r="S133" s="36" t="str">
        <f aca="false">IF(A133="","",IF(D133="","请选择申报方式",IF(D133&lt;&gt;"未售-海外仓预退（HWC-YT）","不涉及核算",IF(Q133&lt;&gt;"","已核算",IF(J133="","待税务办结",IF(K133&lt;0,"已逾期：税务将追回预退税",IF(K133&lt;=60,"临近截止（60天内）","待核算")))))))</f>
        <v/>
      </c>
      <c r="T133" s="30" t="str">
        <f aca="false">IF(ISNUMBER(C133),DATE(YEAR(C133)+1,4,30),"")</f>
        <v/>
      </c>
      <c r="U133" s="43"/>
    </row>
    <row r="134" customFormat="false" ht="21.75" hidden="false" customHeight="true" outlineLevel="0" collapsed="false">
      <c r="A134" s="44"/>
      <c r="B134" s="36" t="str">
        <f aca="false">IF(A134="","",IFERROR(INDEX(①出口报关!$I$4:$I$303,MATCH(A134,①出口报关!$A$4:$A$303,0)),"编号不存在"))</f>
        <v/>
      </c>
      <c r="C134" s="30" t="str">
        <f aca="false">IF(A134="","",IFERROR(IF(INDEX(①出口报关!$D$4:$D$303,MATCH(A134,①出口报关!$A$4:$A$303,0))=0,"",INDEX(①出口报关!$D$4:$D$303,MATCH(A134,①出口报关!$A$4:$A$303,0))),"编号不存在"))</f>
        <v/>
      </c>
      <c r="D134" s="43"/>
      <c r="E134" s="45"/>
      <c r="F134" s="41"/>
      <c r="G134" s="48"/>
      <c r="H134" s="46"/>
      <c r="I134" s="41"/>
      <c r="J134" s="30" t="str">
        <f aca="false">IF(AND(D134="未售-海外仓预退（HWC-YT）",ISNUMBER(I134)),DATE(YEAR(I134)+1,4,30),"")</f>
        <v/>
      </c>
      <c r="K134" s="51" t="str">
        <f aca="true">IF(J134="","",IF(Q134&lt;&gt;"","",J134-TODAY()))</f>
        <v/>
      </c>
      <c r="L134" s="31" t="str">
        <f aca="false">IF(OR(A134="",D134&lt;&gt;"未售-海外仓预退（HWC-YT）"),"",MIN(N(E134),MAX(0,SUMIFS(②销售核销!$I$4:$I$603,②销售核销!$E$4:$E$603,A134)-SUMIFS($E$4:$E$303,$A$4:$A$303,A134,$D$4:$D$303,"已售-按现行规定申报"))))</f>
        <v/>
      </c>
      <c r="M134" s="34" t="str">
        <f aca="false">IF(OR(L134="",N(E134)=0,H134=""),"",ROUND(H134/E134*L134,2))</f>
        <v/>
      </c>
      <c r="N134" s="46"/>
      <c r="O134" s="34" t="str">
        <f aca="false">IF(OR(N134="",H134=""),"",ROUND(N134-H134,2))</f>
        <v/>
      </c>
      <c r="P134" s="36" t="str">
        <f aca="false">IF(OR(A134="",D134&lt;&gt;"未售-海外仓预退（HWC-YT）"),"",IF(L134=0,"仍未销售：需要调整申报，全额缴回预退税",IF(L134&lt;N(E134),"部分已售：需要调整申报，全额冲减后按已售部分重报",IF(N134="","全部已售：填入实际应退税额后判断",IF(O134=0,"全部已售、无差异：无需调整申报","全部已售、有差异：需要调整申报")))))</f>
        <v/>
      </c>
      <c r="Q134" s="41"/>
      <c r="R134" s="44"/>
      <c r="S134" s="36" t="str">
        <f aca="false">IF(A134="","",IF(D134="","请选择申报方式",IF(D134&lt;&gt;"未售-海外仓预退（HWC-YT）","不涉及核算",IF(Q134&lt;&gt;"","已核算",IF(J134="","待税务办结",IF(K134&lt;0,"已逾期：税务将追回预退税",IF(K134&lt;=60,"临近截止（60天内）","待核算")))))))</f>
        <v/>
      </c>
      <c r="T134" s="30" t="str">
        <f aca="false">IF(ISNUMBER(C134),DATE(YEAR(C134)+1,4,30),"")</f>
        <v/>
      </c>
      <c r="U134" s="43"/>
    </row>
    <row r="135" customFormat="false" ht="21.75" hidden="false" customHeight="true" outlineLevel="0" collapsed="false">
      <c r="A135" s="44"/>
      <c r="B135" s="36" t="str">
        <f aca="false">IF(A135="","",IFERROR(INDEX(①出口报关!$I$4:$I$303,MATCH(A135,①出口报关!$A$4:$A$303,0)),"编号不存在"))</f>
        <v/>
      </c>
      <c r="C135" s="30" t="str">
        <f aca="false">IF(A135="","",IFERROR(IF(INDEX(①出口报关!$D$4:$D$303,MATCH(A135,①出口报关!$A$4:$A$303,0))=0,"",INDEX(①出口报关!$D$4:$D$303,MATCH(A135,①出口报关!$A$4:$A$303,0))),"编号不存在"))</f>
        <v/>
      </c>
      <c r="D135" s="43"/>
      <c r="E135" s="45"/>
      <c r="F135" s="41"/>
      <c r="G135" s="48"/>
      <c r="H135" s="46"/>
      <c r="I135" s="41"/>
      <c r="J135" s="30" t="str">
        <f aca="false">IF(AND(D135="未售-海外仓预退（HWC-YT）",ISNUMBER(I135)),DATE(YEAR(I135)+1,4,30),"")</f>
        <v/>
      </c>
      <c r="K135" s="51" t="str">
        <f aca="true">IF(J135="","",IF(Q135&lt;&gt;"","",J135-TODAY()))</f>
        <v/>
      </c>
      <c r="L135" s="31" t="str">
        <f aca="false">IF(OR(A135="",D135&lt;&gt;"未售-海外仓预退（HWC-YT）"),"",MIN(N(E135),MAX(0,SUMIFS(②销售核销!$I$4:$I$603,②销售核销!$E$4:$E$603,A135)-SUMIFS($E$4:$E$303,$A$4:$A$303,A135,$D$4:$D$303,"已售-按现行规定申报"))))</f>
        <v/>
      </c>
      <c r="M135" s="34" t="str">
        <f aca="false">IF(OR(L135="",N(E135)=0,H135=""),"",ROUND(H135/E135*L135,2))</f>
        <v/>
      </c>
      <c r="N135" s="46"/>
      <c r="O135" s="34" t="str">
        <f aca="false">IF(OR(N135="",H135=""),"",ROUND(N135-H135,2))</f>
        <v/>
      </c>
      <c r="P135" s="36" t="str">
        <f aca="false">IF(OR(A135="",D135&lt;&gt;"未售-海外仓预退（HWC-YT）"),"",IF(L135=0,"仍未销售：需要调整申报，全额缴回预退税",IF(L135&lt;N(E135),"部分已售：需要调整申报，全额冲减后按已售部分重报",IF(N135="","全部已售：填入实际应退税额后判断",IF(O135=0,"全部已售、无差异：无需调整申报","全部已售、有差异：需要调整申报")))))</f>
        <v/>
      </c>
      <c r="Q135" s="41"/>
      <c r="R135" s="44"/>
      <c r="S135" s="36" t="str">
        <f aca="false">IF(A135="","",IF(D135="","请选择申报方式",IF(D135&lt;&gt;"未售-海外仓预退（HWC-YT）","不涉及核算",IF(Q135&lt;&gt;"","已核算",IF(J135="","待税务办结",IF(K135&lt;0,"已逾期：税务将追回预退税",IF(K135&lt;=60,"临近截止（60天内）","待核算")))))))</f>
        <v/>
      </c>
      <c r="T135" s="30" t="str">
        <f aca="false">IF(ISNUMBER(C135),DATE(YEAR(C135)+1,4,30),"")</f>
        <v/>
      </c>
      <c r="U135" s="43"/>
    </row>
    <row r="136" customFormat="false" ht="21.75" hidden="false" customHeight="true" outlineLevel="0" collapsed="false">
      <c r="A136" s="44"/>
      <c r="B136" s="36" t="str">
        <f aca="false">IF(A136="","",IFERROR(INDEX(①出口报关!$I$4:$I$303,MATCH(A136,①出口报关!$A$4:$A$303,0)),"编号不存在"))</f>
        <v/>
      </c>
      <c r="C136" s="30" t="str">
        <f aca="false">IF(A136="","",IFERROR(IF(INDEX(①出口报关!$D$4:$D$303,MATCH(A136,①出口报关!$A$4:$A$303,0))=0,"",INDEX(①出口报关!$D$4:$D$303,MATCH(A136,①出口报关!$A$4:$A$303,0))),"编号不存在"))</f>
        <v/>
      </c>
      <c r="D136" s="43"/>
      <c r="E136" s="45"/>
      <c r="F136" s="41"/>
      <c r="G136" s="48"/>
      <c r="H136" s="46"/>
      <c r="I136" s="41"/>
      <c r="J136" s="30" t="str">
        <f aca="false">IF(AND(D136="未售-海外仓预退（HWC-YT）",ISNUMBER(I136)),DATE(YEAR(I136)+1,4,30),"")</f>
        <v/>
      </c>
      <c r="K136" s="51" t="str">
        <f aca="true">IF(J136="","",IF(Q136&lt;&gt;"","",J136-TODAY()))</f>
        <v/>
      </c>
      <c r="L136" s="31" t="str">
        <f aca="false">IF(OR(A136="",D136&lt;&gt;"未售-海外仓预退（HWC-YT）"),"",MIN(N(E136),MAX(0,SUMIFS(②销售核销!$I$4:$I$603,②销售核销!$E$4:$E$603,A136)-SUMIFS($E$4:$E$303,$A$4:$A$303,A136,$D$4:$D$303,"已售-按现行规定申报"))))</f>
        <v/>
      </c>
      <c r="M136" s="34" t="str">
        <f aca="false">IF(OR(L136="",N(E136)=0,H136=""),"",ROUND(H136/E136*L136,2))</f>
        <v/>
      </c>
      <c r="N136" s="46"/>
      <c r="O136" s="34" t="str">
        <f aca="false">IF(OR(N136="",H136=""),"",ROUND(N136-H136,2))</f>
        <v/>
      </c>
      <c r="P136" s="36" t="str">
        <f aca="false">IF(OR(A136="",D136&lt;&gt;"未售-海外仓预退（HWC-YT）"),"",IF(L136=0,"仍未销售：需要调整申报，全额缴回预退税",IF(L136&lt;N(E136),"部分已售：需要调整申报，全额冲减后按已售部分重报",IF(N136="","全部已售：填入实际应退税额后判断",IF(O136=0,"全部已售、无差异：无需调整申报","全部已售、有差异：需要调整申报")))))</f>
        <v/>
      </c>
      <c r="Q136" s="41"/>
      <c r="R136" s="44"/>
      <c r="S136" s="36" t="str">
        <f aca="false">IF(A136="","",IF(D136="","请选择申报方式",IF(D136&lt;&gt;"未售-海外仓预退（HWC-YT）","不涉及核算",IF(Q136&lt;&gt;"","已核算",IF(J136="","待税务办结",IF(K136&lt;0,"已逾期：税务将追回预退税",IF(K136&lt;=60,"临近截止（60天内）","待核算")))))))</f>
        <v/>
      </c>
      <c r="T136" s="30" t="str">
        <f aca="false">IF(ISNUMBER(C136),DATE(YEAR(C136)+1,4,30),"")</f>
        <v/>
      </c>
      <c r="U136" s="43"/>
    </row>
    <row r="137" customFormat="false" ht="21.75" hidden="false" customHeight="true" outlineLevel="0" collapsed="false">
      <c r="A137" s="44"/>
      <c r="B137" s="36" t="str">
        <f aca="false">IF(A137="","",IFERROR(INDEX(①出口报关!$I$4:$I$303,MATCH(A137,①出口报关!$A$4:$A$303,0)),"编号不存在"))</f>
        <v/>
      </c>
      <c r="C137" s="30" t="str">
        <f aca="false">IF(A137="","",IFERROR(IF(INDEX(①出口报关!$D$4:$D$303,MATCH(A137,①出口报关!$A$4:$A$303,0))=0,"",INDEX(①出口报关!$D$4:$D$303,MATCH(A137,①出口报关!$A$4:$A$303,0))),"编号不存在"))</f>
        <v/>
      </c>
      <c r="D137" s="43"/>
      <c r="E137" s="45"/>
      <c r="F137" s="41"/>
      <c r="G137" s="48"/>
      <c r="H137" s="46"/>
      <c r="I137" s="41"/>
      <c r="J137" s="30" t="str">
        <f aca="false">IF(AND(D137="未售-海外仓预退（HWC-YT）",ISNUMBER(I137)),DATE(YEAR(I137)+1,4,30),"")</f>
        <v/>
      </c>
      <c r="K137" s="51" t="str">
        <f aca="true">IF(J137="","",IF(Q137&lt;&gt;"","",J137-TODAY()))</f>
        <v/>
      </c>
      <c r="L137" s="31" t="str">
        <f aca="false">IF(OR(A137="",D137&lt;&gt;"未售-海外仓预退（HWC-YT）"),"",MIN(N(E137),MAX(0,SUMIFS(②销售核销!$I$4:$I$603,②销售核销!$E$4:$E$603,A137)-SUMIFS($E$4:$E$303,$A$4:$A$303,A137,$D$4:$D$303,"已售-按现行规定申报"))))</f>
        <v/>
      </c>
      <c r="M137" s="34" t="str">
        <f aca="false">IF(OR(L137="",N(E137)=0,H137=""),"",ROUND(H137/E137*L137,2))</f>
        <v/>
      </c>
      <c r="N137" s="46"/>
      <c r="O137" s="34" t="str">
        <f aca="false">IF(OR(N137="",H137=""),"",ROUND(N137-H137,2))</f>
        <v/>
      </c>
      <c r="P137" s="36" t="str">
        <f aca="false">IF(OR(A137="",D137&lt;&gt;"未售-海外仓预退（HWC-YT）"),"",IF(L137=0,"仍未销售：需要调整申报，全额缴回预退税",IF(L137&lt;N(E137),"部分已售：需要调整申报，全额冲减后按已售部分重报",IF(N137="","全部已售：填入实际应退税额后判断",IF(O137=0,"全部已售、无差异：无需调整申报","全部已售、有差异：需要调整申报")))))</f>
        <v/>
      </c>
      <c r="Q137" s="41"/>
      <c r="R137" s="44"/>
      <c r="S137" s="36" t="str">
        <f aca="false">IF(A137="","",IF(D137="","请选择申报方式",IF(D137&lt;&gt;"未售-海外仓预退（HWC-YT）","不涉及核算",IF(Q137&lt;&gt;"","已核算",IF(J137="","待税务办结",IF(K137&lt;0,"已逾期：税务将追回预退税",IF(K137&lt;=60,"临近截止（60天内）","待核算")))))))</f>
        <v/>
      </c>
      <c r="T137" s="30" t="str">
        <f aca="false">IF(ISNUMBER(C137),DATE(YEAR(C137)+1,4,30),"")</f>
        <v/>
      </c>
      <c r="U137" s="43"/>
    </row>
    <row r="138" customFormat="false" ht="21.75" hidden="false" customHeight="true" outlineLevel="0" collapsed="false">
      <c r="A138" s="44"/>
      <c r="B138" s="36" t="str">
        <f aca="false">IF(A138="","",IFERROR(INDEX(①出口报关!$I$4:$I$303,MATCH(A138,①出口报关!$A$4:$A$303,0)),"编号不存在"))</f>
        <v/>
      </c>
      <c r="C138" s="30" t="str">
        <f aca="false">IF(A138="","",IFERROR(IF(INDEX(①出口报关!$D$4:$D$303,MATCH(A138,①出口报关!$A$4:$A$303,0))=0,"",INDEX(①出口报关!$D$4:$D$303,MATCH(A138,①出口报关!$A$4:$A$303,0))),"编号不存在"))</f>
        <v/>
      </c>
      <c r="D138" s="43"/>
      <c r="E138" s="45"/>
      <c r="F138" s="41"/>
      <c r="G138" s="48"/>
      <c r="H138" s="46"/>
      <c r="I138" s="41"/>
      <c r="J138" s="30" t="str">
        <f aca="false">IF(AND(D138="未售-海外仓预退（HWC-YT）",ISNUMBER(I138)),DATE(YEAR(I138)+1,4,30),"")</f>
        <v/>
      </c>
      <c r="K138" s="51" t="str">
        <f aca="true">IF(J138="","",IF(Q138&lt;&gt;"","",J138-TODAY()))</f>
        <v/>
      </c>
      <c r="L138" s="31" t="str">
        <f aca="false">IF(OR(A138="",D138&lt;&gt;"未售-海外仓预退（HWC-YT）"),"",MIN(N(E138),MAX(0,SUMIFS(②销售核销!$I$4:$I$603,②销售核销!$E$4:$E$603,A138)-SUMIFS($E$4:$E$303,$A$4:$A$303,A138,$D$4:$D$303,"已售-按现行规定申报"))))</f>
        <v/>
      </c>
      <c r="M138" s="34" t="str">
        <f aca="false">IF(OR(L138="",N(E138)=0,H138=""),"",ROUND(H138/E138*L138,2))</f>
        <v/>
      </c>
      <c r="N138" s="46"/>
      <c r="O138" s="34" t="str">
        <f aca="false">IF(OR(N138="",H138=""),"",ROUND(N138-H138,2))</f>
        <v/>
      </c>
      <c r="P138" s="36" t="str">
        <f aca="false">IF(OR(A138="",D138&lt;&gt;"未售-海外仓预退（HWC-YT）"),"",IF(L138=0,"仍未销售：需要调整申报，全额缴回预退税",IF(L138&lt;N(E138),"部分已售：需要调整申报，全额冲减后按已售部分重报",IF(N138="","全部已售：填入实际应退税额后判断",IF(O138=0,"全部已售、无差异：无需调整申报","全部已售、有差异：需要调整申报")))))</f>
        <v/>
      </c>
      <c r="Q138" s="41"/>
      <c r="R138" s="44"/>
      <c r="S138" s="36" t="str">
        <f aca="false">IF(A138="","",IF(D138="","请选择申报方式",IF(D138&lt;&gt;"未售-海外仓预退（HWC-YT）","不涉及核算",IF(Q138&lt;&gt;"","已核算",IF(J138="","待税务办结",IF(K138&lt;0,"已逾期：税务将追回预退税",IF(K138&lt;=60,"临近截止（60天内）","待核算")))))))</f>
        <v/>
      </c>
      <c r="T138" s="30" t="str">
        <f aca="false">IF(ISNUMBER(C138),DATE(YEAR(C138)+1,4,30),"")</f>
        <v/>
      </c>
      <c r="U138" s="43"/>
    </row>
    <row r="139" customFormat="false" ht="21.75" hidden="false" customHeight="true" outlineLevel="0" collapsed="false">
      <c r="A139" s="44"/>
      <c r="B139" s="36" t="str">
        <f aca="false">IF(A139="","",IFERROR(INDEX(①出口报关!$I$4:$I$303,MATCH(A139,①出口报关!$A$4:$A$303,0)),"编号不存在"))</f>
        <v/>
      </c>
      <c r="C139" s="30" t="str">
        <f aca="false">IF(A139="","",IFERROR(IF(INDEX(①出口报关!$D$4:$D$303,MATCH(A139,①出口报关!$A$4:$A$303,0))=0,"",INDEX(①出口报关!$D$4:$D$303,MATCH(A139,①出口报关!$A$4:$A$303,0))),"编号不存在"))</f>
        <v/>
      </c>
      <c r="D139" s="43"/>
      <c r="E139" s="45"/>
      <c r="F139" s="41"/>
      <c r="G139" s="48"/>
      <c r="H139" s="46"/>
      <c r="I139" s="41"/>
      <c r="J139" s="30" t="str">
        <f aca="false">IF(AND(D139="未售-海外仓预退（HWC-YT）",ISNUMBER(I139)),DATE(YEAR(I139)+1,4,30),"")</f>
        <v/>
      </c>
      <c r="K139" s="51" t="str">
        <f aca="true">IF(J139="","",IF(Q139&lt;&gt;"","",J139-TODAY()))</f>
        <v/>
      </c>
      <c r="L139" s="31" t="str">
        <f aca="false">IF(OR(A139="",D139&lt;&gt;"未售-海外仓预退（HWC-YT）"),"",MIN(N(E139),MAX(0,SUMIFS(②销售核销!$I$4:$I$603,②销售核销!$E$4:$E$603,A139)-SUMIFS($E$4:$E$303,$A$4:$A$303,A139,$D$4:$D$303,"已售-按现行规定申报"))))</f>
        <v/>
      </c>
      <c r="M139" s="34" t="str">
        <f aca="false">IF(OR(L139="",N(E139)=0,H139=""),"",ROUND(H139/E139*L139,2))</f>
        <v/>
      </c>
      <c r="N139" s="46"/>
      <c r="O139" s="34" t="str">
        <f aca="false">IF(OR(N139="",H139=""),"",ROUND(N139-H139,2))</f>
        <v/>
      </c>
      <c r="P139" s="36" t="str">
        <f aca="false">IF(OR(A139="",D139&lt;&gt;"未售-海外仓预退（HWC-YT）"),"",IF(L139=0,"仍未销售：需要调整申报，全额缴回预退税",IF(L139&lt;N(E139),"部分已售：需要调整申报，全额冲减后按已售部分重报",IF(N139="","全部已售：填入实际应退税额后判断",IF(O139=0,"全部已售、无差异：无需调整申报","全部已售、有差异：需要调整申报")))))</f>
        <v/>
      </c>
      <c r="Q139" s="41"/>
      <c r="R139" s="44"/>
      <c r="S139" s="36" t="str">
        <f aca="false">IF(A139="","",IF(D139="","请选择申报方式",IF(D139&lt;&gt;"未售-海外仓预退（HWC-YT）","不涉及核算",IF(Q139&lt;&gt;"","已核算",IF(J139="","待税务办结",IF(K139&lt;0,"已逾期：税务将追回预退税",IF(K139&lt;=60,"临近截止（60天内）","待核算")))))))</f>
        <v/>
      </c>
      <c r="T139" s="30" t="str">
        <f aca="false">IF(ISNUMBER(C139),DATE(YEAR(C139)+1,4,30),"")</f>
        <v/>
      </c>
      <c r="U139" s="43"/>
    </row>
    <row r="140" customFormat="false" ht="21.75" hidden="false" customHeight="true" outlineLevel="0" collapsed="false">
      <c r="A140" s="44"/>
      <c r="B140" s="36" t="str">
        <f aca="false">IF(A140="","",IFERROR(INDEX(①出口报关!$I$4:$I$303,MATCH(A140,①出口报关!$A$4:$A$303,0)),"编号不存在"))</f>
        <v/>
      </c>
      <c r="C140" s="30" t="str">
        <f aca="false">IF(A140="","",IFERROR(IF(INDEX(①出口报关!$D$4:$D$303,MATCH(A140,①出口报关!$A$4:$A$303,0))=0,"",INDEX(①出口报关!$D$4:$D$303,MATCH(A140,①出口报关!$A$4:$A$303,0))),"编号不存在"))</f>
        <v/>
      </c>
      <c r="D140" s="43"/>
      <c r="E140" s="45"/>
      <c r="F140" s="41"/>
      <c r="G140" s="48"/>
      <c r="H140" s="46"/>
      <c r="I140" s="41"/>
      <c r="J140" s="30" t="str">
        <f aca="false">IF(AND(D140="未售-海外仓预退（HWC-YT）",ISNUMBER(I140)),DATE(YEAR(I140)+1,4,30),"")</f>
        <v/>
      </c>
      <c r="K140" s="51" t="str">
        <f aca="true">IF(J140="","",IF(Q140&lt;&gt;"","",J140-TODAY()))</f>
        <v/>
      </c>
      <c r="L140" s="31" t="str">
        <f aca="false">IF(OR(A140="",D140&lt;&gt;"未售-海外仓预退（HWC-YT）"),"",MIN(N(E140),MAX(0,SUMIFS(②销售核销!$I$4:$I$603,②销售核销!$E$4:$E$603,A140)-SUMIFS($E$4:$E$303,$A$4:$A$303,A140,$D$4:$D$303,"已售-按现行规定申报"))))</f>
        <v/>
      </c>
      <c r="M140" s="34" t="str">
        <f aca="false">IF(OR(L140="",N(E140)=0,H140=""),"",ROUND(H140/E140*L140,2))</f>
        <v/>
      </c>
      <c r="N140" s="46"/>
      <c r="O140" s="34" t="str">
        <f aca="false">IF(OR(N140="",H140=""),"",ROUND(N140-H140,2))</f>
        <v/>
      </c>
      <c r="P140" s="36" t="str">
        <f aca="false">IF(OR(A140="",D140&lt;&gt;"未售-海外仓预退（HWC-YT）"),"",IF(L140=0,"仍未销售：需要调整申报，全额缴回预退税",IF(L140&lt;N(E140),"部分已售：需要调整申报，全额冲减后按已售部分重报",IF(N140="","全部已售：填入实际应退税额后判断",IF(O140=0,"全部已售、无差异：无需调整申报","全部已售、有差异：需要调整申报")))))</f>
        <v/>
      </c>
      <c r="Q140" s="41"/>
      <c r="R140" s="44"/>
      <c r="S140" s="36" t="str">
        <f aca="false">IF(A140="","",IF(D140="","请选择申报方式",IF(D140&lt;&gt;"未售-海外仓预退（HWC-YT）","不涉及核算",IF(Q140&lt;&gt;"","已核算",IF(J140="","待税务办结",IF(K140&lt;0,"已逾期：税务将追回预退税",IF(K140&lt;=60,"临近截止（60天内）","待核算")))))))</f>
        <v/>
      </c>
      <c r="T140" s="30" t="str">
        <f aca="false">IF(ISNUMBER(C140),DATE(YEAR(C140)+1,4,30),"")</f>
        <v/>
      </c>
      <c r="U140" s="43"/>
    </row>
    <row r="141" customFormat="false" ht="21.75" hidden="false" customHeight="true" outlineLevel="0" collapsed="false">
      <c r="A141" s="44"/>
      <c r="B141" s="36" t="str">
        <f aca="false">IF(A141="","",IFERROR(INDEX(①出口报关!$I$4:$I$303,MATCH(A141,①出口报关!$A$4:$A$303,0)),"编号不存在"))</f>
        <v/>
      </c>
      <c r="C141" s="30" t="str">
        <f aca="false">IF(A141="","",IFERROR(IF(INDEX(①出口报关!$D$4:$D$303,MATCH(A141,①出口报关!$A$4:$A$303,0))=0,"",INDEX(①出口报关!$D$4:$D$303,MATCH(A141,①出口报关!$A$4:$A$303,0))),"编号不存在"))</f>
        <v/>
      </c>
      <c r="D141" s="43"/>
      <c r="E141" s="45"/>
      <c r="F141" s="41"/>
      <c r="G141" s="48"/>
      <c r="H141" s="46"/>
      <c r="I141" s="41"/>
      <c r="J141" s="30" t="str">
        <f aca="false">IF(AND(D141="未售-海外仓预退（HWC-YT）",ISNUMBER(I141)),DATE(YEAR(I141)+1,4,30),"")</f>
        <v/>
      </c>
      <c r="K141" s="51" t="str">
        <f aca="true">IF(J141="","",IF(Q141&lt;&gt;"","",J141-TODAY()))</f>
        <v/>
      </c>
      <c r="L141" s="31" t="str">
        <f aca="false">IF(OR(A141="",D141&lt;&gt;"未售-海外仓预退（HWC-YT）"),"",MIN(N(E141),MAX(0,SUMIFS(②销售核销!$I$4:$I$603,②销售核销!$E$4:$E$603,A141)-SUMIFS($E$4:$E$303,$A$4:$A$303,A141,$D$4:$D$303,"已售-按现行规定申报"))))</f>
        <v/>
      </c>
      <c r="M141" s="34" t="str">
        <f aca="false">IF(OR(L141="",N(E141)=0,H141=""),"",ROUND(H141/E141*L141,2))</f>
        <v/>
      </c>
      <c r="N141" s="46"/>
      <c r="O141" s="34" t="str">
        <f aca="false">IF(OR(N141="",H141=""),"",ROUND(N141-H141,2))</f>
        <v/>
      </c>
      <c r="P141" s="36" t="str">
        <f aca="false">IF(OR(A141="",D141&lt;&gt;"未售-海外仓预退（HWC-YT）"),"",IF(L141=0,"仍未销售：需要调整申报，全额缴回预退税",IF(L141&lt;N(E141),"部分已售：需要调整申报，全额冲减后按已售部分重报",IF(N141="","全部已售：填入实际应退税额后判断",IF(O141=0,"全部已售、无差异：无需调整申报","全部已售、有差异：需要调整申报")))))</f>
        <v/>
      </c>
      <c r="Q141" s="41"/>
      <c r="R141" s="44"/>
      <c r="S141" s="36" t="str">
        <f aca="false">IF(A141="","",IF(D141="","请选择申报方式",IF(D141&lt;&gt;"未售-海外仓预退（HWC-YT）","不涉及核算",IF(Q141&lt;&gt;"","已核算",IF(J141="","待税务办结",IF(K141&lt;0,"已逾期：税务将追回预退税",IF(K141&lt;=60,"临近截止（60天内）","待核算")))))))</f>
        <v/>
      </c>
      <c r="T141" s="30" t="str">
        <f aca="false">IF(ISNUMBER(C141),DATE(YEAR(C141)+1,4,30),"")</f>
        <v/>
      </c>
      <c r="U141" s="43"/>
    </row>
    <row r="142" customFormat="false" ht="21.75" hidden="false" customHeight="true" outlineLevel="0" collapsed="false">
      <c r="A142" s="44"/>
      <c r="B142" s="36" t="str">
        <f aca="false">IF(A142="","",IFERROR(INDEX(①出口报关!$I$4:$I$303,MATCH(A142,①出口报关!$A$4:$A$303,0)),"编号不存在"))</f>
        <v/>
      </c>
      <c r="C142" s="30" t="str">
        <f aca="false">IF(A142="","",IFERROR(IF(INDEX(①出口报关!$D$4:$D$303,MATCH(A142,①出口报关!$A$4:$A$303,0))=0,"",INDEX(①出口报关!$D$4:$D$303,MATCH(A142,①出口报关!$A$4:$A$303,0))),"编号不存在"))</f>
        <v/>
      </c>
      <c r="D142" s="43"/>
      <c r="E142" s="45"/>
      <c r="F142" s="41"/>
      <c r="G142" s="48"/>
      <c r="H142" s="46"/>
      <c r="I142" s="41"/>
      <c r="J142" s="30" t="str">
        <f aca="false">IF(AND(D142="未售-海外仓预退（HWC-YT）",ISNUMBER(I142)),DATE(YEAR(I142)+1,4,30),"")</f>
        <v/>
      </c>
      <c r="K142" s="51" t="str">
        <f aca="true">IF(J142="","",IF(Q142&lt;&gt;"","",J142-TODAY()))</f>
        <v/>
      </c>
      <c r="L142" s="31" t="str">
        <f aca="false">IF(OR(A142="",D142&lt;&gt;"未售-海外仓预退（HWC-YT）"),"",MIN(N(E142),MAX(0,SUMIFS(②销售核销!$I$4:$I$603,②销售核销!$E$4:$E$603,A142)-SUMIFS($E$4:$E$303,$A$4:$A$303,A142,$D$4:$D$303,"已售-按现行规定申报"))))</f>
        <v/>
      </c>
      <c r="M142" s="34" t="str">
        <f aca="false">IF(OR(L142="",N(E142)=0,H142=""),"",ROUND(H142/E142*L142,2))</f>
        <v/>
      </c>
      <c r="N142" s="46"/>
      <c r="O142" s="34" t="str">
        <f aca="false">IF(OR(N142="",H142=""),"",ROUND(N142-H142,2))</f>
        <v/>
      </c>
      <c r="P142" s="36" t="str">
        <f aca="false">IF(OR(A142="",D142&lt;&gt;"未售-海外仓预退（HWC-YT）"),"",IF(L142=0,"仍未销售：需要调整申报，全额缴回预退税",IF(L142&lt;N(E142),"部分已售：需要调整申报，全额冲减后按已售部分重报",IF(N142="","全部已售：填入实际应退税额后判断",IF(O142=0,"全部已售、无差异：无需调整申报","全部已售、有差异：需要调整申报")))))</f>
        <v/>
      </c>
      <c r="Q142" s="41"/>
      <c r="R142" s="44"/>
      <c r="S142" s="36" t="str">
        <f aca="false">IF(A142="","",IF(D142="","请选择申报方式",IF(D142&lt;&gt;"未售-海外仓预退（HWC-YT）","不涉及核算",IF(Q142&lt;&gt;"","已核算",IF(J142="","待税务办结",IF(K142&lt;0,"已逾期：税务将追回预退税",IF(K142&lt;=60,"临近截止（60天内）","待核算")))))))</f>
        <v/>
      </c>
      <c r="T142" s="30" t="str">
        <f aca="false">IF(ISNUMBER(C142),DATE(YEAR(C142)+1,4,30),"")</f>
        <v/>
      </c>
      <c r="U142" s="43"/>
    </row>
    <row r="143" customFormat="false" ht="21.75" hidden="false" customHeight="true" outlineLevel="0" collapsed="false">
      <c r="A143" s="44"/>
      <c r="B143" s="36" t="str">
        <f aca="false">IF(A143="","",IFERROR(INDEX(①出口报关!$I$4:$I$303,MATCH(A143,①出口报关!$A$4:$A$303,0)),"编号不存在"))</f>
        <v/>
      </c>
      <c r="C143" s="30" t="str">
        <f aca="false">IF(A143="","",IFERROR(IF(INDEX(①出口报关!$D$4:$D$303,MATCH(A143,①出口报关!$A$4:$A$303,0))=0,"",INDEX(①出口报关!$D$4:$D$303,MATCH(A143,①出口报关!$A$4:$A$303,0))),"编号不存在"))</f>
        <v/>
      </c>
      <c r="D143" s="43"/>
      <c r="E143" s="45"/>
      <c r="F143" s="41"/>
      <c r="G143" s="48"/>
      <c r="H143" s="46"/>
      <c r="I143" s="41"/>
      <c r="J143" s="30" t="str">
        <f aca="false">IF(AND(D143="未售-海外仓预退（HWC-YT）",ISNUMBER(I143)),DATE(YEAR(I143)+1,4,30),"")</f>
        <v/>
      </c>
      <c r="K143" s="51" t="str">
        <f aca="true">IF(J143="","",IF(Q143&lt;&gt;"","",J143-TODAY()))</f>
        <v/>
      </c>
      <c r="L143" s="31" t="str">
        <f aca="false">IF(OR(A143="",D143&lt;&gt;"未售-海外仓预退（HWC-YT）"),"",MIN(N(E143),MAX(0,SUMIFS(②销售核销!$I$4:$I$603,②销售核销!$E$4:$E$603,A143)-SUMIFS($E$4:$E$303,$A$4:$A$303,A143,$D$4:$D$303,"已售-按现行规定申报"))))</f>
        <v/>
      </c>
      <c r="M143" s="34" t="str">
        <f aca="false">IF(OR(L143="",N(E143)=0,H143=""),"",ROUND(H143/E143*L143,2))</f>
        <v/>
      </c>
      <c r="N143" s="46"/>
      <c r="O143" s="34" t="str">
        <f aca="false">IF(OR(N143="",H143=""),"",ROUND(N143-H143,2))</f>
        <v/>
      </c>
      <c r="P143" s="36" t="str">
        <f aca="false">IF(OR(A143="",D143&lt;&gt;"未售-海外仓预退（HWC-YT）"),"",IF(L143=0,"仍未销售：需要调整申报，全额缴回预退税",IF(L143&lt;N(E143),"部分已售：需要调整申报，全额冲减后按已售部分重报",IF(N143="","全部已售：填入实际应退税额后判断",IF(O143=0,"全部已售、无差异：无需调整申报","全部已售、有差异：需要调整申报")))))</f>
        <v/>
      </c>
      <c r="Q143" s="41"/>
      <c r="R143" s="44"/>
      <c r="S143" s="36" t="str">
        <f aca="false">IF(A143="","",IF(D143="","请选择申报方式",IF(D143&lt;&gt;"未售-海外仓预退（HWC-YT）","不涉及核算",IF(Q143&lt;&gt;"","已核算",IF(J143="","待税务办结",IF(K143&lt;0,"已逾期：税务将追回预退税",IF(K143&lt;=60,"临近截止（60天内）","待核算")))))))</f>
        <v/>
      </c>
      <c r="T143" s="30" t="str">
        <f aca="false">IF(ISNUMBER(C143),DATE(YEAR(C143)+1,4,30),"")</f>
        <v/>
      </c>
      <c r="U143" s="43"/>
    </row>
    <row r="144" customFormat="false" ht="21.75" hidden="false" customHeight="true" outlineLevel="0" collapsed="false">
      <c r="A144" s="44"/>
      <c r="B144" s="36" t="str">
        <f aca="false">IF(A144="","",IFERROR(INDEX(①出口报关!$I$4:$I$303,MATCH(A144,①出口报关!$A$4:$A$303,0)),"编号不存在"))</f>
        <v/>
      </c>
      <c r="C144" s="30" t="str">
        <f aca="false">IF(A144="","",IFERROR(IF(INDEX(①出口报关!$D$4:$D$303,MATCH(A144,①出口报关!$A$4:$A$303,0))=0,"",INDEX(①出口报关!$D$4:$D$303,MATCH(A144,①出口报关!$A$4:$A$303,0))),"编号不存在"))</f>
        <v/>
      </c>
      <c r="D144" s="43"/>
      <c r="E144" s="45"/>
      <c r="F144" s="41"/>
      <c r="G144" s="48"/>
      <c r="H144" s="46"/>
      <c r="I144" s="41"/>
      <c r="J144" s="30" t="str">
        <f aca="false">IF(AND(D144="未售-海外仓预退（HWC-YT）",ISNUMBER(I144)),DATE(YEAR(I144)+1,4,30),"")</f>
        <v/>
      </c>
      <c r="K144" s="51" t="str">
        <f aca="true">IF(J144="","",IF(Q144&lt;&gt;"","",J144-TODAY()))</f>
        <v/>
      </c>
      <c r="L144" s="31" t="str">
        <f aca="false">IF(OR(A144="",D144&lt;&gt;"未售-海外仓预退（HWC-YT）"),"",MIN(N(E144),MAX(0,SUMIFS(②销售核销!$I$4:$I$603,②销售核销!$E$4:$E$603,A144)-SUMIFS($E$4:$E$303,$A$4:$A$303,A144,$D$4:$D$303,"已售-按现行规定申报"))))</f>
        <v/>
      </c>
      <c r="M144" s="34" t="str">
        <f aca="false">IF(OR(L144="",N(E144)=0,H144=""),"",ROUND(H144/E144*L144,2))</f>
        <v/>
      </c>
      <c r="N144" s="46"/>
      <c r="O144" s="34" t="str">
        <f aca="false">IF(OR(N144="",H144=""),"",ROUND(N144-H144,2))</f>
        <v/>
      </c>
      <c r="P144" s="36" t="str">
        <f aca="false">IF(OR(A144="",D144&lt;&gt;"未售-海外仓预退（HWC-YT）"),"",IF(L144=0,"仍未销售：需要调整申报，全额缴回预退税",IF(L144&lt;N(E144),"部分已售：需要调整申报，全额冲减后按已售部分重报",IF(N144="","全部已售：填入实际应退税额后判断",IF(O144=0,"全部已售、无差异：无需调整申报","全部已售、有差异：需要调整申报")))))</f>
        <v/>
      </c>
      <c r="Q144" s="41"/>
      <c r="R144" s="44"/>
      <c r="S144" s="36" t="str">
        <f aca="false">IF(A144="","",IF(D144="","请选择申报方式",IF(D144&lt;&gt;"未售-海外仓预退（HWC-YT）","不涉及核算",IF(Q144&lt;&gt;"","已核算",IF(J144="","待税务办结",IF(K144&lt;0,"已逾期：税务将追回预退税",IF(K144&lt;=60,"临近截止（60天内）","待核算")))))))</f>
        <v/>
      </c>
      <c r="T144" s="30" t="str">
        <f aca="false">IF(ISNUMBER(C144),DATE(YEAR(C144)+1,4,30),"")</f>
        <v/>
      </c>
      <c r="U144" s="43"/>
    </row>
    <row r="145" customFormat="false" ht="21.75" hidden="false" customHeight="true" outlineLevel="0" collapsed="false">
      <c r="A145" s="44"/>
      <c r="B145" s="36" t="str">
        <f aca="false">IF(A145="","",IFERROR(INDEX(①出口报关!$I$4:$I$303,MATCH(A145,①出口报关!$A$4:$A$303,0)),"编号不存在"))</f>
        <v/>
      </c>
      <c r="C145" s="30" t="str">
        <f aca="false">IF(A145="","",IFERROR(IF(INDEX(①出口报关!$D$4:$D$303,MATCH(A145,①出口报关!$A$4:$A$303,0))=0,"",INDEX(①出口报关!$D$4:$D$303,MATCH(A145,①出口报关!$A$4:$A$303,0))),"编号不存在"))</f>
        <v/>
      </c>
      <c r="D145" s="43"/>
      <c r="E145" s="45"/>
      <c r="F145" s="41"/>
      <c r="G145" s="48"/>
      <c r="H145" s="46"/>
      <c r="I145" s="41"/>
      <c r="J145" s="30" t="str">
        <f aca="false">IF(AND(D145="未售-海外仓预退（HWC-YT）",ISNUMBER(I145)),DATE(YEAR(I145)+1,4,30),"")</f>
        <v/>
      </c>
      <c r="K145" s="51" t="str">
        <f aca="true">IF(J145="","",IF(Q145&lt;&gt;"","",J145-TODAY()))</f>
        <v/>
      </c>
      <c r="L145" s="31" t="str">
        <f aca="false">IF(OR(A145="",D145&lt;&gt;"未售-海外仓预退（HWC-YT）"),"",MIN(N(E145),MAX(0,SUMIFS(②销售核销!$I$4:$I$603,②销售核销!$E$4:$E$603,A145)-SUMIFS($E$4:$E$303,$A$4:$A$303,A145,$D$4:$D$303,"已售-按现行规定申报"))))</f>
        <v/>
      </c>
      <c r="M145" s="34" t="str">
        <f aca="false">IF(OR(L145="",N(E145)=0,H145=""),"",ROUND(H145/E145*L145,2))</f>
        <v/>
      </c>
      <c r="N145" s="46"/>
      <c r="O145" s="34" t="str">
        <f aca="false">IF(OR(N145="",H145=""),"",ROUND(N145-H145,2))</f>
        <v/>
      </c>
      <c r="P145" s="36" t="str">
        <f aca="false">IF(OR(A145="",D145&lt;&gt;"未售-海外仓预退（HWC-YT）"),"",IF(L145=0,"仍未销售：需要调整申报，全额缴回预退税",IF(L145&lt;N(E145),"部分已售：需要调整申报，全额冲减后按已售部分重报",IF(N145="","全部已售：填入实际应退税额后判断",IF(O145=0,"全部已售、无差异：无需调整申报","全部已售、有差异：需要调整申报")))))</f>
        <v/>
      </c>
      <c r="Q145" s="41"/>
      <c r="R145" s="44"/>
      <c r="S145" s="36" t="str">
        <f aca="false">IF(A145="","",IF(D145="","请选择申报方式",IF(D145&lt;&gt;"未售-海外仓预退（HWC-YT）","不涉及核算",IF(Q145&lt;&gt;"","已核算",IF(J145="","待税务办结",IF(K145&lt;0,"已逾期：税务将追回预退税",IF(K145&lt;=60,"临近截止（60天内）","待核算")))))))</f>
        <v/>
      </c>
      <c r="T145" s="30" t="str">
        <f aca="false">IF(ISNUMBER(C145),DATE(YEAR(C145)+1,4,30),"")</f>
        <v/>
      </c>
      <c r="U145" s="43"/>
    </row>
    <row r="146" customFormat="false" ht="21.75" hidden="false" customHeight="true" outlineLevel="0" collapsed="false">
      <c r="A146" s="44"/>
      <c r="B146" s="36" t="str">
        <f aca="false">IF(A146="","",IFERROR(INDEX(①出口报关!$I$4:$I$303,MATCH(A146,①出口报关!$A$4:$A$303,0)),"编号不存在"))</f>
        <v/>
      </c>
      <c r="C146" s="30" t="str">
        <f aca="false">IF(A146="","",IFERROR(IF(INDEX(①出口报关!$D$4:$D$303,MATCH(A146,①出口报关!$A$4:$A$303,0))=0,"",INDEX(①出口报关!$D$4:$D$303,MATCH(A146,①出口报关!$A$4:$A$303,0))),"编号不存在"))</f>
        <v/>
      </c>
      <c r="D146" s="43"/>
      <c r="E146" s="45"/>
      <c r="F146" s="41"/>
      <c r="G146" s="48"/>
      <c r="H146" s="46"/>
      <c r="I146" s="41"/>
      <c r="J146" s="30" t="str">
        <f aca="false">IF(AND(D146="未售-海外仓预退（HWC-YT）",ISNUMBER(I146)),DATE(YEAR(I146)+1,4,30),"")</f>
        <v/>
      </c>
      <c r="K146" s="51" t="str">
        <f aca="true">IF(J146="","",IF(Q146&lt;&gt;"","",J146-TODAY()))</f>
        <v/>
      </c>
      <c r="L146" s="31" t="str">
        <f aca="false">IF(OR(A146="",D146&lt;&gt;"未售-海外仓预退（HWC-YT）"),"",MIN(N(E146),MAX(0,SUMIFS(②销售核销!$I$4:$I$603,②销售核销!$E$4:$E$603,A146)-SUMIFS($E$4:$E$303,$A$4:$A$303,A146,$D$4:$D$303,"已售-按现行规定申报"))))</f>
        <v/>
      </c>
      <c r="M146" s="34" t="str">
        <f aca="false">IF(OR(L146="",N(E146)=0,H146=""),"",ROUND(H146/E146*L146,2))</f>
        <v/>
      </c>
      <c r="N146" s="46"/>
      <c r="O146" s="34" t="str">
        <f aca="false">IF(OR(N146="",H146=""),"",ROUND(N146-H146,2))</f>
        <v/>
      </c>
      <c r="P146" s="36" t="str">
        <f aca="false">IF(OR(A146="",D146&lt;&gt;"未售-海外仓预退（HWC-YT）"),"",IF(L146=0,"仍未销售：需要调整申报，全额缴回预退税",IF(L146&lt;N(E146),"部分已售：需要调整申报，全额冲减后按已售部分重报",IF(N146="","全部已售：填入实际应退税额后判断",IF(O146=0,"全部已售、无差异：无需调整申报","全部已售、有差异：需要调整申报")))))</f>
        <v/>
      </c>
      <c r="Q146" s="41"/>
      <c r="R146" s="44"/>
      <c r="S146" s="36" t="str">
        <f aca="false">IF(A146="","",IF(D146="","请选择申报方式",IF(D146&lt;&gt;"未售-海外仓预退（HWC-YT）","不涉及核算",IF(Q146&lt;&gt;"","已核算",IF(J146="","待税务办结",IF(K146&lt;0,"已逾期：税务将追回预退税",IF(K146&lt;=60,"临近截止（60天内）","待核算")))))))</f>
        <v/>
      </c>
      <c r="T146" s="30" t="str">
        <f aca="false">IF(ISNUMBER(C146),DATE(YEAR(C146)+1,4,30),"")</f>
        <v/>
      </c>
      <c r="U146" s="43"/>
    </row>
    <row r="147" customFormat="false" ht="21.75" hidden="false" customHeight="true" outlineLevel="0" collapsed="false">
      <c r="A147" s="44"/>
      <c r="B147" s="36" t="str">
        <f aca="false">IF(A147="","",IFERROR(INDEX(①出口报关!$I$4:$I$303,MATCH(A147,①出口报关!$A$4:$A$303,0)),"编号不存在"))</f>
        <v/>
      </c>
      <c r="C147" s="30" t="str">
        <f aca="false">IF(A147="","",IFERROR(IF(INDEX(①出口报关!$D$4:$D$303,MATCH(A147,①出口报关!$A$4:$A$303,0))=0,"",INDEX(①出口报关!$D$4:$D$303,MATCH(A147,①出口报关!$A$4:$A$303,0))),"编号不存在"))</f>
        <v/>
      </c>
      <c r="D147" s="43"/>
      <c r="E147" s="45"/>
      <c r="F147" s="41"/>
      <c r="G147" s="48"/>
      <c r="H147" s="46"/>
      <c r="I147" s="41"/>
      <c r="J147" s="30" t="str">
        <f aca="false">IF(AND(D147="未售-海外仓预退（HWC-YT）",ISNUMBER(I147)),DATE(YEAR(I147)+1,4,30),"")</f>
        <v/>
      </c>
      <c r="K147" s="51" t="str">
        <f aca="true">IF(J147="","",IF(Q147&lt;&gt;"","",J147-TODAY()))</f>
        <v/>
      </c>
      <c r="L147" s="31" t="str">
        <f aca="false">IF(OR(A147="",D147&lt;&gt;"未售-海外仓预退（HWC-YT）"),"",MIN(N(E147),MAX(0,SUMIFS(②销售核销!$I$4:$I$603,②销售核销!$E$4:$E$603,A147)-SUMIFS($E$4:$E$303,$A$4:$A$303,A147,$D$4:$D$303,"已售-按现行规定申报"))))</f>
        <v/>
      </c>
      <c r="M147" s="34" t="str">
        <f aca="false">IF(OR(L147="",N(E147)=0,H147=""),"",ROUND(H147/E147*L147,2))</f>
        <v/>
      </c>
      <c r="N147" s="46"/>
      <c r="O147" s="34" t="str">
        <f aca="false">IF(OR(N147="",H147=""),"",ROUND(N147-H147,2))</f>
        <v/>
      </c>
      <c r="P147" s="36" t="str">
        <f aca="false">IF(OR(A147="",D147&lt;&gt;"未售-海外仓预退（HWC-YT）"),"",IF(L147=0,"仍未销售：需要调整申报，全额缴回预退税",IF(L147&lt;N(E147),"部分已售：需要调整申报，全额冲减后按已售部分重报",IF(N147="","全部已售：填入实际应退税额后判断",IF(O147=0,"全部已售、无差异：无需调整申报","全部已售、有差异：需要调整申报")))))</f>
        <v/>
      </c>
      <c r="Q147" s="41"/>
      <c r="R147" s="44"/>
      <c r="S147" s="36" t="str">
        <f aca="false">IF(A147="","",IF(D147="","请选择申报方式",IF(D147&lt;&gt;"未售-海外仓预退（HWC-YT）","不涉及核算",IF(Q147&lt;&gt;"","已核算",IF(J147="","待税务办结",IF(K147&lt;0,"已逾期：税务将追回预退税",IF(K147&lt;=60,"临近截止（60天内）","待核算")))))))</f>
        <v/>
      </c>
      <c r="T147" s="30" t="str">
        <f aca="false">IF(ISNUMBER(C147),DATE(YEAR(C147)+1,4,30),"")</f>
        <v/>
      </c>
      <c r="U147" s="43"/>
    </row>
    <row r="148" customFormat="false" ht="21.75" hidden="false" customHeight="true" outlineLevel="0" collapsed="false">
      <c r="A148" s="44"/>
      <c r="B148" s="36" t="str">
        <f aca="false">IF(A148="","",IFERROR(INDEX(①出口报关!$I$4:$I$303,MATCH(A148,①出口报关!$A$4:$A$303,0)),"编号不存在"))</f>
        <v/>
      </c>
      <c r="C148" s="30" t="str">
        <f aca="false">IF(A148="","",IFERROR(IF(INDEX(①出口报关!$D$4:$D$303,MATCH(A148,①出口报关!$A$4:$A$303,0))=0,"",INDEX(①出口报关!$D$4:$D$303,MATCH(A148,①出口报关!$A$4:$A$303,0))),"编号不存在"))</f>
        <v/>
      </c>
      <c r="D148" s="43"/>
      <c r="E148" s="45"/>
      <c r="F148" s="41"/>
      <c r="G148" s="48"/>
      <c r="H148" s="46"/>
      <c r="I148" s="41"/>
      <c r="J148" s="30" t="str">
        <f aca="false">IF(AND(D148="未售-海外仓预退（HWC-YT）",ISNUMBER(I148)),DATE(YEAR(I148)+1,4,30),"")</f>
        <v/>
      </c>
      <c r="K148" s="51" t="str">
        <f aca="true">IF(J148="","",IF(Q148&lt;&gt;"","",J148-TODAY()))</f>
        <v/>
      </c>
      <c r="L148" s="31" t="str">
        <f aca="false">IF(OR(A148="",D148&lt;&gt;"未售-海外仓预退（HWC-YT）"),"",MIN(N(E148),MAX(0,SUMIFS(②销售核销!$I$4:$I$603,②销售核销!$E$4:$E$603,A148)-SUMIFS($E$4:$E$303,$A$4:$A$303,A148,$D$4:$D$303,"已售-按现行规定申报"))))</f>
        <v/>
      </c>
      <c r="M148" s="34" t="str">
        <f aca="false">IF(OR(L148="",N(E148)=0,H148=""),"",ROUND(H148/E148*L148,2))</f>
        <v/>
      </c>
      <c r="N148" s="46"/>
      <c r="O148" s="34" t="str">
        <f aca="false">IF(OR(N148="",H148=""),"",ROUND(N148-H148,2))</f>
        <v/>
      </c>
      <c r="P148" s="36" t="str">
        <f aca="false">IF(OR(A148="",D148&lt;&gt;"未售-海外仓预退（HWC-YT）"),"",IF(L148=0,"仍未销售：需要调整申报，全额缴回预退税",IF(L148&lt;N(E148),"部分已售：需要调整申报，全额冲减后按已售部分重报",IF(N148="","全部已售：填入实际应退税额后判断",IF(O148=0,"全部已售、无差异：无需调整申报","全部已售、有差异：需要调整申报")))))</f>
        <v/>
      </c>
      <c r="Q148" s="41"/>
      <c r="R148" s="44"/>
      <c r="S148" s="36" t="str">
        <f aca="false">IF(A148="","",IF(D148="","请选择申报方式",IF(D148&lt;&gt;"未售-海外仓预退（HWC-YT）","不涉及核算",IF(Q148&lt;&gt;"","已核算",IF(J148="","待税务办结",IF(K148&lt;0,"已逾期：税务将追回预退税",IF(K148&lt;=60,"临近截止（60天内）","待核算")))))))</f>
        <v/>
      </c>
      <c r="T148" s="30" t="str">
        <f aca="false">IF(ISNUMBER(C148),DATE(YEAR(C148)+1,4,30),"")</f>
        <v/>
      </c>
      <c r="U148" s="43"/>
    </row>
    <row r="149" customFormat="false" ht="21.75" hidden="false" customHeight="true" outlineLevel="0" collapsed="false">
      <c r="A149" s="44"/>
      <c r="B149" s="36" t="str">
        <f aca="false">IF(A149="","",IFERROR(INDEX(①出口报关!$I$4:$I$303,MATCH(A149,①出口报关!$A$4:$A$303,0)),"编号不存在"))</f>
        <v/>
      </c>
      <c r="C149" s="30" t="str">
        <f aca="false">IF(A149="","",IFERROR(IF(INDEX(①出口报关!$D$4:$D$303,MATCH(A149,①出口报关!$A$4:$A$303,0))=0,"",INDEX(①出口报关!$D$4:$D$303,MATCH(A149,①出口报关!$A$4:$A$303,0))),"编号不存在"))</f>
        <v/>
      </c>
      <c r="D149" s="43"/>
      <c r="E149" s="45"/>
      <c r="F149" s="41"/>
      <c r="G149" s="48"/>
      <c r="H149" s="46"/>
      <c r="I149" s="41"/>
      <c r="J149" s="30" t="str">
        <f aca="false">IF(AND(D149="未售-海外仓预退（HWC-YT）",ISNUMBER(I149)),DATE(YEAR(I149)+1,4,30),"")</f>
        <v/>
      </c>
      <c r="K149" s="51" t="str">
        <f aca="true">IF(J149="","",IF(Q149&lt;&gt;"","",J149-TODAY()))</f>
        <v/>
      </c>
      <c r="L149" s="31" t="str">
        <f aca="false">IF(OR(A149="",D149&lt;&gt;"未售-海外仓预退（HWC-YT）"),"",MIN(N(E149),MAX(0,SUMIFS(②销售核销!$I$4:$I$603,②销售核销!$E$4:$E$603,A149)-SUMIFS($E$4:$E$303,$A$4:$A$303,A149,$D$4:$D$303,"已售-按现行规定申报"))))</f>
        <v/>
      </c>
      <c r="M149" s="34" t="str">
        <f aca="false">IF(OR(L149="",N(E149)=0,H149=""),"",ROUND(H149/E149*L149,2))</f>
        <v/>
      </c>
      <c r="N149" s="46"/>
      <c r="O149" s="34" t="str">
        <f aca="false">IF(OR(N149="",H149=""),"",ROUND(N149-H149,2))</f>
        <v/>
      </c>
      <c r="P149" s="36" t="str">
        <f aca="false">IF(OR(A149="",D149&lt;&gt;"未售-海外仓预退（HWC-YT）"),"",IF(L149=0,"仍未销售：需要调整申报，全额缴回预退税",IF(L149&lt;N(E149),"部分已售：需要调整申报，全额冲减后按已售部分重报",IF(N149="","全部已售：填入实际应退税额后判断",IF(O149=0,"全部已售、无差异：无需调整申报","全部已售、有差异：需要调整申报")))))</f>
        <v/>
      </c>
      <c r="Q149" s="41"/>
      <c r="R149" s="44"/>
      <c r="S149" s="36" t="str">
        <f aca="false">IF(A149="","",IF(D149="","请选择申报方式",IF(D149&lt;&gt;"未售-海外仓预退（HWC-YT）","不涉及核算",IF(Q149&lt;&gt;"","已核算",IF(J149="","待税务办结",IF(K149&lt;0,"已逾期：税务将追回预退税",IF(K149&lt;=60,"临近截止（60天内）","待核算")))))))</f>
        <v/>
      </c>
      <c r="T149" s="30" t="str">
        <f aca="false">IF(ISNUMBER(C149),DATE(YEAR(C149)+1,4,30),"")</f>
        <v/>
      </c>
      <c r="U149" s="43"/>
    </row>
    <row r="150" customFormat="false" ht="21.75" hidden="false" customHeight="true" outlineLevel="0" collapsed="false">
      <c r="A150" s="44"/>
      <c r="B150" s="36" t="str">
        <f aca="false">IF(A150="","",IFERROR(INDEX(①出口报关!$I$4:$I$303,MATCH(A150,①出口报关!$A$4:$A$303,0)),"编号不存在"))</f>
        <v/>
      </c>
      <c r="C150" s="30" t="str">
        <f aca="false">IF(A150="","",IFERROR(IF(INDEX(①出口报关!$D$4:$D$303,MATCH(A150,①出口报关!$A$4:$A$303,0))=0,"",INDEX(①出口报关!$D$4:$D$303,MATCH(A150,①出口报关!$A$4:$A$303,0))),"编号不存在"))</f>
        <v/>
      </c>
      <c r="D150" s="43"/>
      <c r="E150" s="45"/>
      <c r="F150" s="41"/>
      <c r="G150" s="48"/>
      <c r="H150" s="46"/>
      <c r="I150" s="41"/>
      <c r="J150" s="30" t="str">
        <f aca="false">IF(AND(D150="未售-海外仓预退（HWC-YT）",ISNUMBER(I150)),DATE(YEAR(I150)+1,4,30),"")</f>
        <v/>
      </c>
      <c r="K150" s="51" t="str">
        <f aca="true">IF(J150="","",IF(Q150&lt;&gt;"","",J150-TODAY()))</f>
        <v/>
      </c>
      <c r="L150" s="31" t="str">
        <f aca="false">IF(OR(A150="",D150&lt;&gt;"未售-海外仓预退（HWC-YT）"),"",MIN(N(E150),MAX(0,SUMIFS(②销售核销!$I$4:$I$603,②销售核销!$E$4:$E$603,A150)-SUMIFS($E$4:$E$303,$A$4:$A$303,A150,$D$4:$D$303,"已售-按现行规定申报"))))</f>
        <v/>
      </c>
      <c r="M150" s="34" t="str">
        <f aca="false">IF(OR(L150="",N(E150)=0,H150=""),"",ROUND(H150/E150*L150,2))</f>
        <v/>
      </c>
      <c r="N150" s="46"/>
      <c r="O150" s="34" t="str">
        <f aca="false">IF(OR(N150="",H150=""),"",ROUND(N150-H150,2))</f>
        <v/>
      </c>
      <c r="P150" s="36" t="str">
        <f aca="false">IF(OR(A150="",D150&lt;&gt;"未售-海外仓预退（HWC-YT）"),"",IF(L150=0,"仍未销售：需要调整申报，全额缴回预退税",IF(L150&lt;N(E150),"部分已售：需要调整申报，全额冲减后按已售部分重报",IF(N150="","全部已售：填入实际应退税额后判断",IF(O150=0,"全部已售、无差异：无需调整申报","全部已售、有差异：需要调整申报")))))</f>
        <v/>
      </c>
      <c r="Q150" s="41"/>
      <c r="R150" s="44"/>
      <c r="S150" s="36" t="str">
        <f aca="false">IF(A150="","",IF(D150="","请选择申报方式",IF(D150&lt;&gt;"未售-海外仓预退（HWC-YT）","不涉及核算",IF(Q150&lt;&gt;"","已核算",IF(J150="","待税务办结",IF(K150&lt;0,"已逾期：税务将追回预退税",IF(K150&lt;=60,"临近截止（60天内）","待核算")))))))</f>
        <v/>
      </c>
      <c r="T150" s="30" t="str">
        <f aca="false">IF(ISNUMBER(C150),DATE(YEAR(C150)+1,4,30),"")</f>
        <v/>
      </c>
      <c r="U150" s="43"/>
    </row>
    <row r="151" customFormat="false" ht="21.75" hidden="false" customHeight="true" outlineLevel="0" collapsed="false">
      <c r="A151" s="44"/>
      <c r="B151" s="36" t="str">
        <f aca="false">IF(A151="","",IFERROR(INDEX(①出口报关!$I$4:$I$303,MATCH(A151,①出口报关!$A$4:$A$303,0)),"编号不存在"))</f>
        <v/>
      </c>
      <c r="C151" s="30" t="str">
        <f aca="false">IF(A151="","",IFERROR(IF(INDEX(①出口报关!$D$4:$D$303,MATCH(A151,①出口报关!$A$4:$A$303,0))=0,"",INDEX(①出口报关!$D$4:$D$303,MATCH(A151,①出口报关!$A$4:$A$303,0))),"编号不存在"))</f>
        <v/>
      </c>
      <c r="D151" s="43"/>
      <c r="E151" s="45"/>
      <c r="F151" s="41"/>
      <c r="G151" s="48"/>
      <c r="H151" s="46"/>
      <c r="I151" s="41"/>
      <c r="J151" s="30" t="str">
        <f aca="false">IF(AND(D151="未售-海外仓预退（HWC-YT）",ISNUMBER(I151)),DATE(YEAR(I151)+1,4,30),"")</f>
        <v/>
      </c>
      <c r="K151" s="51" t="str">
        <f aca="true">IF(J151="","",IF(Q151&lt;&gt;"","",J151-TODAY()))</f>
        <v/>
      </c>
      <c r="L151" s="31" t="str">
        <f aca="false">IF(OR(A151="",D151&lt;&gt;"未售-海外仓预退（HWC-YT）"),"",MIN(N(E151),MAX(0,SUMIFS(②销售核销!$I$4:$I$603,②销售核销!$E$4:$E$603,A151)-SUMIFS($E$4:$E$303,$A$4:$A$303,A151,$D$4:$D$303,"已售-按现行规定申报"))))</f>
        <v/>
      </c>
      <c r="M151" s="34" t="str">
        <f aca="false">IF(OR(L151="",N(E151)=0,H151=""),"",ROUND(H151/E151*L151,2))</f>
        <v/>
      </c>
      <c r="N151" s="46"/>
      <c r="O151" s="34" t="str">
        <f aca="false">IF(OR(N151="",H151=""),"",ROUND(N151-H151,2))</f>
        <v/>
      </c>
      <c r="P151" s="36" t="str">
        <f aca="false">IF(OR(A151="",D151&lt;&gt;"未售-海外仓预退（HWC-YT）"),"",IF(L151=0,"仍未销售：需要调整申报，全额缴回预退税",IF(L151&lt;N(E151),"部分已售：需要调整申报，全额冲减后按已售部分重报",IF(N151="","全部已售：填入实际应退税额后判断",IF(O151=0,"全部已售、无差异：无需调整申报","全部已售、有差异：需要调整申报")))))</f>
        <v/>
      </c>
      <c r="Q151" s="41"/>
      <c r="R151" s="44"/>
      <c r="S151" s="36" t="str">
        <f aca="false">IF(A151="","",IF(D151="","请选择申报方式",IF(D151&lt;&gt;"未售-海外仓预退（HWC-YT）","不涉及核算",IF(Q151&lt;&gt;"","已核算",IF(J151="","待税务办结",IF(K151&lt;0,"已逾期：税务将追回预退税",IF(K151&lt;=60,"临近截止（60天内）","待核算")))))))</f>
        <v/>
      </c>
      <c r="T151" s="30" t="str">
        <f aca="false">IF(ISNUMBER(C151),DATE(YEAR(C151)+1,4,30),"")</f>
        <v/>
      </c>
      <c r="U151" s="43"/>
    </row>
    <row r="152" customFormat="false" ht="21.75" hidden="false" customHeight="true" outlineLevel="0" collapsed="false">
      <c r="A152" s="44"/>
      <c r="B152" s="36" t="str">
        <f aca="false">IF(A152="","",IFERROR(INDEX(①出口报关!$I$4:$I$303,MATCH(A152,①出口报关!$A$4:$A$303,0)),"编号不存在"))</f>
        <v/>
      </c>
      <c r="C152" s="30" t="str">
        <f aca="false">IF(A152="","",IFERROR(IF(INDEX(①出口报关!$D$4:$D$303,MATCH(A152,①出口报关!$A$4:$A$303,0))=0,"",INDEX(①出口报关!$D$4:$D$303,MATCH(A152,①出口报关!$A$4:$A$303,0))),"编号不存在"))</f>
        <v/>
      </c>
      <c r="D152" s="43"/>
      <c r="E152" s="45"/>
      <c r="F152" s="41"/>
      <c r="G152" s="48"/>
      <c r="H152" s="46"/>
      <c r="I152" s="41"/>
      <c r="J152" s="30" t="str">
        <f aca="false">IF(AND(D152="未售-海外仓预退（HWC-YT）",ISNUMBER(I152)),DATE(YEAR(I152)+1,4,30),"")</f>
        <v/>
      </c>
      <c r="K152" s="51" t="str">
        <f aca="true">IF(J152="","",IF(Q152&lt;&gt;"","",J152-TODAY()))</f>
        <v/>
      </c>
      <c r="L152" s="31" t="str">
        <f aca="false">IF(OR(A152="",D152&lt;&gt;"未售-海外仓预退（HWC-YT）"),"",MIN(N(E152),MAX(0,SUMIFS(②销售核销!$I$4:$I$603,②销售核销!$E$4:$E$603,A152)-SUMIFS($E$4:$E$303,$A$4:$A$303,A152,$D$4:$D$303,"已售-按现行规定申报"))))</f>
        <v/>
      </c>
      <c r="M152" s="34" t="str">
        <f aca="false">IF(OR(L152="",N(E152)=0,H152=""),"",ROUND(H152/E152*L152,2))</f>
        <v/>
      </c>
      <c r="N152" s="46"/>
      <c r="O152" s="34" t="str">
        <f aca="false">IF(OR(N152="",H152=""),"",ROUND(N152-H152,2))</f>
        <v/>
      </c>
      <c r="P152" s="36" t="str">
        <f aca="false">IF(OR(A152="",D152&lt;&gt;"未售-海外仓预退（HWC-YT）"),"",IF(L152=0,"仍未销售：需要调整申报，全额缴回预退税",IF(L152&lt;N(E152),"部分已售：需要调整申报，全额冲减后按已售部分重报",IF(N152="","全部已售：填入实际应退税额后判断",IF(O152=0,"全部已售、无差异：无需调整申报","全部已售、有差异：需要调整申报")))))</f>
        <v/>
      </c>
      <c r="Q152" s="41"/>
      <c r="R152" s="44"/>
      <c r="S152" s="36" t="str">
        <f aca="false">IF(A152="","",IF(D152="","请选择申报方式",IF(D152&lt;&gt;"未售-海外仓预退（HWC-YT）","不涉及核算",IF(Q152&lt;&gt;"","已核算",IF(J152="","待税务办结",IF(K152&lt;0,"已逾期：税务将追回预退税",IF(K152&lt;=60,"临近截止（60天内）","待核算")))))))</f>
        <v/>
      </c>
      <c r="T152" s="30" t="str">
        <f aca="false">IF(ISNUMBER(C152),DATE(YEAR(C152)+1,4,30),"")</f>
        <v/>
      </c>
      <c r="U152" s="43"/>
    </row>
    <row r="153" customFormat="false" ht="21.75" hidden="false" customHeight="true" outlineLevel="0" collapsed="false">
      <c r="A153" s="44"/>
      <c r="B153" s="36" t="str">
        <f aca="false">IF(A153="","",IFERROR(INDEX(①出口报关!$I$4:$I$303,MATCH(A153,①出口报关!$A$4:$A$303,0)),"编号不存在"))</f>
        <v/>
      </c>
      <c r="C153" s="30" t="str">
        <f aca="false">IF(A153="","",IFERROR(IF(INDEX(①出口报关!$D$4:$D$303,MATCH(A153,①出口报关!$A$4:$A$303,0))=0,"",INDEX(①出口报关!$D$4:$D$303,MATCH(A153,①出口报关!$A$4:$A$303,0))),"编号不存在"))</f>
        <v/>
      </c>
      <c r="D153" s="43"/>
      <c r="E153" s="45"/>
      <c r="F153" s="41"/>
      <c r="G153" s="48"/>
      <c r="H153" s="46"/>
      <c r="I153" s="41"/>
      <c r="J153" s="30" t="str">
        <f aca="false">IF(AND(D153="未售-海外仓预退（HWC-YT）",ISNUMBER(I153)),DATE(YEAR(I153)+1,4,30),"")</f>
        <v/>
      </c>
      <c r="K153" s="51" t="str">
        <f aca="true">IF(J153="","",IF(Q153&lt;&gt;"","",J153-TODAY()))</f>
        <v/>
      </c>
      <c r="L153" s="31" t="str">
        <f aca="false">IF(OR(A153="",D153&lt;&gt;"未售-海外仓预退（HWC-YT）"),"",MIN(N(E153),MAX(0,SUMIFS(②销售核销!$I$4:$I$603,②销售核销!$E$4:$E$603,A153)-SUMIFS($E$4:$E$303,$A$4:$A$303,A153,$D$4:$D$303,"已售-按现行规定申报"))))</f>
        <v/>
      </c>
      <c r="M153" s="34" t="str">
        <f aca="false">IF(OR(L153="",N(E153)=0,H153=""),"",ROUND(H153/E153*L153,2))</f>
        <v/>
      </c>
      <c r="N153" s="46"/>
      <c r="O153" s="34" t="str">
        <f aca="false">IF(OR(N153="",H153=""),"",ROUND(N153-H153,2))</f>
        <v/>
      </c>
      <c r="P153" s="36" t="str">
        <f aca="false">IF(OR(A153="",D153&lt;&gt;"未售-海外仓预退（HWC-YT）"),"",IF(L153=0,"仍未销售：需要调整申报，全额缴回预退税",IF(L153&lt;N(E153),"部分已售：需要调整申报，全额冲减后按已售部分重报",IF(N153="","全部已售：填入实际应退税额后判断",IF(O153=0,"全部已售、无差异：无需调整申报","全部已售、有差异：需要调整申报")))))</f>
        <v/>
      </c>
      <c r="Q153" s="41"/>
      <c r="R153" s="44"/>
      <c r="S153" s="36" t="str">
        <f aca="false">IF(A153="","",IF(D153="","请选择申报方式",IF(D153&lt;&gt;"未售-海外仓预退（HWC-YT）","不涉及核算",IF(Q153&lt;&gt;"","已核算",IF(J153="","待税务办结",IF(K153&lt;0,"已逾期：税务将追回预退税",IF(K153&lt;=60,"临近截止（60天内）","待核算")))))))</f>
        <v/>
      </c>
      <c r="T153" s="30" t="str">
        <f aca="false">IF(ISNUMBER(C153),DATE(YEAR(C153)+1,4,30),"")</f>
        <v/>
      </c>
      <c r="U153" s="43"/>
    </row>
    <row r="154" customFormat="false" ht="21.75" hidden="false" customHeight="true" outlineLevel="0" collapsed="false">
      <c r="A154" s="44"/>
      <c r="B154" s="36" t="str">
        <f aca="false">IF(A154="","",IFERROR(INDEX(①出口报关!$I$4:$I$303,MATCH(A154,①出口报关!$A$4:$A$303,0)),"编号不存在"))</f>
        <v/>
      </c>
      <c r="C154" s="30" t="str">
        <f aca="false">IF(A154="","",IFERROR(IF(INDEX(①出口报关!$D$4:$D$303,MATCH(A154,①出口报关!$A$4:$A$303,0))=0,"",INDEX(①出口报关!$D$4:$D$303,MATCH(A154,①出口报关!$A$4:$A$303,0))),"编号不存在"))</f>
        <v/>
      </c>
      <c r="D154" s="43"/>
      <c r="E154" s="45"/>
      <c r="F154" s="41"/>
      <c r="G154" s="48"/>
      <c r="H154" s="46"/>
      <c r="I154" s="41"/>
      <c r="J154" s="30" t="str">
        <f aca="false">IF(AND(D154="未售-海外仓预退（HWC-YT）",ISNUMBER(I154)),DATE(YEAR(I154)+1,4,30),"")</f>
        <v/>
      </c>
      <c r="K154" s="51" t="str">
        <f aca="true">IF(J154="","",IF(Q154&lt;&gt;"","",J154-TODAY()))</f>
        <v/>
      </c>
      <c r="L154" s="31" t="str">
        <f aca="false">IF(OR(A154="",D154&lt;&gt;"未售-海外仓预退（HWC-YT）"),"",MIN(N(E154),MAX(0,SUMIFS(②销售核销!$I$4:$I$603,②销售核销!$E$4:$E$603,A154)-SUMIFS($E$4:$E$303,$A$4:$A$303,A154,$D$4:$D$303,"已售-按现行规定申报"))))</f>
        <v/>
      </c>
      <c r="M154" s="34" t="str">
        <f aca="false">IF(OR(L154="",N(E154)=0,H154=""),"",ROUND(H154/E154*L154,2))</f>
        <v/>
      </c>
      <c r="N154" s="46"/>
      <c r="O154" s="34" t="str">
        <f aca="false">IF(OR(N154="",H154=""),"",ROUND(N154-H154,2))</f>
        <v/>
      </c>
      <c r="P154" s="36" t="str">
        <f aca="false">IF(OR(A154="",D154&lt;&gt;"未售-海外仓预退（HWC-YT）"),"",IF(L154=0,"仍未销售：需要调整申报，全额缴回预退税",IF(L154&lt;N(E154),"部分已售：需要调整申报，全额冲减后按已售部分重报",IF(N154="","全部已售：填入实际应退税额后判断",IF(O154=0,"全部已售、无差异：无需调整申报","全部已售、有差异：需要调整申报")))))</f>
        <v/>
      </c>
      <c r="Q154" s="41"/>
      <c r="R154" s="44"/>
      <c r="S154" s="36" t="str">
        <f aca="false">IF(A154="","",IF(D154="","请选择申报方式",IF(D154&lt;&gt;"未售-海外仓预退（HWC-YT）","不涉及核算",IF(Q154&lt;&gt;"","已核算",IF(J154="","待税务办结",IF(K154&lt;0,"已逾期：税务将追回预退税",IF(K154&lt;=60,"临近截止（60天内）","待核算")))))))</f>
        <v/>
      </c>
      <c r="T154" s="30" t="str">
        <f aca="false">IF(ISNUMBER(C154),DATE(YEAR(C154)+1,4,30),"")</f>
        <v/>
      </c>
      <c r="U154" s="43"/>
    </row>
    <row r="155" customFormat="false" ht="21.75" hidden="false" customHeight="true" outlineLevel="0" collapsed="false">
      <c r="A155" s="44"/>
      <c r="B155" s="36" t="str">
        <f aca="false">IF(A155="","",IFERROR(INDEX(①出口报关!$I$4:$I$303,MATCH(A155,①出口报关!$A$4:$A$303,0)),"编号不存在"))</f>
        <v/>
      </c>
      <c r="C155" s="30" t="str">
        <f aca="false">IF(A155="","",IFERROR(IF(INDEX(①出口报关!$D$4:$D$303,MATCH(A155,①出口报关!$A$4:$A$303,0))=0,"",INDEX(①出口报关!$D$4:$D$303,MATCH(A155,①出口报关!$A$4:$A$303,0))),"编号不存在"))</f>
        <v/>
      </c>
      <c r="D155" s="43"/>
      <c r="E155" s="45"/>
      <c r="F155" s="41"/>
      <c r="G155" s="48"/>
      <c r="H155" s="46"/>
      <c r="I155" s="41"/>
      <c r="J155" s="30" t="str">
        <f aca="false">IF(AND(D155="未售-海外仓预退（HWC-YT）",ISNUMBER(I155)),DATE(YEAR(I155)+1,4,30),"")</f>
        <v/>
      </c>
      <c r="K155" s="51" t="str">
        <f aca="true">IF(J155="","",IF(Q155&lt;&gt;"","",J155-TODAY()))</f>
        <v/>
      </c>
      <c r="L155" s="31" t="str">
        <f aca="false">IF(OR(A155="",D155&lt;&gt;"未售-海外仓预退（HWC-YT）"),"",MIN(N(E155),MAX(0,SUMIFS(②销售核销!$I$4:$I$603,②销售核销!$E$4:$E$603,A155)-SUMIFS($E$4:$E$303,$A$4:$A$303,A155,$D$4:$D$303,"已售-按现行规定申报"))))</f>
        <v/>
      </c>
      <c r="M155" s="34" t="str">
        <f aca="false">IF(OR(L155="",N(E155)=0,H155=""),"",ROUND(H155/E155*L155,2))</f>
        <v/>
      </c>
      <c r="N155" s="46"/>
      <c r="O155" s="34" t="str">
        <f aca="false">IF(OR(N155="",H155=""),"",ROUND(N155-H155,2))</f>
        <v/>
      </c>
      <c r="P155" s="36" t="str">
        <f aca="false">IF(OR(A155="",D155&lt;&gt;"未售-海外仓预退（HWC-YT）"),"",IF(L155=0,"仍未销售：需要调整申报，全额缴回预退税",IF(L155&lt;N(E155),"部分已售：需要调整申报，全额冲减后按已售部分重报",IF(N155="","全部已售：填入实际应退税额后判断",IF(O155=0,"全部已售、无差异：无需调整申报","全部已售、有差异：需要调整申报")))))</f>
        <v/>
      </c>
      <c r="Q155" s="41"/>
      <c r="R155" s="44"/>
      <c r="S155" s="36" t="str">
        <f aca="false">IF(A155="","",IF(D155="","请选择申报方式",IF(D155&lt;&gt;"未售-海外仓预退（HWC-YT）","不涉及核算",IF(Q155&lt;&gt;"","已核算",IF(J155="","待税务办结",IF(K155&lt;0,"已逾期：税务将追回预退税",IF(K155&lt;=60,"临近截止（60天内）","待核算")))))))</f>
        <v/>
      </c>
      <c r="T155" s="30" t="str">
        <f aca="false">IF(ISNUMBER(C155),DATE(YEAR(C155)+1,4,30),"")</f>
        <v/>
      </c>
      <c r="U155" s="43"/>
    </row>
    <row r="156" customFormat="false" ht="21.75" hidden="false" customHeight="true" outlineLevel="0" collapsed="false">
      <c r="A156" s="44"/>
      <c r="B156" s="36" t="str">
        <f aca="false">IF(A156="","",IFERROR(INDEX(①出口报关!$I$4:$I$303,MATCH(A156,①出口报关!$A$4:$A$303,0)),"编号不存在"))</f>
        <v/>
      </c>
      <c r="C156" s="30" t="str">
        <f aca="false">IF(A156="","",IFERROR(IF(INDEX(①出口报关!$D$4:$D$303,MATCH(A156,①出口报关!$A$4:$A$303,0))=0,"",INDEX(①出口报关!$D$4:$D$303,MATCH(A156,①出口报关!$A$4:$A$303,0))),"编号不存在"))</f>
        <v/>
      </c>
      <c r="D156" s="43"/>
      <c r="E156" s="45"/>
      <c r="F156" s="41"/>
      <c r="G156" s="48"/>
      <c r="H156" s="46"/>
      <c r="I156" s="41"/>
      <c r="J156" s="30" t="str">
        <f aca="false">IF(AND(D156="未售-海外仓预退（HWC-YT）",ISNUMBER(I156)),DATE(YEAR(I156)+1,4,30),"")</f>
        <v/>
      </c>
      <c r="K156" s="51" t="str">
        <f aca="true">IF(J156="","",IF(Q156&lt;&gt;"","",J156-TODAY()))</f>
        <v/>
      </c>
      <c r="L156" s="31" t="str">
        <f aca="false">IF(OR(A156="",D156&lt;&gt;"未售-海外仓预退（HWC-YT）"),"",MIN(N(E156),MAX(0,SUMIFS(②销售核销!$I$4:$I$603,②销售核销!$E$4:$E$603,A156)-SUMIFS($E$4:$E$303,$A$4:$A$303,A156,$D$4:$D$303,"已售-按现行规定申报"))))</f>
        <v/>
      </c>
      <c r="M156" s="34" t="str">
        <f aca="false">IF(OR(L156="",N(E156)=0,H156=""),"",ROUND(H156/E156*L156,2))</f>
        <v/>
      </c>
      <c r="N156" s="46"/>
      <c r="O156" s="34" t="str">
        <f aca="false">IF(OR(N156="",H156=""),"",ROUND(N156-H156,2))</f>
        <v/>
      </c>
      <c r="P156" s="36" t="str">
        <f aca="false">IF(OR(A156="",D156&lt;&gt;"未售-海外仓预退（HWC-YT）"),"",IF(L156=0,"仍未销售：需要调整申报，全额缴回预退税",IF(L156&lt;N(E156),"部分已售：需要调整申报，全额冲减后按已售部分重报",IF(N156="","全部已售：填入实际应退税额后判断",IF(O156=0,"全部已售、无差异：无需调整申报","全部已售、有差异：需要调整申报")))))</f>
        <v/>
      </c>
      <c r="Q156" s="41"/>
      <c r="R156" s="44"/>
      <c r="S156" s="36" t="str">
        <f aca="false">IF(A156="","",IF(D156="","请选择申报方式",IF(D156&lt;&gt;"未售-海外仓预退（HWC-YT）","不涉及核算",IF(Q156&lt;&gt;"","已核算",IF(J156="","待税务办结",IF(K156&lt;0,"已逾期：税务将追回预退税",IF(K156&lt;=60,"临近截止（60天内）","待核算")))))))</f>
        <v/>
      </c>
      <c r="T156" s="30" t="str">
        <f aca="false">IF(ISNUMBER(C156),DATE(YEAR(C156)+1,4,30),"")</f>
        <v/>
      </c>
      <c r="U156" s="43"/>
    </row>
    <row r="157" customFormat="false" ht="21.75" hidden="false" customHeight="true" outlineLevel="0" collapsed="false">
      <c r="A157" s="44"/>
      <c r="B157" s="36" t="str">
        <f aca="false">IF(A157="","",IFERROR(INDEX(①出口报关!$I$4:$I$303,MATCH(A157,①出口报关!$A$4:$A$303,0)),"编号不存在"))</f>
        <v/>
      </c>
      <c r="C157" s="30" t="str">
        <f aca="false">IF(A157="","",IFERROR(IF(INDEX(①出口报关!$D$4:$D$303,MATCH(A157,①出口报关!$A$4:$A$303,0))=0,"",INDEX(①出口报关!$D$4:$D$303,MATCH(A157,①出口报关!$A$4:$A$303,0))),"编号不存在"))</f>
        <v/>
      </c>
      <c r="D157" s="43"/>
      <c r="E157" s="45"/>
      <c r="F157" s="41"/>
      <c r="G157" s="48"/>
      <c r="H157" s="46"/>
      <c r="I157" s="41"/>
      <c r="J157" s="30" t="str">
        <f aca="false">IF(AND(D157="未售-海外仓预退（HWC-YT）",ISNUMBER(I157)),DATE(YEAR(I157)+1,4,30),"")</f>
        <v/>
      </c>
      <c r="K157" s="51" t="str">
        <f aca="true">IF(J157="","",IF(Q157&lt;&gt;"","",J157-TODAY()))</f>
        <v/>
      </c>
      <c r="L157" s="31" t="str">
        <f aca="false">IF(OR(A157="",D157&lt;&gt;"未售-海外仓预退（HWC-YT）"),"",MIN(N(E157),MAX(0,SUMIFS(②销售核销!$I$4:$I$603,②销售核销!$E$4:$E$603,A157)-SUMIFS($E$4:$E$303,$A$4:$A$303,A157,$D$4:$D$303,"已售-按现行规定申报"))))</f>
        <v/>
      </c>
      <c r="M157" s="34" t="str">
        <f aca="false">IF(OR(L157="",N(E157)=0,H157=""),"",ROUND(H157/E157*L157,2))</f>
        <v/>
      </c>
      <c r="N157" s="46"/>
      <c r="O157" s="34" t="str">
        <f aca="false">IF(OR(N157="",H157=""),"",ROUND(N157-H157,2))</f>
        <v/>
      </c>
      <c r="P157" s="36" t="str">
        <f aca="false">IF(OR(A157="",D157&lt;&gt;"未售-海外仓预退（HWC-YT）"),"",IF(L157=0,"仍未销售：需要调整申报，全额缴回预退税",IF(L157&lt;N(E157),"部分已售：需要调整申报，全额冲减后按已售部分重报",IF(N157="","全部已售：填入实际应退税额后判断",IF(O157=0,"全部已售、无差异：无需调整申报","全部已售、有差异：需要调整申报")))))</f>
        <v/>
      </c>
      <c r="Q157" s="41"/>
      <c r="R157" s="44"/>
      <c r="S157" s="36" t="str">
        <f aca="false">IF(A157="","",IF(D157="","请选择申报方式",IF(D157&lt;&gt;"未售-海外仓预退（HWC-YT）","不涉及核算",IF(Q157&lt;&gt;"","已核算",IF(J157="","待税务办结",IF(K157&lt;0,"已逾期：税务将追回预退税",IF(K157&lt;=60,"临近截止（60天内）","待核算")))))))</f>
        <v/>
      </c>
      <c r="T157" s="30" t="str">
        <f aca="false">IF(ISNUMBER(C157),DATE(YEAR(C157)+1,4,30),"")</f>
        <v/>
      </c>
      <c r="U157" s="43"/>
    </row>
    <row r="158" customFormat="false" ht="21.75" hidden="false" customHeight="true" outlineLevel="0" collapsed="false">
      <c r="A158" s="44"/>
      <c r="B158" s="36" t="str">
        <f aca="false">IF(A158="","",IFERROR(INDEX(①出口报关!$I$4:$I$303,MATCH(A158,①出口报关!$A$4:$A$303,0)),"编号不存在"))</f>
        <v/>
      </c>
      <c r="C158" s="30" t="str">
        <f aca="false">IF(A158="","",IFERROR(IF(INDEX(①出口报关!$D$4:$D$303,MATCH(A158,①出口报关!$A$4:$A$303,0))=0,"",INDEX(①出口报关!$D$4:$D$303,MATCH(A158,①出口报关!$A$4:$A$303,0))),"编号不存在"))</f>
        <v/>
      </c>
      <c r="D158" s="43"/>
      <c r="E158" s="45"/>
      <c r="F158" s="41"/>
      <c r="G158" s="48"/>
      <c r="H158" s="46"/>
      <c r="I158" s="41"/>
      <c r="J158" s="30" t="str">
        <f aca="false">IF(AND(D158="未售-海外仓预退（HWC-YT）",ISNUMBER(I158)),DATE(YEAR(I158)+1,4,30),"")</f>
        <v/>
      </c>
      <c r="K158" s="51" t="str">
        <f aca="true">IF(J158="","",IF(Q158&lt;&gt;"","",J158-TODAY()))</f>
        <v/>
      </c>
      <c r="L158" s="31" t="str">
        <f aca="false">IF(OR(A158="",D158&lt;&gt;"未售-海外仓预退（HWC-YT）"),"",MIN(N(E158),MAX(0,SUMIFS(②销售核销!$I$4:$I$603,②销售核销!$E$4:$E$603,A158)-SUMIFS($E$4:$E$303,$A$4:$A$303,A158,$D$4:$D$303,"已售-按现行规定申报"))))</f>
        <v/>
      </c>
      <c r="M158" s="34" t="str">
        <f aca="false">IF(OR(L158="",N(E158)=0,H158=""),"",ROUND(H158/E158*L158,2))</f>
        <v/>
      </c>
      <c r="N158" s="46"/>
      <c r="O158" s="34" t="str">
        <f aca="false">IF(OR(N158="",H158=""),"",ROUND(N158-H158,2))</f>
        <v/>
      </c>
      <c r="P158" s="36" t="str">
        <f aca="false">IF(OR(A158="",D158&lt;&gt;"未售-海外仓预退（HWC-YT）"),"",IF(L158=0,"仍未销售：需要调整申报，全额缴回预退税",IF(L158&lt;N(E158),"部分已售：需要调整申报，全额冲减后按已售部分重报",IF(N158="","全部已售：填入实际应退税额后判断",IF(O158=0,"全部已售、无差异：无需调整申报","全部已售、有差异：需要调整申报")))))</f>
        <v/>
      </c>
      <c r="Q158" s="41"/>
      <c r="R158" s="44"/>
      <c r="S158" s="36" t="str">
        <f aca="false">IF(A158="","",IF(D158="","请选择申报方式",IF(D158&lt;&gt;"未售-海外仓预退（HWC-YT）","不涉及核算",IF(Q158&lt;&gt;"","已核算",IF(J158="","待税务办结",IF(K158&lt;0,"已逾期：税务将追回预退税",IF(K158&lt;=60,"临近截止（60天内）","待核算")))))))</f>
        <v/>
      </c>
      <c r="T158" s="30" t="str">
        <f aca="false">IF(ISNUMBER(C158),DATE(YEAR(C158)+1,4,30),"")</f>
        <v/>
      </c>
      <c r="U158" s="43"/>
    </row>
    <row r="159" customFormat="false" ht="21.75" hidden="false" customHeight="true" outlineLevel="0" collapsed="false">
      <c r="A159" s="44"/>
      <c r="B159" s="36" t="str">
        <f aca="false">IF(A159="","",IFERROR(INDEX(①出口报关!$I$4:$I$303,MATCH(A159,①出口报关!$A$4:$A$303,0)),"编号不存在"))</f>
        <v/>
      </c>
      <c r="C159" s="30" t="str">
        <f aca="false">IF(A159="","",IFERROR(IF(INDEX(①出口报关!$D$4:$D$303,MATCH(A159,①出口报关!$A$4:$A$303,0))=0,"",INDEX(①出口报关!$D$4:$D$303,MATCH(A159,①出口报关!$A$4:$A$303,0))),"编号不存在"))</f>
        <v/>
      </c>
      <c r="D159" s="43"/>
      <c r="E159" s="45"/>
      <c r="F159" s="41"/>
      <c r="G159" s="48"/>
      <c r="H159" s="46"/>
      <c r="I159" s="41"/>
      <c r="J159" s="30" t="str">
        <f aca="false">IF(AND(D159="未售-海外仓预退（HWC-YT）",ISNUMBER(I159)),DATE(YEAR(I159)+1,4,30),"")</f>
        <v/>
      </c>
      <c r="K159" s="51" t="str">
        <f aca="true">IF(J159="","",IF(Q159&lt;&gt;"","",J159-TODAY()))</f>
        <v/>
      </c>
      <c r="L159" s="31" t="str">
        <f aca="false">IF(OR(A159="",D159&lt;&gt;"未售-海外仓预退（HWC-YT）"),"",MIN(N(E159),MAX(0,SUMIFS(②销售核销!$I$4:$I$603,②销售核销!$E$4:$E$603,A159)-SUMIFS($E$4:$E$303,$A$4:$A$303,A159,$D$4:$D$303,"已售-按现行规定申报"))))</f>
        <v/>
      </c>
      <c r="M159" s="34" t="str">
        <f aca="false">IF(OR(L159="",N(E159)=0,H159=""),"",ROUND(H159/E159*L159,2))</f>
        <v/>
      </c>
      <c r="N159" s="46"/>
      <c r="O159" s="34" t="str">
        <f aca="false">IF(OR(N159="",H159=""),"",ROUND(N159-H159,2))</f>
        <v/>
      </c>
      <c r="P159" s="36" t="str">
        <f aca="false">IF(OR(A159="",D159&lt;&gt;"未售-海外仓预退（HWC-YT）"),"",IF(L159=0,"仍未销售：需要调整申报，全额缴回预退税",IF(L159&lt;N(E159),"部分已售：需要调整申报，全额冲减后按已售部分重报",IF(N159="","全部已售：填入实际应退税额后判断",IF(O159=0,"全部已售、无差异：无需调整申报","全部已售、有差异：需要调整申报")))))</f>
        <v/>
      </c>
      <c r="Q159" s="41"/>
      <c r="R159" s="44"/>
      <c r="S159" s="36" t="str">
        <f aca="false">IF(A159="","",IF(D159="","请选择申报方式",IF(D159&lt;&gt;"未售-海外仓预退（HWC-YT）","不涉及核算",IF(Q159&lt;&gt;"","已核算",IF(J159="","待税务办结",IF(K159&lt;0,"已逾期：税务将追回预退税",IF(K159&lt;=60,"临近截止（60天内）","待核算")))))))</f>
        <v/>
      </c>
      <c r="T159" s="30" t="str">
        <f aca="false">IF(ISNUMBER(C159),DATE(YEAR(C159)+1,4,30),"")</f>
        <v/>
      </c>
      <c r="U159" s="43"/>
    </row>
    <row r="160" customFormat="false" ht="21.75" hidden="false" customHeight="true" outlineLevel="0" collapsed="false">
      <c r="A160" s="44"/>
      <c r="B160" s="36" t="str">
        <f aca="false">IF(A160="","",IFERROR(INDEX(①出口报关!$I$4:$I$303,MATCH(A160,①出口报关!$A$4:$A$303,0)),"编号不存在"))</f>
        <v/>
      </c>
      <c r="C160" s="30" t="str">
        <f aca="false">IF(A160="","",IFERROR(IF(INDEX(①出口报关!$D$4:$D$303,MATCH(A160,①出口报关!$A$4:$A$303,0))=0,"",INDEX(①出口报关!$D$4:$D$303,MATCH(A160,①出口报关!$A$4:$A$303,0))),"编号不存在"))</f>
        <v/>
      </c>
      <c r="D160" s="43"/>
      <c r="E160" s="45"/>
      <c r="F160" s="41"/>
      <c r="G160" s="48"/>
      <c r="H160" s="46"/>
      <c r="I160" s="41"/>
      <c r="J160" s="30" t="str">
        <f aca="false">IF(AND(D160="未售-海外仓预退（HWC-YT）",ISNUMBER(I160)),DATE(YEAR(I160)+1,4,30),"")</f>
        <v/>
      </c>
      <c r="K160" s="51" t="str">
        <f aca="true">IF(J160="","",IF(Q160&lt;&gt;"","",J160-TODAY()))</f>
        <v/>
      </c>
      <c r="L160" s="31" t="str">
        <f aca="false">IF(OR(A160="",D160&lt;&gt;"未售-海外仓预退（HWC-YT）"),"",MIN(N(E160),MAX(0,SUMIFS(②销售核销!$I$4:$I$603,②销售核销!$E$4:$E$603,A160)-SUMIFS($E$4:$E$303,$A$4:$A$303,A160,$D$4:$D$303,"已售-按现行规定申报"))))</f>
        <v/>
      </c>
      <c r="M160" s="34" t="str">
        <f aca="false">IF(OR(L160="",N(E160)=0,H160=""),"",ROUND(H160/E160*L160,2))</f>
        <v/>
      </c>
      <c r="N160" s="46"/>
      <c r="O160" s="34" t="str">
        <f aca="false">IF(OR(N160="",H160=""),"",ROUND(N160-H160,2))</f>
        <v/>
      </c>
      <c r="P160" s="36" t="str">
        <f aca="false">IF(OR(A160="",D160&lt;&gt;"未售-海外仓预退（HWC-YT）"),"",IF(L160=0,"仍未销售：需要调整申报，全额缴回预退税",IF(L160&lt;N(E160),"部分已售：需要调整申报，全额冲减后按已售部分重报",IF(N160="","全部已售：填入实际应退税额后判断",IF(O160=0,"全部已售、无差异：无需调整申报","全部已售、有差异：需要调整申报")))))</f>
        <v/>
      </c>
      <c r="Q160" s="41"/>
      <c r="R160" s="44"/>
      <c r="S160" s="36" t="str">
        <f aca="false">IF(A160="","",IF(D160="","请选择申报方式",IF(D160&lt;&gt;"未售-海外仓预退（HWC-YT）","不涉及核算",IF(Q160&lt;&gt;"","已核算",IF(J160="","待税务办结",IF(K160&lt;0,"已逾期：税务将追回预退税",IF(K160&lt;=60,"临近截止（60天内）","待核算")))))))</f>
        <v/>
      </c>
      <c r="T160" s="30" t="str">
        <f aca="false">IF(ISNUMBER(C160),DATE(YEAR(C160)+1,4,30),"")</f>
        <v/>
      </c>
      <c r="U160" s="43"/>
    </row>
    <row r="161" customFormat="false" ht="21.75" hidden="false" customHeight="true" outlineLevel="0" collapsed="false">
      <c r="A161" s="44"/>
      <c r="B161" s="36" t="str">
        <f aca="false">IF(A161="","",IFERROR(INDEX(①出口报关!$I$4:$I$303,MATCH(A161,①出口报关!$A$4:$A$303,0)),"编号不存在"))</f>
        <v/>
      </c>
      <c r="C161" s="30" t="str">
        <f aca="false">IF(A161="","",IFERROR(IF(INDEX(①出口报关!$D$4:$D$303,MATCH(A161,①出口报关!$A$4:$A$303,0))=0,"",INDEX(①出口报关!$D$4:$D$303,MATCH(A161,①出口报关!$A$4:$A$303,0))),"编号不存在"))</f>
        <v/>
      </c>
      <c r="D161" s="43"/>
      <c r="E161" s="45"/>
      <c r="F161" s="41"/>
      <c r="G161" s="48"/>
      <c r="H161" s="46"/>
      <c r="I161" s="41"/>
      <c r="J161" s="30" t="str">
        <f aca="false">IF(AND(D161="未售-海外仓预退（HWC-YT）",ISNUMBER(I161)),DATE(YEAR(I161)+1,4,30),"")</f>
        <v/>
      </c>
      <c r="K161" s="51" t="str">
        <f aca="true">IF(J161="","",IF(Q161&lt;&gt;"","",J161-TODAY()))</f>
        <v/>
      </c>
      <c r="L161" s="31" t="str">
        <f aca="false">IF(OR(A161="",D161&lt;&gt;"未售-海外仓预退（HWC-YT）"),"",MIN(N(E161),MAX(0,SUMIFS(②销售核销!$I$4:$I$603,②销售核销!$E$4:$E$603,A161)-SUMIFS($E$4:$E$303,$A$4:$A$303,A161,$D$4:$D$303,"已售-按现行规定申报"))))</f>
        <v/>
      </c>
      <c r="M161" s="34" t="str">
        <f aca="false">IF(OR(L161="",N(E161)=0,H161=""),"",ROUND(H161/E161*L161,2))</f>
        <v/>
      </c>
      <c r="N161" s="46"/>
      <c r="O161" s="34" t="str">
        <f aca="false">IF(OR(N161="",H161=""),"",ROUND(N161-H161,2))</f>
        <v/>
      </c>
      <c r="P161" s="36" t="str">
        <f aca="false">IF(OR(A161="",D161&lt;&gt;"未售-海外仓预退（HWC-YT）"),"",IF(L161=0,"仍未销售：需要调整申报，全额缴回预退税",IF(L161&lt;N(E161),"部分已售：需要调整申报，全额冲减后按已售部分重报",IF(N161="","全部已售：填入实际应退税额后判断",IF(O161=0,"全部已售、无差异：无需调整申报","全部已售、有差异：需要调整申报")))))</f>
        <v/>
      </c>
      <c r="Q161" s="41"/>
      <c r="R161" s="44"/>
      <c r="S161" s="36" t="str">
        <f aca="false">IF(A161="","",IF(D161="","请选择申报方式",IF(D161&lt;&gt;"未售-海外仓预退（HWC-YT）","不涉及核算",IF(Q161&lt;&gt;"","已核算",IF(J161="","待税务办结",IF(K161&lt;0,"已逾期：税务将追回预退税",IF(K161&lt;=60,"临近截止（60天内）","待核算")))))))</f>
        <v/>
      </c>
      <c r="T161" s="30" t="str">
        <f aca="false">IF(ISNUMBER(C161),DATE(YEAR(C161)+1,4,30),"")</f>
        <v/>
      </c>
      <c r="U161" s="43"/>
    </row>
    <row r="162" customFormat="false" ht="21.75" hidden="false" customHeight="true" outlineLevel="0" collapsed="false">
      <c r="A162" s="44"/>
      <c r="B162" s="36" t="str">
        <f aca="false">IF(A162="","",IFERROR(INDEX(①出口报关!$I$4:$I$303,MATCH(A162,①出口报关!$A$4:$A$303,0)),"编号不存在"))</f>
        <v/>
      </c>
      <c r="C162" s="30" t="str">
        <f aca="false">IF(A162="","",IFERROR(IF(INDEX(①出口报关!$D$4:$D$303,MATCH(A162,①出口报关!$A$4:$A$303,0))=0,"",INDEX(①出口报关!$D$4:$D$303,MATCH(A162,①出口报关!$A$4:$A$303,0))),"编号不存在"))</f>
        <v/>
      </c>
      <c r="D162" s="43"/>
      <c r="E162" s="45"/>
      <c r="F162" s="41"/>
      <c r="G162" s="48"/>
      <c r="H162" s="46"/>
      <c r="I162" s="41"/>
      <c r="J162" s="30" t="str">
        <f aca="false">IF(AND(D162="未售-海外仓预退（HWC-YT）",ISNUMBER(I162)),DATE(YEAR(I162)+1,4,30),"")</f>
        <v/>
      </c>
      <c r="K162" s="51" t="str">
        <f aca="true">IF(J162="","",IF(Q162&lt;&gt;"","",J162-TODAY()))</f>
        <v/>
      </c>
      <c r="L162" s="31" t="str">
        <f aca="false">IF(OR(A162="",D162&lt;&gt;"未售-海外仓预退（HWC-YT）"),"",MIN(N(E162),MAX(0,SUMIFS(②销售核销!$I$4:$I$603,②销售核销!$E$4:$E$603,A162)-SUMIFS($E$4:$E$303,$A$4:$A$303,A162,$D$4:$D$303,"已售-按现行规定申报"))))</f>
        <v/>
      </c>
      <c r="M162" s="34" t="str">
        <f aca="false">IF(OR(L162="",N(E162)=0,H162=""),"",ROUND(H162/E162*L162,2))</f>
        <v/>
      </c>
      <c r="N162" s="46"/>
      <c r="O162" s="34" t="str">
        <f aca="false">IF(OR(N162="",H162=""),"",ROUND(N162-H162,2))</f>
        <v/>
      </c>
      <c r="P162" s="36" t="str">
        <f aca="false">IF(OR(A162="",D162&lt;&gt;"未售-海外仓预退（HWC-YT）"),"",IF(L162=0,"仍未销售：需要调整申报，全额缴回预退税",IF(L162&lt;N(E162),"部分已售：需要调整申报，全额冲减后按已售部分重报",IF(N162="","全部已售：填入实际应退税额后判断",IF(O162=0,"全部已售、无差异：无需调整申报","全部已售、有差异：需要调整申报")))))</f>
        <v/>
      </c>
      <c r="Q162" s="41"/>
      <c r="R162" s="44"/>
      <c r="S162" s="36" t="str">
        <f aca="false">IF(A162="","",IF(D162="","请选择申报方式",IF(D162&lt;&gt;"未售-海外仓预退（HWC-YT）","不涉及核算",IF(Q162&lt;&gt;"","已核算",IF(J162="","待税务办结",IF(K162&lt;0,"已逾期：税务将追回预退税",IF(K162&lt;=60,"临近截止（60天内）","待核算")))))))</f>
        <v/>
      </c>
      <c r="T162" s="30" t="str">
        <f aca="false">IF(ISNUMBER(C162),DATE(YEAR(C162)+1,4,30),"")</f>
        <v/>
      </c>
      <c r="U162" s="43"/>
    </row>
    <row r="163" customFormat="false" ht="21.75" hidden="false" customHeight="true" outlineLevel="0" collapsed="false">
      <c r="A163" s="44"/>
      <c r="B163" s="36" t="str">
        <f aca="false">IF(A163="","",IFERROR(INDEX(①出口报关!$I$4:$I$303,MATCH(A163,①出口报关!$A$4:$A$303,0)),"编号不存在"))</f>
        <v/>
      </c>
      <c r="C163" s="30" t="str">
        <f aca="false">IF(A163="","",IFERROR(IF(INDEX(①出口报关!$D$4:$D$303,MATCH(A163,①出口报关!$A$4:$A$303,0))=0,"",INDEX(①出口报关!$D$4:$D$303,MATCH(A163,①出口报关!$A$4:$A$303,0))),"编号不存在"))</f>
        <v/>
      </c>
      <c r="D163" s="43"/>
      <c r="E163" s="45"/>
      <c r="F163" s="41"/>
      <c r="G163" s="48"/>
      <c r="H163" s="46"/>
      <c r="I163" s="41"/>
      <c r="J163" s="30" t="str">
        <f aca="false">IF(AND(D163="未售-海外仓预退（HWC-YT）",ISNUMBER(I163)),DATE(YEAR(I163)+1,4,30),"")</f>
        <v/>
      </c>
      <c r="K163" s="51" t="str">
        <f aca="true">IF(J163="","",IF(Q163&lt;&gt;"","",J163-TODAY()))</f>
        <v/>
      </c>
      <c r="L163" s="31" t="str">
        <f aca="false">IF(OR(A163="",D163&lt;&gt;"未售-海外仓预退（HWC-YT）"),"",MIN(N(E163),MAX(0,SUMIFS(②销售核销!$I$4:$I$603,②销售核销!$E$4:$E$603,A163)-SUMIFS($E$4:$E$303,$A$4:$A$303,A163,$D$4:$D$303,"已售-按现行规定申报"))))</f>
        <v/>
      </c>
      <c r="M163" s="34" t="str">
        <f aca="false">IF(OR(L163="",N(E163)=0,H163=""),"",ROUND(H163/E163*L163,2))</f>
        <v/>
      </c>
      <c r="N163" s="46"/>
      <c r="O163" s="34" t="str">
        <f aca="false">IF(OR(N163="",H163=""),"",ROUND(N163-H163,2))</f>
        <v/>
      </c>
      <c r="P163" s="36" t="str">
        <f aca="false">IF(OR(A163="",D163&lt;&gt;"未售-海外仓预退（HWC-YT）"),"",IF(L163=0,"仍未销售：需要调整申报，全额缴回预退税",IF(L163&lt;N(E163),"部分已售：需要调整申报，全额冲减后按已售部分重报",IF(N163="","全部已售：填入实际应退税额后判断",IF(O163=0,"全部已售、无差异：无需调整申报","全部已售、有差异：需要调整申报")))))</f>
        <v/>
      </c>
      <c r="Q163" s="41"/>
      <c r="R163" s="44"/>
      <c r="S163" s="36" t="str">
        <f aca="false">IF(A163="","",IF(D163="","请选择申报方式",IF(D163&lt;&gt;"未售-海外仓预退（HWC-YT）","不涉及核算",IF(Q163&lt;&gt;"","已核算",IF(J163="","待税务办结",IF(K163&lt;0,"已逾期：税务将追回预退税",IF(K163&lt;=60,"临近截止（60天内）","待核算")))))))</f>
        <v/>
      </c>
      <c r="T163" s="30" t="str">
        <f aca="false">IF(ISNUMBER(C163),DATE(YEAR(C163)+1,4,30),"")</f>
        <v/>
      </c>
      <c r="U163" s="43"/>
    </row>
    <row r="164" customFormat="false" ht="21.75" hidden="false" customHeight="true" outlineLevel="0" collapsed="false">
      <c r="A164" s="44"/>
      <c r="B164" s="36" t="str">
        <f aca="false">IF(A164="","",IFERROR(INDEX(①出口报关!$I$4:$I$303,MATCH(A164,①出口报关!$A$4:$A$303,0)),"编号不存在"))</f>
        <v/>
      </c>
      <c r="C164" s="30" t="str">
        <f aca="false">IF(A164="","",IFERROR(IF(INDEX(①出口报关!$D$4:$D$303,MATCH(A164,①出口报关!$A$4:$A$303,0))=0,"",INDEX(①出口报关!$D$4:$D$303,MATCH(A164,①出口报关!$A$4:$A$303,0))),"编号不存在"))</f>
        <v/>
      </c>
      <c r="D164" s="43"/>
      <c r="E164" s="45"/>
      <c r="F164" s="41"/>
      <c r="G164" s="48"/>
      <c r="H164" s="46"/>
      <c r="I164" s="41"/>
      <c r="J164" s="30" t="str">
        <f aca="false">IF(AND(D164="未售-海外仓预退（HWC-YT）",ISNUMBER(I164)),DATE(YEAR(I164)+1,4,30),"")</f>
        <v/>
      </c>
      <c r="K164" s="51" t="str">
        <f aca="true">IF(J164="","",IF(Q164&lt;&gt;"","",J164-TODAY()))</f>
        <v/>
      </c>
      <c r="L164" s="31" t="str">
        <f aca="false">IF(OR(A164="",D164&lt;&gt;"未售-海外仓预退（HWC-YT）"),"",MIN(N(E164),MAX(0,SUMIFS(②销售核销!$I$4:$I$603,②销售核销!$E$4:$E$603,A164)-SUMIFS($E$4:$E$303,$A$4:$A$303,A164,$D$4:$D$303,"已售-按现行规定申报"))))</f>
        <v/>
      </c>
      <c r="M164" s="34" t="str">
        <f aca="false">IF(OR(L164="",N(E164)=0,H164=""),"",ROUND(H164/E164*L164,2))</f>
        <v/>
      </c>
      <c r="N164" s="46"/>
      <c r="O164" s="34" t="str">
        <f aca="false">IF(OR(N164="",H164=""),"",ROUND(N164-H164,2))</f>
        <v/>
      </c>
      <c r="P164" s="36" t="str">
        <f aca="false">IF(OR(A164="",D164&lt;&gt;"未售-海外仓预退（HWC-YT）"),"",IF(L164=0,"仍未销售：需要调整申报，全额缴回预退税",IF(L164&lt;N(E164),"部分已售：需要调整申报，全额冲减后按已售部分重报",IF(N164="","全部已售：填入实际应退税额后判断",IF(O164=0,"全部已售、无差异：无需调整申报","全部已售、有差异：需要调整申报")))))</f>
        <v/>
      </c>
      <c r="Q164" s="41"/>
      <c r="R164" s="44"/>
      <c r="S164" s="36" t="str">
        <f aca="false">IF(A164="","",IF(D164="","请选择申报方式",IF(D164&lt;&gt;"未售-海外仓预退（HWC-YT）","不涉及核算",IF(Q164&lt;&gt;"","已核算",IF(J164="","待税务办结",IF(K164&lt;0,"已逾期：税务将追回预退税",IF(K164&lt;=60,"临近截止（60天内）","待核算")))))))</f>
        <v/>
      </c>
      <c r="T164" s="30" t="str">
        <f aca="false">IF(ISNUMBER(C164),DATE(YEAR(C164)+1,4,30),"")</f>
        <v/>
      </c>
      <c r="U164" s="43"/>
    </row>
    <row r="165" customFormat="false" ht="21.75" hidden="false" customHeight="true" outlineLevel="0" collapsed="false">
      <c r="A165" s="44"/>
      <c r="B165" s="36" t="str">
        <f aca="false">IF(A165="","",IFERROR(INDEX(①出口报关!$I$4:$I$303,MATCH(A165,①出口报关!$A$4:$A$303,0)),"编号不存在"))</f>
        <v/>
      </c>
      <c r="C165" s="30" t="str">
        <f aca="false">IF(A165="","",IFERROR(IF(INDEX(①出口报关!$D$4:$D$303,MATCH(A165,①出口报关!$A$4:$A$303,0))=0,"",INDEX(①出口报关!$D$4:$D$303,MATCH(A165,①出口报关!$A$4:$A$303,0))),"编号不存在"))</f>
        <v/>
      </c>
      <c r="D165" s="43"/>
      <c r="E165" s="45"/>
      <c r="F165" s="41"/>
      <c r="G165" s="48"/>
      <c r="H165" s="46"/>
      <c r="I165" s="41"/>
      <c r="J165" s="30" t="str">
        <f aca="false">IF(AND(D165="未售-海外仓预退（HWC-YT）",ISNUMBER(I165)),DATE(YEAR(I165)+1,4,30),"")</f>
        <v/>
      </c>
      <c r="K165" s="51" t="str">
        <f aca="true">IF(J165="","",IF(Q165&lt;&gt;"","",J165-TODAY()))</f>
        <v/>
      </c>
      <c r="L165" s="31" t="str">
        <f aca="false">IF(OR(A165="",D165&lt;&gt;"未售-海外仓预退（HWC-YT）"),"",MIN(N(E165),MAX(0,SUMIFS(②销售核销!$I$4:$I$603,②销售核销!$E$4:$E$603,A165)-SUMIFS($E$4:$E$303,$A$4:$A$303,A165,$D$4:$D$303,"已售-按现行规定申报"))))</f>
        <v/>
      </c>
      <c r="M165" s="34" t="str">
        <f aca="false">IF(OR(L165="",N(E165)=0,H165=""),"",ROUND(H165/E165*L165,2))</f>
        <v/>
      </c>
      <c r="N165" s="46"/>
      <c r="O165" s="34" t="str">
        <f aca="false">IF(OR(N165="",H165=""),"",ROUND(N165-H165,2))</f>
        <v/>
      </c>
      <c r="P165" s="36" t="str">
        <f aca="false">IF(OR(A165="",D165&lt;&gt;"未售-海外仓预退（HWC-YT）"),"",IF(L165=0,"仍未销售：需要调整申报，全额缴回预退税",IF(L165&lt;N(E165),"部分已售：需要调整申报，全额冲减后按已售部分重报",IF(N165="","全部已售：填入实际应退税额后判断",IF(O165=0,"全部已售、无差异：无需调整申报","全部已售、有差异：需要调整申报")))))</f>
        <v/>
      </c>
      <c r="Q165" s="41"/>
      <c r="R165" s="44"/>
      <c r="S165" s="36" t="str">
        <f aca="false">IF(A165="","",IF(D165="","请选择申报方式",IF(D165&lt;&gt;"未售-海外仓预退（HWC-YT）","不涉及核算",IF(Q165&lt;&gt;"","已核算",IF(J165="","待税务办结",IF(K165&lt;0,"已逾期：税务将追回预退税",IF(K165&lt;=60,"临近截止（60天内）","待核算")))))))</f>
        <v/>
      </c>
      <c r="T165" s="30" t="str">
        <f aca="false">IF(ISNUMBER(C165),DATE(YEAR(C165)+1,4,30),"")</f>
        <v/>
      </c>
      <c r="U165" s="43"/>
    </row>
    <row r="166" customFormat="false" ht="21.75" hidden="false" customHeight="true" outlineLevel="0" collapsed="false">
      <c r="A166" s="44"/>
      <c r="B166" s="36" t="str">
        <f aca="false">IF(A166="","",IFERROR(INDEX(①出口报关!$I$4:$I$303,MATCH(A166,①出口报关!$A$4:$A$303,0)),"编号不存在"))</f>
        <v/>
      </c>
      <c r="C166" s="30" t="str">
        <f aca="false">IF(A166="","",IFERROR(IF(INDEX(①出口报关!$D$4:$D$303,MATCH(A166,①出口报关!$A$4:$A$303,0))=0,"",INDEX(①出口报关!$D$4:$D$303,MATCH(A166,①出口报关!$A$4:$A$303,0))),"编号不存在"))</f>
        <v/>
      </c>
      <c r="D166" s="43"/>
      <c r="E166" s="45"/>
      <c r="F166" s="41"/>
      <c r="G166" s="48"/>
      <c r="H166" s="46"/>
      <c r="I166" s="41"/>
      <c r="J166" s="30" t="str">
        <f aca="false">IF(AND(D166="未售-海外仓预退（HWC-YT）",ISNUMBER(I166)),DATE(YEAR(I166)+1,4,30),"")</f>
        <v/>
      </c>
      <c r="K166" s="51" t="str">
        <f aca="true">IF(J166="","",IF(Q166&lt;&gt;"","",J166-TODAY()))</f>
        <v/>
      </c>
      <c r="L166" s="31" t="str">
        <f aca="false">IF(OR(A166="",D166&lt;&gt;"未售-海外仓预退（HWC-YT）"),"",MIN(N(E166),MAX(0,SUMIFS(②销售核销!$I$4:$I$603,②销售核销!$E$4:$E$603,A166)-SUMIFS($E$4:$E$303,$A$4:$A$303,A166,$D$4:$D$303,"已售-按现行规定申报"))))</f>
        <v/>
      </c>
      <c r="M166" s="34" t="str">
        <f aca="false">IF(OR(L166="",N(E166)=0,H166=""),"",ROUND(H166/E166*L166,2))</f>
        <v/>
      </c>
      <c r="N166" s="46"/>
      <c r="O166" s="34" t="str">
        <f aca="false">IF(OR(N166="",H166=""),"",ROUND(N166-H166,2))</f>
        <v/>
      </c>
      <c r="P166" s="36" t="str">
        <f aca="false">IF(OR(A166="",D166&lt;&gt;"未售-海外仓预退（HWC-YT）"),"",IF(L166=0,"仍未销售：需要调整申报，全额缴回预退税",IF(L166&lt;N(E166),"部分已售：需要调整申报，全额冲减后按已售部分重报",IF(N166="","全部已售：填入实际应退税额后判断",IF(O166=0,"全部已售、无差异：无需调整申报","全部已售、有差异：需要调整申报")))))</f>
        <v/>
      </c>
      <c r="Q166" s="41"/>
      <c r="R166" s="44"/>
      <c r="S166" s="36" t="str">
        <f aca="false">IF(A166="","",IF(D166="","请选择申报方式",IF(D166&lt;&gt;"未售-海外仓预退（HWC-YT）","不涉及核算",IF(Q166&lt;&gt;"","已核算",IF(J166="","待税务办结",IF(K166&lt;0,"已逾期：税务将追回预退税",IF(K166&lt;=60,"临近截止（60天内）","待核算")))))))</f>
        <v/>
      </c>
      <c r="T166" s="30" t="str">
        <f aca="false">IF(ISNUMBER(C166),DATE(YEAR(C166)+1,4,30),"")</f>
        <v/>
      </c>
      <c r="U166" s="43"/>
    </row>
    <row r="167" customFormat="false" ht="21.75" hidden="false" customHeight="true" outlineLevel="0" collapsed="false">
      <c r="A167" s="44"/>
      <c r="B167" s="36" t="str">
        <f aca="false">IF(A167="","",IFERROR(INDEX(①出口报关!$I$4:$I$303,MATCH(A167,①出口报关!$A$4:$A$303,0)),"编号不存在"))</f>
        <v/>
      </c>
      <c r="C167" s="30" t="str">
        <f aca="false">IF(A167="","",IFERROR(IF(INDEX(①出口报关!$D$4:$D$303,MATCH(A167,①出口报关!$A$4:$A$303,0))=0,"",INDEX(①出口报关!$D$4:$D$303,MATCH(A167,①出口报关!$A$4:$A$303,0))),"编号不存在"))</f>
        <v/>
      </c>
      <c r="D167" s="43"/>
      <c r="E167" s="45"/>
      <c r="F167" s="41"/>
      <c r="G167" s="48"/>
      <c r="H167" s="46"/>
      <c r="I167" s="41"/>
      <c r="J167" s="30" t="str">
        <f aca="false">IF(AND(D167="未售-海外仓预退（HWC-YT）",ISNUMBER(I167)),DATE(YEAR(I167)+1,4,30),"")</f>
        <v/>
      </c>
      <c r="K167" s="51" t="str">
        <f aca="true">IF(J167="","",IF(Q167&lt;&gt;"","",J167-TODAY()))</f>
        <v/>
      </c>
      <c r="L167" s="31" t="str">
        <f aca="false">IF(OR(A167="",D167&lt;&gt;"未售-海外仓预退（HWC-YT）"),"",MIN(N(E167),MAX(0,SUMIFS(②销售核销!$I$4:$I$603,②销售核销!$E$4:$E$603,A167)-SUMIFS($E$4:$E$303,$A$4:$A$303,A167,$D$4:$D$303,"已售-按现行规定申报"))))</f>
        <v/>
      </c>
      <c r="M167" s="34" t="str">
        <f aca="false">IF(OR(L167="",N(E167)=0,H167=""),"",ROUND(H167/E167*L167,2))</f>
        <v/>
      </c>
      <c r="N167" s="46"/>
      <c r="O167" s="34" t="str">
        <f aca="false">IF(OR(N167="",H167=""),"",ROUND(N167-H167,2))</f>
        <v/>
      </c>
      <c r="P167" s="36" t="str">
        <f aca="false">IF(OR(A167="",D167&lt;&gt;"未售-海外仓预退（HWC-YT）"),"",IF(L167=0,"仍未销售：需要调整申报，全额缴回预退税",IF(L167&lt;N(E167),"部分已售：需要调整申报，全额冲减后按已售部分重报",IF(N167="","全部已售：填入实际应退税额后判断",IF(O167=0,"全部已售、无差异：无需调整申报","全部已售、有差异：需要调整申报")))))</f>
        <v/>
      </c>
      <c r="Q167" s="41"/>
      <c r="R167" s="44"/>
      <c r="S167" s="36" t="str">
        <f aca="false">IF(A167="","",IF(D167="","请选择申报方式",IF(D167&lt;&gt;"未售-海外仓预退（HWC-YT）","不涉及核算",IF(Q167&lt;&gt;"","已核算",IF(J167="","待税务办结",IF(K167&lt;0,"已逾期：税务将追回预退税",IF(K167&lt;=60,"临近截止（60天内）","待核算")))))))</f>
        <v/>
      </c>
      <c r="T167" s="30" t="str">
        <f aca="false">IF(ISNUMBER(C167),DATE(YEAR(C167)+1,4,30),"")</f>
        <v/>
      </c>
      <c r="U167" s="43"/>
    </row>
    <row r="168" customFormat="false" ht="21.75" hidden="false" customHeight="true" outlineLevel="0" collapsed="false">
      <c r="A168" s="44"/>
      <c r="B168" s="36" t="str">
        <f aca="false">IF(A168="","",IFERROR(INDEX(①出口报关!$I$4:$I$303,MATCH(A168,①出口报关!$A$4:$A$303,0)),"编号不存在"))</f>
        <v/>
      </c>
      <c r="C168" s="30" t="str">
        <f aca="false">IF(A168="","",IFERROR(IF(INDEX(①出口报关!$D$4:$D$303,MATCH(A168,①出口报关!$A$4:$A$303,0))=0,"",INDEX(①出口报关!$D$4:$D$303,MATCH(A168,①出口报关!$A$4:$A$303,0))),"编号不存在"))</f>
        <v/>
      </c>
      <c r="D168" s="43"/>
      <c r="E168" s="45"/>
      <c r="F168" s="41"/>
      <c r="G168" s="48"/>
      <c r="H168" s="46"/>
      <c r="I168" s="41"/>
      <c r="J168" s="30" t="str">
        <f aca="false">IF(AND(D168="未售-海外仓预退（HWC-YT）",ISNUMBER(I168)),DATE(YEAR(I168)+1,4,30),"")</f>
        <v/>
      </c>
      <c r="K168" s="51" t="str">
        <f aca="true">IF(J168="","",IF(Q168&lt;&gt;"","",J168-TODAY()))</f>
        <v/>
      </c>
      <c r="L168" s="31" t="str">
        <f aca="false">IF(OR(A168="",D168&lt;&gt;"未售-海外仓预退（HWC-YT）"),"",MIN(N(E168),MAX(0,SUMIFS(②销售核销!$I$4:$I$603,②销售核销!$E$4:$E$603,A168)-SUMIFS($E$4:$E$303,$A$4:$A$303,A168,$D$4:$D$303,"已售-按现行规定申报"))))</f>
        <v/>
      </c>
      <c r="M168" s="34" t="str">
        <f aca="false">IF(OR(L168="",N(E168)=0,H168=""),"",ROUND(H168/E168*L168,2))</f>
        <v/>
      </c>
      <c r="N168" s="46"/>
      <c r="O168" s="34" t="str">
        <f aca="false">IF(OR(N168="",H168=""),"",ROUND(N168-H168,2))</f>
        <v/>
      </c>
      <c r="P168" s="36" t="str">
        <f aca="false">IF(OR(A168="",D168&lt;&gt;"未售-海外仓预退（HWC-YT）"),"",IF(L168=0,"仍未销售：需要调整申报，全额缴回预退税",IF(L168&lt;N(E168),"部分已售：需要调整申报，全额冲减后按已售部分重报",IF(N168="","全部已售：填入实际应退税额后判断",IF(O168=0,"全部已售、无差异：无需调整申报","全部已售、有差异：需要调整申报")))))</f>
        <v/>
      </c>
      <c r="Q168" s="41"/>
      <c r="R168" s="44"/>
      <c r="S168" s="36" t="str">
        <f aca="false">IF(A168="","",IF(D168="","请选择申报方式",IF(D168&lt;&gt;"未售-海外仓预退（HWC-YT）","不涉及核算",IF(Q168&lt;&gt;"","已核算",IF(J168="","待税务办结",IF(K168&lt;0,"已逾期：税务将追回预退税",IF(K168&lt;=60,"临近截止（60天内）","待核算")))))))</f>
        <v/>
      </c>
      <c r="T168" s="30" t="str">
        <f aca="false">IF(ISNUMBER(C168),DATE(YEAR(C168)+1,4,30),"")</f>
        <v/>
      </c>
      <c r="U168" s="43"/>
    </row>
    <row r="169" customFormat="false" ht="21.75" hidden="false" customHeight="true" outlineLevel="0" collapsed="false">
      <c r="A169" s="44"/>
      <c r="B169" s="36" t="str">
        <f aca="false">IF(A169="","",IFERROR(INDEX(①出口报关!$I$4:$I$303,MATCH(A169,①出口报关!$A$4:$A$303,0)),"编号不存在"))</f>
        <v/>
      </c>
      <c r="C169" s="30" t="str">
        <f aca="false">IF(A169="","",IFERROR(IF(INDEX(①出口报关!$D$4:$D$303,MATCH(A169,①出口报关!$A$4:$A$303,0))=0,"",INDEX(①出口报关!$D$4:$D$303,MATCH(A169,①出口报关!$A$4:$A$303,0))),"编号不存在"))</f>
        <v/>
      </c>
      <c r="D169" s="43"/>
      <c r="E169" s="45"/>
      <c r="F169" s="41"/>
      <c r="G169" s="48"/>
      <c r="H169" s="46"/>
      <c r="I169" s="41"/>
      <c r="J169" s="30" t="str">
        <f aca="false">IF(AND(D169="未售-海外仓预退（HWC-YT）",ISNUMBER(I169)),DATE(YEAR(I169)+1,4,30),"")</f>
        <v/>
      </c>
      <c r="K169" s="51" t="str">
        <f aca="true">IF(J169="","",IF(Q169&lt;&gt;"","",J169-TODAY()))</f>
        <v/>
      </c>
      <c r="L169" s="31" t="str">
        <f aca="false">IF(OR(A169="",D169&lt;&gt;"未售-海外仓预退（HWC-YT）"),"",MIN(N(E169),MAX(0,SUMIFS(②销售核销!$I$4:$I$603,②销售核销!$E$4:$E$603,A169)-SUMIFS($E$4:$E$303,$A$4:$A$303,A169,$D$4:$D$303,"已售-按现行规定申报"))))</f>
        <v/>
      </c>
      <c r="M169" s="34" t="str">
        <f aca="false">IF(OR(L169="",N(E169)=0,H169=""),"",ROUND(H169/E169*L169,2))</f>
        <v/>
      </c>
      <c r="N169" s="46"/>
      <c r="O169" s="34" t="str">
        <f aca="false">IF(OR(N169="",H169=""),"",ROUND(N169-H169,2))</f>
        <v/>
      </c>
      <c r="P169" s="36" t="str">
        <f aca="false">IF(OR(A169="",D169&lt;&gt;"未售-海外仓预退（HWC-YT）"),"",IF(L169=0,"仍未销售：需要调整申报，全额缴回预退税",IF(L169&lt;N(E169),"部分已售：需要调整申报，全额冲减后按已售部分重报",IF(N169="","全部已售：填入实际应退税额后判断",IF(O169=0,"全部已售、无差异：无需调整申报","全部已售、有差异：需要调整申报")))))</f>
        <v/>
      </c>
      <c r="Q169" s="41"/>
      <c r="R169" s="44"/>
      <c r="S169" s="36" t="str">
        <f aca="false">IF(A169="","",IF(D169="","请选择申报方式",IF(D169&lt;&gt;"未售-海外仓预退（HWC-YT）","不涉及核算",IF(Q169&lt;&gt;"","已核算",IF(J169="","待税务办结",IF(K169&lt;0,"已逾期：税务将追回预退税",IF(K169&lt;=60,"临近截止（60天内）","待核算")))))))</f>
        <v/>
      </c>
      <c r="T169" s="30" t="str">
        <f aca="false">IF(ISNUMBER(C169),DATE(YEAR(C169)+1,4,30),"")</f>
        <v/>
      </c>
      <c r="U169" s="43"/>
    </row>
    <row r="170" customFormat="false" ht="21.75" hidden="false" customHeight="true" outlineLevel="0" collapsed="false">
      <c r="A170" s="44"/>
      <c r="B170" s="36" t="str">
        <f aca="false">IF(A170="","",IFERROR(INDEX(①出口报关!$I$4:$I$303,MATCH(A170,①出口报关!$A$4:$A$303,0)),"编号不存在"))</f>
        <v/>
      </c>
      <c r="C170" s="30" t="str">
        <f aca="false">IF(A170="","",IFERROR(IF(INDEX(①出口报关!$D$4:$D$303,MATCH(A170,①出口报关!$A$4:$A$303,0))=0,"",INDEX(①出口报关!$D$4:$D$303,MATCH(A170,①出口报关!$A$4:$A$303,0))),"编号不存在"))</f>
        <v/>
      </c>
      <c r="D170" s="43"/>
      <c r="E170" s="45"/>
      <c r="F170" s="41"/>
      <c r="G170" s="48"/>
      <c r="H170" s="46"/>
      <c r="I170" s="41"/>
      <c r="J170" s="30" t="str">
        <f aca="false">IF(AND(D170="未售-海外仓预退（HWC-YT）",ISNUMBER(I170)),DATE(YEAR(I170)+1,4,30),"")</f>
        <v/>
      </c>
      <c r="K170" s="51" t="str">
        <f aca="true">IF(J170="","",IF(Q170&lt;&gt;"","",J170-TODAY()))</f>
        <v/>
      </c>
      <c r="L170" s="31" t="str">
        <f aca="false">IF(OR(A170="",D170&lt;&gt;"未售-海外仓预退（HWC-YT）"),"",MIN(N(E170),MAX(0,SUMIFS(②销售核销!$I$4:$I$603,②销售核销!$E$4:$E$603,A170)-SUMIFS($E$4:$E$303,$A$4:$A$303,A170,$D$4:$D$303,"已售-按现行规定申报"))))</f>
        <v/>
      </c>
      <c r="M170" s="34" t="str">
        <f aca="false">IF(OR(L170="",N(E170)=0,H170=""),"",ROUND(H170/E170*L170,2))</f>
        <v/>
      </c>
      <c r="N170" s="46"/>
      <c r="O170" s="34" t="str">
        <f aca="false">IF(OR(N170="",H170=""),"",ROUND(N170-H170,2))</f>
        <v/>
      </c>
      <c r="P170" s="36" t="str">
        <f aca="false">IF(OR(A170="",D170&lt;&gt;"未售-海外仓预退（HWC-YT）"),"",IF(L170=0,"仍未销售：需要调整申报，全额缴回预退税",IF(L170&lt;N(E170),"部分已售：需要调整申报，全额冲减后按已售部分重报",IF(N170="","全部已售：填入实际应退税额后判断",IF(O170=0,"全部已售、无差异：无需调整申报","全部已售、有差异：需要调整申报")))))</f>
        <v/>
      </c>
      <c r="Q170" s="41"/>
      <c r="R170" s="44"/>
      <c r="S170" s="36" t="str">
        <f aca="false">IF(A170="","",IF(D170="","请选择申报方式",IF(D170&lt;&gt;"未售-海外仓预退（HWC-YT）","不涉及核算",IF(Q170&lt;&gt;"","已核算",IF(J170="","待税务办结",IF(K170&lt;0,"已逾期：税务将追回预退税",IF(K170&lt;=60,"临近截止（60天内）","待核算")))))))</f>
        <v/>
      </c>
      <c r="T170" s="30" t="str">
        <f aca="false">IF(ISNUMBER(C170),DATE(YEAR(C170)+1,4,30),"")</f>
        <v/>
      </c>
      <c r="U170" s="43"/>
    </row>
    <row r="171" customFormat="false" ht="21.75" hidden="false" customHeight="true" outlineLevel="0" collapsed="false">
      <c r="A171" s="44"/>
      <c r="B171" s="36" t="str">
        <f aca="false">IF(A171="","",IFERROR(INDEX(①出口报关!$I$4:$I$303,MATCH(A171,①出口报关!$A$4:$A$303,0)),"编号不存在"))</f>
        <v/>
      </c>
      <c r="C171" s="30" t="str">
        <f aca="false">IF(A171="","",IFERROR(IF(INDEX(①出口报关!$D$4:$D$303,MATCH(A171,①出口报关!$A$4:$A$303,0))=0,"",INDEX(①出口报关!$D$4:$D$303,MATCH(A171,①出口报关!$A$4:$A$303,0))),"编号不存在"))</f>
        <v/>
      </c>
      <c r="D171" s="43"/>
      <c r="E171" s="45"/>
      <c r="F171" s="41"/>
      <c r="G171" s="48"/>
      <c r="H171" s="46"/>
      <c r="I171" s="41"/>
      <c r="J171" s="30" t="str">
        <f aca="false">IF(AND(D171="未售-海外仓预退（HWC-YT）",ISNUMBER(I171)),DATE(YEAR(I171)+1,4,30),"")</f>
        <v/>
      </c>
      <c r="K171" s="51" t="str">
        <f aca="true">IF(J171="","",IF(Q171&lt;&gt;"","",J171-TODAY()))</f>
        <v/>
      </c>
      <c r="L171" s="31" t="str">
        <f aca="false">IF(OR(A171="",D171&lt;&gt;"未售-海外仓预退（HWC-YT）"),"",MIN(N(E171),MAX(0,SUMIFS(②销售核销!$I$4:$I$603,②销售核销!$E$4:$E$603,A171)-SUMIFS($E$4:$E$303,$A$4:$A$303,A171,$D$4:$D$303,"已售-按现行规定申报"))))</f>
        <v/>
      </c>
      <c r="M171" s="34" t="str">
        <f aca="false">IF(OR(L171="",N(E171)=0,H171=""),"",ROUND(H171/E171*L171,2))</f>
        <v/>
      </c>
      <c r="N171" s="46"/>
      <c r="O171" s="34" t="str">
        <f aca="false">IF(OR(N171="",H171=""),"",ROUND(N171-H171,2))</f>
        <v/>
      </c>
      <c r="P171" s="36" t="str">
        <f aca="false">IF(OR(A171="",D171&lt;&gt;"未售-海外仓预退（HWC-YT）"),"",IF(L171=0,"仍未销售：需要调整申报，全额缴回预退税",IF(L171&lt;N(E171),"部分已售：需要调整申报，全额冲减后按已售部分重报",IF(N171="","全部已售：填入实际应退税额后判断",IF(O171=0,"全部已售、无差异：无需调整申报","全部已售、有差异：需要调整申报")))))</f>
        <v/>
      </c>
      <c r="Q171" s="41"/>
      <c r="R171" s="44"/>
      <c r="S171" s="36" t="str">
        <f aca="false">IF(A171="","",IF(D171="","请选择申报方式",IF(D171&lt;&gt;"未售-海外仓预退（HWC-YT）","不涉及核算",IF(Q171&lt;&gt;"","已核算",IF(J171="","待税务办结",IF(K171&lt;0,"已逾期：税务将追回预退税",IF(K171&lt;=60,"临近截止（60天内）","待核算")))))))</f>
        <v/>
      </c>
      <c r="T171" s="30" t="str">
        <f aca="false">IF(ISNUMBER(C171),DATE(YEAR(C171)+1,4,30),"")</f>
        <v/>
      </c>
      <c r="U171" s="43"/>
    </row>
    <row r="172" customFormat="false" ht="21.75" hidden="false" customHeight="true" outlineLevel="0" collapsed="false">
      <c r="A172" s="44"/>
      <c r="B172" s="36" t="str">
        <f aca="false">IF(A172="","",IFERROR(INDEX(①出口报关!$I$4:$I$303,MATCH(A172,①出口报关!$A$4:$A$303,0)),"编号不存在"))</f>
        <v/>
      </c>
      <c r="C172" s="30" t="str">
        <f aca="false">IF(A172="","",IFERROR(IF(INDEX(①出口报关!$D$4:$D$303,MATCH(A172,①出口报关!$A$4:$A$303,0))=0,"",INDEX(①出口报关!$D$4:$D$303,MATCH(A172,①出口报关!$A$4:$A$303,0))),"编号不存在"))</f>
        <v/>
      </c>
      <c r="D172" s="43"/>
      <c r="E172" s="45"/>
      <c r="F172" s="41"/>
      <c r="G172" s="48"/>
      <c r="H172" s="46"/>
      <c r="I172" s="41"/>
      <c r="J172" s="30" t="str">
        <f aca="false">IF(AND(D172="未售-海外仓预退（HWC-YT）",ISNUMBER(I172)),DATE(YEAR(I172)+1,4,30),"")</f>
        <v/>
      </c>
      <c r="K172" s="51" t="str">
        <f aca="true">IF(J172="","",IF(Q172&lt;&gt;"","",J172-TODAY()))</f>
        <v/>
      </c>
      <c r="L172" s="31" t="str">
        <f aca="false">IF(OR(A172="",D172&lt;&gt;"未售-海外仓预退（HWC-YT）"),"",MIN(N(E172),MAX(0,SUMIFS(②销售核销!$I$4:$I$603,②销售核销!$E$4:$E$603,A172)-SUMIFS($E$4:$E$303,$A$4:$A$303,A172,$D$4:$D$303,"已售-按现行规定申报"))))</f>
        <v/>
      </c>
      <c r="M172" s="34" t="str">
        <f aca="false">IF(OR(L172="",N(E172)=0,H172=""),"",ROUND(H172/E172*L172,2))</f>
        <v/>
      </c>
      <c r="N172" s="46"/>
      <c r="O172" s="34" t="str">
        <f aca="false">IF(OR(N172="",H172=""),"",ROUND(N172-H172,2))</f>
        <v/>
      </c>
      <c r="P172" s="36" t="str">
        <f aca="false">IF(OR(A172="",D172&lt;&gt;"未售-海外仓预退（HWC-YT）"),"",IF(L172=0,"仍未销售：需要调整申报，全额缴回预退税",IF(L172&lt;N(E172),"部分已售：需要调整申报，全额冲减后按已售部分重报",IF(N172="","全部已售：填入实际应退税额后判断",IF(O172=0,"全部已售、无差异：无需调整申报","全部已售、有差异：需要调整申报")))))</f>
        <v/>
      </c>
      <c r="Q172" s="41"/>
      <c r="R172" s="44"/>
      <c r="S172" s="36" t="str">
        <f aca="false">IF(A172="","",IF(D172="","请选择申报方式",IF(D172&lt;&gt;"未售-海外仓预退（HWC-YT）","不涉及核算",IF(Q172&lt;&gt;"","已核算",IF(J172="","待税务办结",IF(K172&lt;0,"已逾期：税务将追回预退税",IF(K172&lt;=60,"临近截止（60天内）","待核算")))))))</f>
        <v/>
      </c>
      <c r="T172" s="30" t="str">
        <f aca="false">IF(ISNUMBER(C172),DATE(YEAR(C172)+1,4,30),"")</f>
        <v/>
      </c>
      <c r="U172" s="43"/>
    </row>
    <row r="173" customFormat="false" ht="21.75" hidden="false" customHeight="true" outlineLevel="0" collapsed="false">
      <c r="A173" s="44"/>
      <c r="B173" s="36" t="str">
        <f aca="false">IF(A173="","",IFERROR(INDEX(①出口报关!$I$4:$I$303,MATCH(A173,①出口报关!$A$4:$A$303,0)),"编号不存在"))</f>
        <v/>
      </c>
      <c r="C173" s="30" t="str">
        <f aca="false">IF(A173="","",IFERROR(IF(INDEX(①出口报关!$D$4:$D$303,MATCH(A173,①出口报关!$A$4:$A$303,0))=0,"",INDEX(①出口报关!$D$4:$D$303,MATCH(A173,①出口报关!$A$4:$A$303,0))),"编号不存在"))</f>
        <v/>
      </c>
      <c r="D173" s="43"/>
      <c r="E173" s="45"/>
      <c r="F173" s="41"/>
      <c r="G173" s="48"/>
      <c r="H173" s="46"/>
      <c r="I173" s="41"/>
      <c r="J173" s="30" t="str">
        <f aca="false">IF(AND(D173="未售-海外仓预退（HWC-YT）",ISNUMBER(I173)),DATE(YEAR(I173)+1,4,30),"")</f>
        <v/>
      </c>
      <c r="K173" s="51" t="str">
        <f aca="true">IF(J173="","",IF(Q173&lt;&gt;"","",J173-TODAY()))</f>
        <v/>
      </c>
      <c r="L173" s="31" t="str">
        <f aca="false">IF(OR(A173="",D173&lt;&gt;"未售-海外仓预退（HWC-YT）"),"",MIN(N(E173),MAX(0,SUMIFS(②销售核销!$I$4:$I$603,②销售核销!$E$4:$E$603,A173)-SUMIFS($E$4:$E$303,$A$4:$A$303,A173,$D$4:$D$303,"已售-按现行规定申报"))))</f>
        <v/>
      </c>
      <c r="M173" s="34" t="str">
        <f aca="false">IF(OR(L173="",N(E173)=0,H173=""),"",ROUND(H173/E173*L173,2))</f>
        <v/>
      </c>
      <c r="N173" s="46"/>
      <c r="O173" s="34" t="str">
        <f aca="false">IF(OR(N173="",H173=""),"",ROUND(N173-H173,2))</f>
        <v/>
      </c>
      <c r="P173" s="36" t="str">
        <f aca="false">IF(OR(A173="",D173&lt;&gt;"未售-海外仓预退（HWC-YT）"),"",IF(L173=0,"仍未销售：需要调整申报，全额缴回预退税",IF(L173&lt;N(E173),"部分已售：需要调整申报，全额冲减后按已售部分重报",IF(N173="","全部已售：填入实际应退税额后判断",IF(O173=0,"全部已售、无差异：无需调整申报","全部已售、有差异：需要调整申报")))))</f>
        <v/>
      </c>
      <c r="Q173" s="41"/>
      <c r="R173" s="44"/>
      <c r="S173" s="36" t="str">
        <f aca="false">IF(A173="","",IF(D173="","请选择申报方式",IF(D173&lt;&gt;"未售-海外仓预退（HWC-YT）","不涉及核算",IF(Q173&lt;&gt;"","已核算",IF(J173="","待税务办结",IF(K173&lt;0,"已逾期：税务将追回预退税",IF(K173&lt;=60,"临近截止（60天内）","待核算")))))))</f>
        <v/>
      </c>
      <c r="T173" s="30" t="str">
        <f aca="false">IF(ISNUMBER(C173),DATE(YEAR(C173)+1,4,30),"")</f>
        <v/>
      </c>
      <c r="U173" s="43"/>
    </row>
    <row r="174" customFormat="false" ht="21.75" hidden="false" customHeight="true" outlineLevel="0" collapsed="false">
      <c r="A174" s="44"/>
      <c r="B174" s="36" t="str">
        <f aca="false">IF(A174="","",IFERROR(INDEX(①出口报关!$I$4:$I$303,MATCH(A174,①出口报关!$A$4:$A$303,0)),"编号不存在"))</f>
        <v/>
      </c>
      <c r="C174" s="30" t="str">
        <f aca="false">IF(A174="","",IFERROR(IF(INDEX(①出口报关!$D$4:$D$303,MATCH(A174,①出口报关!$A$4:$A$303,0))=0,"",INDEX(①出口报关!$D$4:$D$303,MATCH(A174,①出口报关!$A$4:$A$303,0))),"编号不存在"))</f>
        <v/>
      </c>
      <c r="D174" s="43"/>
      <c r="E174" s="45"/>
      <c r="F174" s="41"/>
      <c r="G174" s="48"/>
      <c r="H174" s="46"/>
      <c r="I174" s="41"/>
      <c r="J174" s="30" t="str">
        <f aca="false">IF(AND(D174="未售-海外仓预退（HWC-YT）",ISNUMBER(I174)),DATE(YEAR(I174)+1,4,30),"")</f>
        <v/>
      </c>
      <c r="K174" s="51" t="str">
        <f aca="true">IF(J174="","",IF(Q174&lt;&gt;"","",J174-TODAY()))</f>
        <v/>
      </c>
      <c r="L174" s="31" t="str">
        <f aca="false">IF(OR(A174="",D174&lt;&gt;"未售-海外仓预退（HWC-YT）"),"",MIN(N(E174),MAX(0,SUMIFS(②销售核销!$I$4:$I$603,②销售核销!$E$4:$E$603,A174)-SUMIFS($E$4:$E$303,$A$4:$A$303,A174,$D$4:$D$303,"已售-按现行规定申报"))))</f>
        <v/>
      </c>
      <c r="M174" s="34" t="str">
        <f aca="false">IF(OR(L174="",N(E174)=0,H174=""),"",ROUND(H174/E174*L174,2))</f>
        <v/>
      </c>
      <c r="N174" s="46"/>
      <c r="O174" s="34" t="str">
        <f aca="false">IF(OR(N174="",H174=""),"",ROUND(N174-H174,2))</f>
        <v/>
      </c>
      <c r="P174" s="36" t="str">
        <f aca="false">IF(OR(A174="",D174&lt;&gt;"未售-海外仓预退（HWC-YT）"),"",IF(L174=0,"仍未销售：需要调整申报，全额缴回预退税",IF(L174&lt;N(E174),"部分已售：需要调整申报，全额冲减后按已售部分重报",IF(N174="","全部已售：填入实际应退税额后判断",IF(O174=0,"全部已售、无差异：无需调整申报","全部已售、有差异：需要调整申报")))))</f>
        <v/>
      </c>
      <c r="Q174" s="41"/>
      <c r="R174" s="44"/>
      <c r="S174" s="36" t="str">
        <f aca="false">IF(A174="","",IF(D174="","请选择申报方式",IF(D174&lt;&gt;"未售-海外仓预退（HWC-YT）","不涉及核算",IF(Q174&lt;&gt;"","已核算",IF(J174="","待税务办结",IF(K174&lt;0,"已逾期：税务将追回预退税",IF(K174&lt;=60,"临近截止（60天内）","待核算")))))))</f>
        <v/>
      </c>
      <c r="T174" s="30" t="str">
        <f aca="false">IF(ISNUMBER(C174),DATE(YEAR(C174)+1,4,30),"")</f>
        <v/>
      </c>
      <c r="U174" s="43"/>
    </row>
    <row r="175" customFormat="false" ht="21.75" hidden="false" customHeight="true" outlineLevel="0" collapsed="false">
      <c r="A175" s="44"/>
      <c r="B175" s="36" t="str">
        <f aca="false">IF(A175="","",IFERROR(INDEX(①出口报关!$I$4:$I$303,MATCH(A175,①出口报关!$A$4:$A$303,0)),"编号不存在"))</f>
        <v/>
      </c>
      <c r="C175" s="30" t="str">
        <f aca="false">IF(A175="","",IFERROR(IF(INDEX(①出口报关!$D$4:$D$303,MATCH(A175,①出口报关!$A$4:$A$303,0))=0,"",INDEX(①出口报关!$D$4:$D$303,MATCH(A175,①出口报关!$A$4:$A$303,0))),"编号不存在"))</f>
        <v/>
      </c>
      <c r="D175" s="43"/>
      <c r="E175" s="45"/>
      <c r="F175" s="41"/>
      <c r="G175" s="48"/>
      <c r="H175" s="46"/>
      <c r="I175" s="41"/>
      <c r="J175" s="30" t="str">
        <f aca="false">IF(AND(D175="未售-海外仓预退（HWC-YT）",ISNUMBER(I175)),DATE(YEAR(I175)+1,4,30),"")</f>
        <v/>
      </c>
      <c r="K175" s="51" t="str">
        <f aca="true">IF(J175="","",IF(Q175&lt;&gt;"","",J175-TODAY()))</f>
        <v/>
      </c>
      <c r="L175" s="31" t="str">
        <f aca="false">IF(OR(A175="",D175&lt;&gt;"未售-海外仓预退（HWC-YT）"),"",MIN(N(E175),MAX(0,SUMIFS(②销售核销!$I$4:$I$603,②销售核销!$E$4:$E$603,A175)-SUMIFS($E$4:$E$303,$A$4:$A$303,A175,$D$4:$D$303,"已售-按现行规定申报"))))</f>
        <v/>
      </c>
      <c r="M175" s="34" t="str">
        <f aca="false">IF(OR(L175="",N(E175)=0,H175=""),"",ROUND(H175/E175*L175,2))</f>
        <v/>
      </c>
      <c r="N175" s="46"/>
      <c r="O175" s="34" t="str">
        <f aca="false">IF(OR(N175="",H175=""),"",ROUND(N175-H175,2))</f>
        <v/>
      </c>
      <c r="P175" s="36" t="str">
        <f aca="false">IF(OR(A175="",D175&lt;&gt;"未售-海外仓预退（HWC-YT）"),"",IF(L175=0,"仍未销售：需要调整申报，全额缴回预退税",IF(L175&lt;N(E175),"部分已售：需要调整申报，全额冲减后按已售部分重报",IF(N175="","全部已售：填入实际应退税额后判断",IF(O175=0,"全部已售、无差异：无需调整申报","全部已售、有差异：需要调整申报")))))</f>
        <v/>
      </c>
      <c r="Q175" s="41"/>
      <c r="R175" s="44"/>
      <c r="S175" s="36" t="str">
        <f aca="false">IF(A175="","",IF(D175="","请选择申报方式",IF(D175&lt;&gt;"未售-海外仓预退（HWC-YT）","不涉及核算",IF(Q175&lt;&gt;"","已核算",IF(J175="","待税务办结",IF(K175&lt;0,"已逾期：税务将追回预退税",IF(K175&lt;=60,"临近截止（60天内）","待核算")))))))</f>
        <v/>
      </c>
      <c r="T175" s="30" t="str">
        <f aca="false">IF(ISNUMBER(C175),DATE(YEAR(C175)+1,4,30),"")</f>
        <v/>
      </c>
      <c r="U175" s="43"/>
    </row>
    <row r="176" customFormat="false" ht="21.75" hidden="false" customHeight="true" outlineLevel="0" collapsed="false">
      <c r="A176" s="44"/>
      <c r="B176" s="36" t="str">
        <f aca="false">IF(A176="","",IFERROR(INDEX(①出口报关!$I$4:$I$303,MATCH(A176,①出口报关!$A$4:$A$303,0)),"编号不存在"))</f>
        <v/>
      </c>
      <c r="C176" s="30" t="str">
        <f aca="false">IF(A176="","",IFERROR(IF(INDEX(①出口报关!$D$4:$D$303,MATCH(A176,①出口报关!$A$4:$A$303,0))=0,"",INDEX(①出口报关!$D$4:$D$303,MATCH(A176,①出口报关!$A$4:$A$303,0))),"编号不存在"))</f>
        <v/>
      </c>
      <c r="D176" s="43"/>
      <c r="E176" s="45"/>
      <c r="F176" s="41"/>
      <c r="G176" s="48"/>
      <c r="H176" s="46"/>
      <c r="I176" s="41"/>
      <c r="J176" s="30" t="str">
        <f aca="false">IF(AND(D176="未售-海外仓预退（HWC-YT）",ISNUMBER(I176)),DATE(YEAR(I176)+1,4,30),"")</f>
        <v/>
      </c>
      <c r="K176" s="51" t="str">
        <f aca="true">IF(J176="","",IF(Q176&lt;&gt;"","",J176-TODAY()))</f>
        <v/>
      </c>
      <c r="L176" s="31" t="str">
        <f aca="false">IF(OR(A176="",D176&lt;&gt;"未售-海外仓预退（HWC-YT）"),"",MIN(N(E176),MAX(0,SUMIFS(②销售核销!$I$4:$I$603,②销售核销!$E$4:$E$603,A176)-SUMIFS($E$4:$E$303,$A$4:$A$303,A176,$D$4:$D$303,"已售-按现行规定申报"))))</f>
        <v/>
      </c>
      <c r="M176" s="34" t="str">
        <f aca="false">IF(OR(L176="",N(E176)=0,H176=""),"",ROUND(H176/E176*L176,2))</f>
        <v/>
      </c>
      <c r="N176" s="46"/>
      <c r="O176" s="34" t="str">
        <f aca="false">IF(OR(N176="",H176=""),"",ROUND(N176-H176,2))</f>
        <v/>
      </c>
      <c r="P176" s="36" t="str">
        <f aca="false">IF(OR(A176="",D176&lt;&gt;"未售-海外仓预退（HWC-YT）"),"",IF(L176=0,"仍未销售：需要调整申报，全额缴回预退税",IF(L176&lt;N(E176),"部分已售：需要调整申报，全额冲减后按已售部分重报",IF(N176="","全部已售：填入实际应退税额后判断",IF(O176=0,"全部已售、无差异：无需调整申报","全部已售、有差异：需要调整申报")))))</f>
        <v/>
      </c>
      <c r="Q176" s="41"/>
      <c r="R176" s="44"/>
      <c r="S176" s="36" t="str">
        <f aca="false">IF(A176="","",IF(D176="","请选择申报方式",IF(D176&lt;&gt;"未售-海外仓预退（HWC-YT）","不涉及核算",IF(Q176&lt;&gt;"","已核算",IF(J176="","待税务办结",IF(K176&lt;0,"已逾期：税务将追回预退税",IF(K176&lt;=60,"临近截止（60天内）","待核算")))))))</f>
        <v/>
      </c>
      <c r="T176" s="30" t="str">
        <f aca="false">IF(ISNUMBER(C176),DATE(YEAR(C176)+1,4,30),"")</f>
        <v/>
      </c>
      <c r="U176" s="43"/>
    </row>
    <row r="177" customFormat="false" ht="21.75" hidden="false" customHeight="true" outlineLevel="0" collapsed="false">
      <c r="A177" s="44"/>
      <c r="B177" s="36" t="str">
        <f aca="false">IF(A177="","",IFERROR(INDEX(①出口报关!$I$4:$I$303,MATCH(A177,①出口报关!$A$4:$A$303,0)),"编号不存在"))</f>
        <v/>
      </c>
      <c r="C177" s="30" t="str">
        <f aca="false">IF(A177="","",IFERROR(IF(INDEX(①出口报关!$D$4:$D$303,MATCH(A177,①出口报关!$A$4:$A$303,0))=0,"",INDEX(①出口报关!$D$4:$D$303,MATCH(A177,①出口报关!$A$4:$A$303,0))),"编号不存在"))</f>
        <v/>
      </c>
      <c r="D177" s="43"/>
      <c r="E177" s="45"/>
      <c r="F177" s="41"/>
      <c r="G177" s="48"/>
      <c r="H177" s="46"/>
      <c r="I177" s="41"/>
      <c r="J177" s="30" t="str">
        <f aca="false">IF(AND(D177="未售-海外仓预退（HWC-YT）",ISNUMBER(I177)),DATE(YEAR(I177)+1,4,30),"")</f>
        <v/>
      </c>
      <c r="K177" s="51" t="str">
        <f aca="true">IF(J177="","",IF(Q177&lt;&gt;"","",J177-TODAY()))</f>
        <v/>
      </c>
      <c r="L177" s="31" t="str">
        <f aca="false">IF(OR(A177="",D177&lt;&gt;"未售-海外仓预退（HWC-YT）"),"",MIN(N(E177),MAX(0,SUMIFS(②销售核销!$I$4:$I$603,②销售核销!$E$4:$E$603,A177)-SUMIFS($E$4:$E$303,$A$4:$A$303,A177,$D$4:$D$303,"已售-按现行规定申报"))))</f>
        <v/>
      </c>
      <c r="M177" s="34" t="str">
        <f aca="false">IF(OR(L177="",N(E177)=0,H177=""),"",ROUND(H177/E177*L177,2))</f>
        <v/>
      </c>
      <c r="N177" s="46"/>
      <c r="O177" s="34" t="str">
        <f aca="false">IF(OR(N177="",H177=""),"",ROUND(N177-H177,2))</f>
        <v/>
      </c>
      <c r="P177" s="36" t="str">
        <f aca="false">IF(OR(A177="",D177&lt;&gt;"未售-海外仓预退（HWC-YT）"),"",IF(L177=0,"仍未销售：需要调整申报，全额缴回预退税",IF(L177&lt;N(E177),"部分已售：需要调整申报，全额冲减后按已售部分重报",IF(N177="","全部已售：填入实际应退税额后判断",IF(O177=0,"全部已售、无差异：无需调整申报","全部已售、有差异：需要调整申报")))))</f>
        <v/>
      </c>
      <c r="Q177" s="41"/>
      <c r="R177" s="44"/>
      <c r="S177" s="36" t="str">
        <f aca="false">IF(A177="","",IF(D177="","请选择申报方式",IF(D177&lt;&gt;"未售-海外仓预退（HWC-YT）","不涉及核算",IF(Q177&lt;&gt;"","已核算",IF(J177="","待税务办结",IF(K177&lt;0,"已逾期：税务将追回预退税",IF(K177&lt;=60,"临近截止（60天内）","待核算")))))))</f>
        <v/>
      </c>
      <c r="T177" s="30" t="str">
        <f aca="false">IF(ISNUMBER(C177),DATE(YEAR(C177)+1,4,30),"")</f>
        <v/>
      </c>
      <c r="U177" s="43"/>
    </row>
    <row r="178" customFormat="false" ht="21.75" hidden="false" customHeight="true" outlineLevel="0" collapsed="false">
      <c r="A178" s="44"/>
      <c r="B178" s="36" t="str">
        <f aca="false">IF(A178="","",IFERROR(INDEX(①出口报关!$I$4:$I$303,MATCH(A178,①出口报关!$A$4:$A$303,0)),"编号不存在"))</f>
        <v/>
      </c>
      <c r="C178" s="30" t="str">
        <f aca="false">IF(A178="","",IFERROR(IF(INDEX(①出口报关!$D$4:$D$303,MATCH(A178,①出口报关!$A$4:$A$303,0))=0,"",INDEX(①出口报关!$D$4:$D$303,MATCH(A178,①出口报关!$A$4:$A$303,0))),"编号不存在"))</f>
        <v/>
      </c>
      <c r="D178" s="43"/>
      <c r="E178" s="45"/>
      <c r="F178" s="41"/>
      <c r="G178" s="48"/>
      <c r="H178" s="46"/>
      <c r="I178" s="41"/>
      <c r="J178" s="30" t="str">
        <f aca="false">IF(AND(D178="未售-海外仓预退（HWC-YT）",ISNUMBER(I178)),DATE(YEAR(I178)+1,4,30),"")</f>
        <v/>
      </c>
      <c r="K178" s="51" t="str">
        <f aca="true">IF(J178="","",IF(Q178&lt;&gt;"","",J178-TODAY()))</f>
        <v/>
      </c>
      <c r="L178" s="31" t="str">
        <f aca="false">IF(OR(A178="",D178&lt;&gt;"未售-海外仓预退（HWC-YT）"),"",MIN(N(E178),MAX(0,SUMIFS(②销售核销!$I$4:$I$603,②销售核销!$E$4:$E$603,A178)-SUMIFS($E$4:$E$303,$A$4:$A$303,A178,$D$4:$D$303,"已售-按现行规定申报"))))</f>
        <v/>
      </c>
      <c r="M178" s="34" t="str">
        <f aca="false">IF(OR(L178="",N(E178)=0,H178=""),"",ROUND(H178/E178*L178,2))</f>
        <v/>
      </c>
      <c r="N178" s="46"/>
      <c r="O178" s="34" t="str">
        <f aca="false">IF(OR(N178="",H178=""),"",ROUND(N178-H178,2))</f>
        <v/>
      </c>
      <c r="P178" s="36" t="str">
        <f aca="false">IF(OR(A178="",D178&lt;&gt;"未售-海外仓预退（HWC-YT）"),"",IF(L178=0,"仍未销售：需要调整申报，全额缴回预退税",IF(L178&lt;N(E178),"部分已售：需要调整申报，全额冲减后按已售部分重报",IF(N178="","全部已售：填入实际应退税额后判断",IF(O178=0,"全部已售、无差异：无需调整申报","全部已售、有差异：需要调整申报")))))</f>
        <v/>
      </c>
      <c r="Q178" s="41"/>
      <c r="R178" s="44"/>
      <c r="S178" s="36" t="str">
        <f aca="false">IF(A178="","",IF(D178="","请选择申报方式",IF(D178&lt;&gt;"未售-海外仓预退（HWC-YT）","不涉及核算",IF(Q178&lt;&gt;"","已核算",IF(J178="","待税务办结",IF(K178&lt;0,"已逾期：税务将追回预退税",IF(K178&lt;=60,"临近截止（60天内）","待核算")))))))</f>
        <v/>
      </c>
      <c r="T178" s="30" t="str">
        <f aca="false">IF(ISNUMBER(C178),DATE(YEAR(C178)+1,4,30),"")</f>
        <v/>
      </c>
      <c r="U178" s="43"/>
    </row>
    <row r="179" customFormat="false" ht="21.75" hidden="false" customHeight="true" outlineLevel="0" collapsed="false">
      <c r="A179" s="44"/>
      <c r="B179" s="36" t="str">
        <f aca="false">IF(A179="","",IFERROR(INDEX(①出口报关!$I$4:$I$303,MATCH(A179,①出口报关!$A$4:$A$303,0)),"编号不存在"))</f>
        <v/>
      </c>
      <c r="C179" s="30" t="str">
        <f aca="false">IF(A179="","",IFERROR(IF(INDEX(①出口报关!$D$4:$D$303,MATCH(A179,①出口报关!$A$4:$A$303,0))=0,"",INDEX(①出口报关!$D$4:$D$303,MATCH(A179,①出口报关!$A$4:$A$303,0))),"编号不存在"))</f>
        <v/>
      </c>
      <c r="D179" s="43"/>
      <c r="E179" s="45"/>
      <c r="F179" s="41"/>
      <c r="G179" s="48"/>
      <c r="H179" s="46"/>
      <c r="I179" s="41"/>
      <c r="J179" s="30" t="str">
        <f aca="false">IF(AND(D179="未售-海外仓预退（HWC-YT）",ISNUMBER(I179)),DATE(YEAR(I179)+1,4,30),"")</f>
        <v/>
      </c>
      <c r="K179" s="51" t="str">
        <f aca="true">IF(J179="","",IF(Q179&lt;&gt;"","",J179-TODAY()))</f>
        <v/>
      </c>
      <c r="L179" s="31" t="str">
        <f aca="false">IF(OR(A179="",D179&lt;&gt;"未售-海外仓预退（HWC-YT）"),"",MIN(N(E179),MAX(0,SUMIFS(②销售核销!$I$4:$I$603,②销售核销!$E$4:$E$603,A179)-SUMIFS($E$4:$E$303,$A$4:$A$303,A179,$D$4:$D$303,"已售-按现行规定申报"))))</f>
        <v/>
      </c>
      <c r="M179" s="34" t="str">
        <f aca="false">IF(OR(L179="",N(E179)=0,H179=""),"",ROUND(H179/E179*L179,2))</f>
        <v/>
      </c>
      <c r="N179" s="46"/>
      <c r="O179" s="34" t="str">
        <f aca="false">IF(OR(N179="",H179=""),"",ROUND(N179-H179,2))</f>
        <v/>
      </c>
      <c r="P179" s="36" t="str">
        <f aca="false">IF(OR(A179="",D179&lt;&gt;"未售-海外仓预退（HWC-YT）"),"",IF(L179=0,"仍未销售：需要调整申报，全额缴回预退税",IF(L179&lt;N(E179),"部分已售：需要调整申报，全额冲减后按已售部分重报",IF(N179="","全部已售：填入实际应退税额后判断",IF(O179=0,"全部已售、无差异：无需调整申报","全部已售、有差异：需要调整申报")))))</f>
        <v/>
      </c>
      <c r="Q179" s="41"/>
      <c r="R179" s="44"/>
      <c r="S179" s="36" t="str">
        <f aca="false">IF(A179="","",IF(D179="","请选择申报方式",IF(D179&lt;&gt;"未售-海外仓预退（HWC-YT）","不涉及核算",IF(Q179&lt;&gt;"","已核算",IF(J179="","待税务办结",IF(K179&lt;0,"已逾期：税务将追回预退税",IF(K179&lt;=60,"临近截止（60天内）","待核算")))))))</f>
        <v/>
      </c>
      <c r="T179" s="30" t="str">
        <f aca="false">IF(ISNUMBER(C179),DATE(YEAR(C179)+1,4,30),"")</f>
        <v/>
      </c>
      <c r="U179" s="43"/>
    </row>
    <row r="180" customFormat="false" ht="21.75" hidden="false" customHeight="true" outlineLevel="0" collapsed="false">
      <c r="A180" s="44"/>
      <c r="B180" s="36" t="str">
        <f aca="false">IF(A180="","",IFERROR(INDEX(①出口报关!$I$4:$I$303,MATCH(A180,①出口报关!$A$4:$A$303,0)),"编号不存在"))</f>
        <v/>
      </c>
      <c r="C180" s="30" t="str">
        <f aca="false">IF(A180="","",IFERROR(IF(INDEX(①出口报关!$D$4:$D$303,MATCH(A180,①出口报关!$A$4:$A$303,0))=0,"",INDEX(①出口报关!$D$4:$D$303,MATCH(A180,①出口报关!$A$4:$A$303,0))),"编号不存在"))</f>
        <v/>
      </c>
      <c r="D180" s="43"/>
      <c r="E180" s="45"/>
      <c r="F180" s="41"/>
      <c r="G180" s="48"/>
      <c r="H180" s="46"/>
      <c r="I180" s="41"/>
      <c r="J180" s="30" t="str">
        <f aca="false">IF(AND(D180="未售-海外仓预退（HWC-YT）",ISNUMBER(I180)),DATE(YEAR(I180)+1,4,30),"")</f>
        <v/>
      </c>
      <c r="K180" s="51" t="str">
        <f aca="true">IF(J180="","",IF(Q180&lt;&gt;"","",J180-TODAY()))</f>
        <v/>
      </c>
      <c r="L180" s="31" t="str">
        <f aca="false">IF(OR(A180="",D180&lt;&gt;"未售-海外仓预退（HWC-YT）"),"",MIN(N(E180),MAX(0,SUMIFS(②销售核销!$I$4:$I$603,②销售核销!$E$4:$E$603,A180)-SUMIFS($E$4:$E$303,$A$4:$A$303,A180,$D$4:$D$303,"已售-按现行规定申报"))))</f>
        <v/>
      </c>
      <c r="M180" s="34" t="str">
        <f aca="false">IF(OR(L180="",N(E180)=0,H180=""),"",ROUND(H180/E180*L180,2))</f>
        <v/>
      </c>
      <c r="N180" s="46"/>
      <c r="O180" s="34" t="str">
        <f aca="false">IF(OR(N180="",H180=""),"",ROUND(N180-H180,2))</f>
        <v/>
      </c>
      <c r="P180" s="36" t="str">
        <f aca="false">IF(OR(A180="",D180&lt;&gt;"未售-海外仓预退（HWC-YT）"),"",IF(L180=0,"仍未销售：需要调整申报，全额缴回预退税",IF(L180&lt;N(E180),"部分已售：需要调整申报，全额冲减后按已售部分重报",IF(N180="","全部已售：填入实际应退税额后判断",IF(O180=0,"全部已售、无差异：无需调整申报","全部已售、有差异：需要调整申报")))))</f>
        <v/>
      </c>
      <c r="Q180" s="41"/>
      <c r="R180" s="44"/>
      <c r="S180" s="36" t="str">
        <f aca="false">IF(A180="","",IF(D180="","请选择申报方式",IF(D180&lt;&gt;"未售-海外仓预退（HWC-YT）","不涉及核算",IF(Q180&lt;&gt;"","已核算",IF(J180="","待税务办结",IF(K180&lt;0,"已逾期：税务将追回预退税",IF(K180&lt;=60,"临近截止（60天内）","待核算")))))))</f>
        <v/>
      </c>
      <c r="T180" s="30" t="str">
        <f aca="false">IF(ISNUMBER(C180),DATE(YEAR(C180)+1,4,30),"")</f>
        <v/>
      </c>
      <c r="U180" s="43"/>
    </row>
    <row r="181" customFormat="false" ht="21.75" hidden="false" customHeight="true" outlineLevel="0" collapsed="false">
      <c r="A181" s="44"/>
      <c r="B181" s="36" t="str">
        <f aca="false">IF(A181="","",IFERROR(INDEX(①出口报关!$I$4:$I$303,MATCH(A181,①出口报关!$A$4:$A$303,0)),"编号不存在"))</f>
        <v/>
      </c>
      <c r="C181" s="30" t="str">
        <f aca="false">IF(A181="","",IFERROR(IF(INDEX(①出口报关!$D$4:$D$303,MATCH(A181,①出口报关!$A$4:$A$303,0))=0,"",INDEX(①出口报关!$D$4:$D$303,MATCH(A181,①出口报关!$A$4:$A$303,0))),"编号不存在"))</f>
        <v/>
      </c>
      <c r="D181" s="43"/>
      <c r="E181" s="45"/>
      <c r="F181" s="41"/>
      <c r="G181" s="48"/>
      <c r="H181" s="46"/>
      <c r="I181" s="41"/>
      <c r="J181" s="30" t="str">
        <f aca="false">IF(AND(D181="未售-海外仓预退（HWC-YT）",ISNUMBER(I181)),DATE(YEAR(I181)+1,4,30),"")</f>
        <v/>
      </c>
      <c r="K181" s="51" t="str">
        <f aca="true">IF(J181="","",IF(Q181&lt;&gt;"","",J181-TODAY()))</f>
        <v/>
      </c>
      <c r="L181" s="31" t="str">
        <f aca="false">IF(OR(A181="",D181&lt;&gt;"未售-海外仓预退（HWC-YT）"),"",MIN(N(E181),MAX(0,SUMIFS(②销售核销!$I$4:$I$603,②销售核销!$E$4:$E$603,A181)-SUMIFS($E$4:$E$303,$A$4:$A$303,A181,$D$4:$D$303,"已售-按现行规定申报"))))</f>
        <v/>
      </c>
      <c r="M181" s="34" t="str">
        <f aca="false">IF(OR(L181="",N(E181)=0,H181=""),"",ROUND(H181/E181*L181,2))</f>
        <v/>
      </c>
      <c r="N181" s="46"/>
      <c r="O181" s="34" t="str">
        <f aca="false">IF(OR(N181="",H181=""),"",ROUND(N181-H181,2))</f>
        <v/>
      </c>
      <c r="P181" s="36" t="str">
        <f aca="false">IF(OR(A181="",D181&lt;&gt;"未售-海外仓预退（HWC-YT）"),"",IF(L181=0,"仍未销售：需要调整申报，全额缴回预退税",IF(L181&lt;N(E181),"部分已售：需要调整申报，全额冲减后按已售部分重报",IF(N181="","全部已售：填入实际应退税额后判断",IF(O181=0,"全部已售、无差异：无需调整申报","全部已售、有差异：需要调整申报")))))</f>
        <v/>
      </c>
      <c r="Q181" s="41"/>
      <c r="R181" s="44"/>
      <c r="S181" s="36" t="str">
        <f aca="false">IF(A181="","",IF(D181="","请选择申报方式",IF(D181&lt;&gt;"未售-海外仓预退（HWC-YT）","不涉及核算",IF(Q181&lt;&gt;"","已核算",IF(J181="","待税务办结",IF(K181&lt;0,"已逾期：税务将追回预退税",IF(K181&lt;=60,"临近截止（60天内）","待核算")))))))</f>
        <v/>
      </c>
      <c r="T181" s="30" t="str">
        <f aca="false">IF(ISNUMBER(C181),DATE(YEAR(C181)+1,4,30),"")</f>
        <v/>
      </c>
      <c r="U181" s="43"/>
    </row>
    <row r="182" customFormat="false" ht="21.75" hidden="false" customHeight="true" outlineLevel="0" collapsed="false">
      <c r="A182" s="44"/>
      <c r="B182" s="36" t="str">
        <f aca="false">IF(A182="","",IFERROR(INDEX(①出口报关!$I$4:$I$303,MATCH(A182,①出口报关!$A$4:$A$303,0)),"编号不存在"))</f>
        <v/>
      </c>
      <c r="C182" s="30" t="str">
        <f aca="false">IF(A182="","",IFERROR(IF(INDEX(①出口报关!$D$4:$D$303,MATCH(A182,①出口报关!$A$4:$A$303,0))=0,"",INDEX(①出口报关!$D$4:$D$303,MATCH(A182,①出口报关!$A$4:$A$303,0))),"编号不存在"))</f>
        <v/>
      </c>
      <c r="D182" s="43"/>
      <c r="E182" s="45"/>
      <c r="F182" s="41"/>
      <c r="G182" s="48"/>
      <c r="H182" s="46"/>
      <c r="I182" s="41"/>
      <c r="J182" s="30" t="str">
        <f aca="false">IF(AND(D182="未售-海外仓预退（HWC-YT）",ISNUMBER(I182)),DATE(YEAR(I182)+1,4,30),"")</f>
        <v/>
      </c>
      <c r="K182" s="51" t="str">
        <f aca="true">IF(J182="","",IF(Q182&lt;&gt;"","",J182-TODAY()))</f>
        <v/>
      </c>
      <c r="L182" s="31" t="str">
        <f aca="false">IF(OR(A182="",D182&lt;&gt;"未售-海外仓预退（HWC-YT）"),"",MIN(N(E182),MAX(0,SUMIFS(②销售核销!$I$4:$I$603,②销售核销!$E$4:$E$603,A182)-SUMIFS($E$4:$E$303,$A$4:$A$303,A182,$D$4:$D$303,"已售-按现行规定申报"))))</f>
        <v/>
      </c>
      <c r="M182" s="34" t="str">
        <f aca="false">IF(OR(L182="",N(E182)=0,H182=""),"",ROUND(H182/E182*L182,2))</f>
        <v/>
      </c>
      <c r="N182" s="46"/>
      <c r="O182" s="34" t="str">
        <f aca="false">IF(OR(N182="",H182=""),"",ROUND(N182-H182,2))</f>
        <v/>
      </c>
      <c r="P182" s="36" t="str">
        <f aca="false">IF(OR(A182="",D182&lt;&gt;"未售-海外仓预退（HWC-YT）"),"",IF(L182=0,"仍未销售：需要调整申报，全额缴回预退税",IF(L182&lt;N(E182),"部分已售：需要调整申报，全额冲减后按已售部分重报",IF(N182="","全部已售：填入实际应退税额后判断",IF(O182=0,"全部已售、无差异：无需调整申报","全部已售、有差异：需要调整申报")))))</f>
        <v/>
      </c>
      <c r="Q182" s="41"/>
      <c r="R182" s="44"/>
      <c r="S182" s="36" t="str">
        <f aca="false">IF(A182="","",IF(D182="","请选择申报方式",IF(D182&lt;&gt;"未售-海外仓预退（HWC-YT）","不涉及核算",IF(Q182&lt;&gt;"","已核算",IF(J182="","待税务办结",IF(K182&lt;0,"已逾期：税务将追回预退税",IF(K182&lt;=60,"临近截止（60天内）","待核算")))))))</f>
        <v/>
      </c>
      <c r="T182" s="30" t="str">
        <f aca="false">IF(ISNUMBER(C182),DATE(YEAR(C182)+1,4,30),"")</f>
        <v/>
      </c>
      <c r="U182" s="43"/>
    </row>
    <row r="183" customFormat="false" ht="21.75" hidden="false" customHeight="true" outlineLevel="0" collapsed="false">
      <c r="A183" s="44"/>
      <c r="B183" s="36" t="str">
        <f aca="false">IF(A183="","",IFERROR(INDEX(①出口报关!$I$4:$I$303,MATCH(A183,①出口报关!$A$4:$A$303,0)),"编号不存在"))</f>
        <v/>
      </c>
      <c r="C183" s="30" t="str">
        <f aca="false">IF(A183="","",IFERROR(IF(INDEX(①出口报关!$D$4:$D$303,MATCH(A183,①出口报关!$A$4:$A$303,0))=0,"",INDEX(①出口报关!$D$4:$D$303,MATCH(A183,①出口报关!$A$4:$A$303,0))),"编号不存在"))</f>
        <v/>
      </c>
      <c r="D183" s="43"/>
      <c r="E183" s="45"/>
      <c r="F183" s="41"/>
      <c r="G183" s="48"/>
      <c r="H183" s="46"/>
      <c r="I183" s="41"/>
      <c r="J183" s="30" t="str">
        <f aca="false">IF(AND(D183="未售-海外仓预退（HWC-YT）",ISNUMBER(I183)),DATE(YEAR(I183)+1,4,30),"")</f>
        <v/>
      </c>
      <c r="K183" s="51" t="str">
        <f aca="true">IF(J183="","",IF(Q183&lt;&gt;"","",J183-TODAY()))</f>
        <v/>
      </c>
      <c r="L183" s="31" t="str">
        <f aca="false">IF(OR(A183="",D183&lt;&gt;"未售-海外仓预退（HWC-YT）"),"",MIN(N(E183),MAX(0,SUMIFS(②销售核销!$I$4:$I$603,②销售核销!$E$4:$E$603,A183)-SUMIFS($E$4:$E$303,$A$4:$A$303,A183,$D$4:$D$303,"已售-按现行规定申报"))))</f>
        <v/>
      </c>
      <c r="M183" s="34" t="str">
        <f aca="false">IF(OR(L183="",N(E183)=0,H183=""),"",ROUND(H183/E183*L183,2))</f>
        <v/>
      </c>
      <c r="N183" s="46"/>
      <c r="O183" s="34" t="str">
        <f aca="false">IF(OR(N183="",H183=""),"",ROUND(N183-H183,2))</f>
        <v/>
      </c>
      <c r="P183" s="36" t="str">
        <f aca="false">IF(OR(A183="",D183&lt;&gt;"未售-海外仓预退（HWC-YT）"),"",IF(L183=0,"仍未销售：需要调整申报，全额缴回预退税",IF(L183&lt;N(E183),"部分已售：需要调整申报，全额冲减后按已售部分重报",IF(N183="","全部已售：填入实际应退税额后判断",IF(O183=0,"全部已售、无差异：无需调整申报","全部已售、有差异：需要调整申报")))))</f>
        <v/>
      </c>
      <c r="Q183" s="41"/>
      <c r="R183" s="44"/>
      <c r="S183" s="36" t="str">
        <f aca="false">IF(A183="","",IF(D183="","请选择申报方式",IF(D183&lt;&gt;"未售-海外仓预退（HWC-YT）","不涉及核算",IF(Q183&lt;&gt;"","已核算",IF(J183="","待税务办结",IF(K183&lt;0,"已逾期：税务将追回预退税",IF(K183&lt;=60,"临近截止（60天内）","待核算")))))))</f>
        <v/>
      </c>
      <c r="T183" s="30" t="str">
        <f aca="false">IF(ISNUMBER(C183),DATE(YEAR(C183)+1,4,30),"")</f>
        <v/>
      </c>
      <c r="U183" s="43"/>
    </row>
    <row r="184" customFormat="false" ht="21.75" hidden="false" customHeight="true" outlineLevel="0" collapsed="false">
      <c r="A184" s="44"/>
      <c r="B184" s="36" t="str">
        <f aca="false">IF(A184="","",IFERROR(INDEX(①出口报关!$I$4:$I$303,MATCH(A184,①出口报关!$A$4:$A$303,0)),"编号不存在"))</f>
        <v/>
      </c>
      <c r="C184" s="30" t="str">
        <f aca="false">IF(A184="","",IFERROR(IF(INDEX(①出口报关!$D$4:$D$303,MATCH(A184,①出口报关!$A$4:$A$303,0))=0,"",INDEX(①出口报关!$D$4:$D$303,MATCH(A184,①出口报关!$A$4:$A$303,0))),"编号不存在"))</f>
        <v/>
      </c>
      <c r="D184" s="43"/>
      <c r="E184" s="45"/>
      <c r="F184" s="41"/>
      <c r="G184" s="48"/>
      <c r="H184" s="46"/>
      <c r="I184" s="41"/>
      <c r="J184" s="30" t="str">
        <f aca="false">IF(AND(D184="未售-海外仓预退（HWC-YT）",ISNUMBER(I184)),DATE(YEAR(I184)+1,4,30),"")</f>
        <v/>
      </c>
      <c r="K184" s="51" t="str">
        <f aca="true">IF(J184="","",IF(Q184&lt;&gt;"","",J184-TODAY()))</f>
        <v/>
      </c>
      <c r="L184" s="31" t="str">
        <f aca="false">IF(OR(A184="",D184&lt;&gt;"未售-海外仓预退（HWC-YT）"),"",MIN(N(E184),MAX(0,SUMIFS(②销售核销!$I$4:$I$603,②销售核销!$E$4:$E$603,A184)-SUMIFS($E$4:$E$303,$A$4:$A$303,A184,$D$4:$D$303,"已售-按现行规定申报"))))</f>
        <v/>
      </c>
      <c r="M184" s="34" t="str">
        <f aca="false">IF(OR(L184="",N(E184)=0,H184=""),"",ROUND(H184/E184*L184,2))</f>
        <v/>
      </c>
      <c r="N184" s="46"/>
      <c r="O184" s="34" t="str">
        <f aca="false">IF(OR(N184="",H184=""),"",ROUND(N184-H184,2))</f>
        <v/>
      </c>
      <c r="P184" s="36" t="str">
        <f aca="false">IF(OR(A184="",D184&lt;&gt;"未售-海外仓预退（HWC-YT）"),"",IF(L184=0,"仍未销售：需要调整申报，全额缴回预退税",IF(L184&lt;N(E184),"部分已售：需要调整申报，全额冲减后按已售部分重报",IF(N184="","全部已售：填入实际应退税额后判断",IF(O184=0,"全部已售、无差异：无需调整申报","全部已售、有差异：需要调整申报")))))</f>
        <v/>
      </c>
      <c r="Q184" s="41"/>
      <c r="R184" s="44"/>
      <c r="S184" s="36" t="str">
        <f aca="false">IF(A184="","",IF(D184="","请选择申报方式",IF(D184&lt;&gt;"未售-海外仓预退（HWC-YT）","不涉及核算",IF(Q184&lt;&gt;"","已核算",IF(J184="","待税务办结",IF(K184&lt;0,"已逾期：税务将追回预退税",IF(K184&lt;=60,"临近截止（60天内）","待核算")))))))</f>
        <v/>
      </c>
      <c r="T184" s="30" t="str">
        <f aca="false">IF(ISNUMBER(C184),DATE(YEAR(C184)+1,4,30),"")</f>
        <v/>
      </c>
      <c r="U184" s="43"/>
    </row>
    <row r="185" customFormat="false" ht="21.75" hidden="false" customHeight="true" outlineLevel="0" collapsed="false">
      <c r="A185" s="44"/>
      <c r="B185" s="36" t="str">
        <f aca="false">IF(A185="","",IFERROR(INDEX(①出口报关!$I$4:$I$303,MATCH(A185,①出口报关!$A$4:$A$303,0)),"编号不存在"))</f>
        <v/>
      </c>
      <c r="C185" s="30" t="str">
        <f aca="false">IF(A185="","",IFERROR(IF(INDEX(①出口报关!$D$4:$D$303,MATCH(A185,①出口报关!$A$4:$A$303,0))=0,"",INDEX(①出口报关!$D$4:$D$303,MATCH(A185,①出口报关!$A$4:$A$303,0))),"编号不存在"))</f>
        <v/>
      </c>
      <c r="D185" s="43"/>
      <c r="E185" s="45"/>
      <c r="F185" s="41"/>
      <c r="G185" s="48"/>
      <c r="H185" s="46"/>
      <c r="I185" s="41"/>
      <c r="J185" s="30" t="str">
        <f aca="false">IF(AND(D185="未售-海外仓预退（HWC-YT）",ISNUMBER(I185)),DATE(YEAR(I185)+1,4,30),"")</f>
        <v/>
      </c>
      <c r="K185" s="51" t="str">
        <f aca="true">IF(J185="","",IF(Q185&lt;&gt;"","",J185-TODAY()))</f>
        <v/>
      </c>
      <c r="L185" s="31" t="str">
        <f aca="false">IF(OR(A185="",D185&lt;&gt;"未售-海外仓预退（HWC-YT）"),"",MIN(N(E185),MAX(0,SUMIFS(②销售核销!$I$4:$I$603,②销售核销!$E$4:$E$603,A185)-SUMIFS($E$4:$E$303,$A$4:$A$303,A185,$D$4:$D$303,"已售-按现行规定申报"))))</f>
        <v/>
      </c>
      <c r="M185" s="34" t="str">
        <f aca="false">IF(OR(L185="",N(E185)=0,H185=""),"",ROUND(H185/E185*L185,2))</f>
        <v/>
      </c>
      <c r="N185" s="46"/>
      <c r="O185" s="34" t="str">
        <f aca="false">IF(OR(N185="",H185=""),"",ROUND(N185-H185,2))</f>
        <v/>
      </c>
      <c r="P185" s="36" t="str">
        <f aca="false">IF(OR(A185="",D185&lt;&gt;"未售-海外仓预退（HWC-YT）"),"",IF(L185=0,"仍未销售：需要调整申报，全额缴回预退税",IF(L185&lt;N(E185),"部分已售：需要调整申报，全额冲减后按已售部分重报",IF(N185="","全部已售：填入实际应退税额后判断",IF(O185=0,"全部已售、无差异：无需调整申报","全部已售、有差异：需要调整申报")))))</f>
        <v/>
      </c>
      <c r="Q185" s="41"/>
      <c r="R185" s="44"/>
      <c r="S185" s="36" t="str">
        <f aca="false">IF(A185="","",IF(D185="","请选择申报方式",IF(D185&lt;&gt;"未售-海外仓预退（HWC-YT）","不涉及核算",IF(Q185&lt;&gt;"","已核算",IF(J185="","待税务办结",IF(K185&lt;0,"已逾期：税务将追回预退税",IF(K185&lt;=60,"临近截止（60天内）","待核算")))))))</f>
        <v/>
      </c>
      <c r="T185" s="30" t="str">
        <f aca="false">IF(ISNUMBER(C185),DATE(YEAR(C185)+1,4,30),"")</f>
        <v/>
      </c>
      <c r="U185" s="43"/>
    </row>
    <row r="186" customFormat="false" ht="21.75" hidden="false" customHeight="true" outlineLevel="0" collapsed="false">
      <c r="A186" s="44"/>
      <c r="B186" s="36" t="str">
        <f aca="false">IF(A186="","",IFERROR(INDEX(①出口报关!$I$4:$I$303,MATCH(A186,①出口报关!$A$4:$A$303,0)),"编号不存在"))</f>
        <v/>
      </c>
      <c r="C186" s="30" t="str">
        <f aca="false">IF(A186="","",IFERROR(IF(INDEX(①出口报关!$D$4:$D$303,MATCH(A186,①出口报关!$A$4:$A$303,0))=0,"",INDEX(①出口报关!$D$4:$D$303,MATCH(A186,①出口报关!$A$4:$A$303,0))),"编号不存在"))</f>
        <v/>
      </c>
      <c r="D186" s="43"/>
      <c r="E186" s="45"/>
      <c r="F186" s="41"/>
      <c r="G186" s="48"/>
      <c r="H186" s="46"/>
      <c r="I186" s="41"/>
      <c r="J186" s="30" t="str">
        <f aca="false">IF(AND(D186="未售-海外仓预退（HWC-YT）",ISNUMBER(I186)),DATE(YEAR(I186)+1,4,30),"")</f>
        <v/>
      </c>
      <c r="K186" s="51" t="str">
        <f aca="true">IF(J186="","",IF(Q186&lt;&gt;"","",J186-TODAY()))</f>
        <v/>
      </c>
      <c r="L186" s="31" t="str">
        <f aca="false">IF(OR(A186="",D186&lt;&gt;"未售-海外仓预退（HWC-YT）"),"",MIN(N(E186),MAX(0,SUMIFS(②销售核销!$I$4:$I$603,②销售核销!$E$4:$E$603,A186)-SUMIFS($E$4:$E$303,$A$4:$A$303,A186,$D$4:$D$303,"已售-按现行规定申报"))))</f>
        <v/>
      </c>
      <c r="M186" s="34" t="str">
        <f aca="false">IF(OR(L186="",N(E186)=0,H186=""),"",ROUND(H186/E186*L186,2))</f>
        <v/>
      </c>
      <c r="N186" s="46"/>
      <c r="O186" s="34" t="str">
        <f aca="false">IF(OR(N186="",H186=""),"",ROUND(N186-H186,2))</f>
        <v/>
      </c>
      <c r="P186" s="36" t="str">
        <f aca="false">IF(OR(A186="",D186&lt;&gt;"未售-海外仓预退（HWC-YT）"),"",IF(L186=0,"仍未销售：需要调整申报，全额缴回预退税",IF(L186&lt;N(E186),"部分已售：需要调整申报，全额冲减后按已售部分重报",IF(N186="","全部已售：填入实际应退税额后判断",IF(O186=0,"全部已售、无差异：无需调整申报","全部已售、有差异：需要调整申报")))))</f>
        <v/>
      </c>
      <c r="Q186" s="41"/>
      <c r="R186" s="44"/>
      <c r="S186" s="36" t="str">
        <f aca="false">IF(A186="","",IF(D186="","请选择申报方式",IF(D186&lt;&gt;"未售-海外仓预退（HWC-YT）","不涉及核算",IF(Q186&lt;&gt;"","已核算",IF(J186="","待税务办结",IF(K186&lt;0,"已逾期：税务将追回预退税",IF(K186&lt;=60,"临近截止（60天内）","待核算")))))))</f>
        <v/>
      </c>
      <c r="T186" s="30" t="str">
        <f aca="false">IF(ISNUMBER(C186),DATE(YEAR(C186)+1,4,30),"")</f>
        <v/>
      </c>
      <c r="U186" s="43"/>
    </row>
    <row r="187" customFormat="false" ht="21.75" hidden="false" customHeight="true" outlineLevel="0" collapsed="false">
      <c r="A187" s="44"/>
      <c r="B187" s="36" t="str">
        <f aca="false">IF(A187="","",IFERROR(INDEX(①出口报关!$I$4:$I$303,MATCH(A187,①出口报关!$A$4:$A$303,0)),"编号不存在"))</f>
        <v/>
      </c>
      <c r="C187" s="30" t="str">
        <f aca="false">IF(A187="","",IFERROR(IF(INDEX(①出口报关!$D$4:$D$303,MATCH(A187,①出口报关!$A$4:$A$303,0))=0,"",INDEX(①出口报关!$D$4:$D$303,MATCH(A187,①出口报关!$A$4:$A$303,0))),"编号不存在"))</f>
        <v/>
      </c>
      <c r="D187" s="43"/>
      <c r="E187" s="45"/>
      <c r="F187" s="41"/>
      <c r="G187" s="48"/>
      <c r="H187" s="46"/>
      <c r="I187" s="41"/>
      <c r="J187" s="30" t="str">
        <f aca="false">IF(AND(D187="未售-海外仓预退（HWC-YT）",ISNUMBER(I187)),DATE(YEAR(I187)+1,4,30),"")</f>
        <v/>
      </c>
      <c r="K187" s="51" t="str">
        <f aca="true">IF(J187="","",IF(Q187&lt;&gt;"","",J187-TODAY()))</f>
        <v/>
      </c>
      <c r="L187" s="31" t="str">
        <f aca="false">IF(OR(A187="",D187&lt;&gt;"未售-海外仓预退（HWC-YT）"),"",MIN(N(E187),MAX(0,SUMIFS(②销售核销!$I$4:$I$603,②销售核销!$E$4:$E$603,A187)-SUMIFS($E$4:$E$303,$A$4:$A$303,A187,$D$4:$D$303,"已售-按现行规定申报"))))</f>
        <v/>
      </c>
      <c r="M187" s="34" t="str">
        <f aca="false">IF(OR(L187="",N(E187)=0,H187=""),"",ROUND(H187/E187*L187,2))</f>
        <v/>
      </c>
      <c r="N187" s="46"/>
      <c r="O187" s="34" t="str">
        <f aca="false">IF(OR(N187="",H187=""),"",ROUND(N187-H187,2))</f>
        <v/>
      </c>
      <c r="P187" s="36" t="str">
        <f aca="false">IF(OR(A187="",D187&lt;&gt;"未售-海外仓预退（HWC-YT）"),"",IF(L187=0,"仍未销售：需要调整申报，全额缴回预退税",IF(L187&lt;N(E187),"部分已售：需要调整申报，全额冲减后按已售部分重报",IF(N187="","全部已售：填入实际应退税额后判断",IF(O187=0,"全部已售、无差异：无需调整申报","全部已售、有差异：需要调整申报")))))</f>
        <v/>
      </c>
      <c r="Q187" s="41"/>
      <c r="R187" s="44"/>
      <c r="S187" s="36" t="str">
        <f aca="false">IF(A187="","",IF(D187="","请选择申报方式",IF(D187&lt;&gt;"未售-海外仓预退（HWC-YT）","不涉及核算",IF(Q187&lt;&gt;"","已核算",IF(J187="","待税务办结",IF(K187&lt;0,"已逾期：税务将追回预退税",IF(K187&lt;=60,"临近截止（60天内）","待核算")))))))</f>
        <v/>
      </c>
      <c r="T187" s="30" t="str">
        <f aca="false">IF(ISNUMBER(C187),DATE(YEAR(C187)+1,4,30),"")</f>
        <v/>
      </c>
      <c r="U187" s="43"/>
    </row>
    <row r="188" customFormat="false" ht="21.75" hidden="false" customHeight="true" outlineLevel="0" collapsed="false">
      <c r="A188" s="44"/>
      <c r="B188" s="36" t="str">
        <f aca="false">IF(A188="","",IFERROR(INDEX(①出口报关!$I$4:$I$303,MATCH(A188,①出口报关!$A$4:$A$303,0)),"编号不存在"))</f>
        <v/>
      </c>
      <c r="C188" s="30" t="str">
        <f aca="false">IF(A188="","",IFERROR(IF(INDEX(①出口报关!$D$4:$D$303,MATCH(A188,①出口报关!$A$4:$A$303,0))=0,"",INDEX(①出口报关!$D$4:$D$303,MATCH(A188,①出口报关!$A$4:$A$303,0))),"编号不存在"))</f>
        <v/>
      </c>
      <c r="D188" s="43"/>
      <c r="E188" s="45"/>
      <c r="F188" s="41"/>
      <c r="G188" s="48"/>
      <c r="H188" s="46"/>
      <c r="I188" s="41"/>
      <c r="J188" s="30" t="str">
        <f aca="false">IF(AND(D188="未售-海外仓预退（HWC-YT）",ISNUMBER(I188)),DATE(YEAR(I188)+1,4,30),"")</f>
        <v/>
      </c>
      <c r="K188" s="51" t="str">
        <f aca="true">IF(J188="","",IF(Q188&lt;&gt;"","",J188-TODAY()))</f>
        <v/>
      </c>
      <c r="L188" s="31" t="str">
        <f aca="false">IF(OR(A188="",D188&lt;&gt;"未售-海外仓预退（HWC-YT）"),"",MIN(N(E188),MAX(0,SUMIFS(②销售核销!$I$4:$I$603,②销售核销!$E$4:$E$603,A188)-SUMIFS($E$4:$E$303,$A$4:$A$303,A188,$D$4:$D$303,"已售-按现行规定申报"))))</f>
        <v/>
      </c>
      <c r="M188" s="34" t="str">
        <f aca="false">IF(OR(L188="",N(E188)=0,H188=""),"",ROUND(H188/E188*L188,2))</f>
        <v/>
      </c>
      <c r="N188" s="46"/>
      <c r="O188" s="34" t="str">
        <f aca="false">IF(OR(N188="",H188=""),"",ROUND(N188-H188,2))</f>
        <v/>
      </c>
      <c r="P188" s="36" t="str">
        <f aca="false">IF(OR(A188="",D188&lt;&gt;"未售-海外仓预退（HWC-YT）"),"",IF(L188=0,"仍未销售：需要调整申报，全额缴回预退税",IF(L188&lt;N(E188),"部分已售：需要调整申报，全额冲减后按已售部分重报",IF(N188="","全部已售：填入实际应退税额后判断",IF(O188=0,"全部已售、无差异：无需调整申报","全部已售、有差异：需要调整申报")))))</f>
        <v/>
      </c>
      <c r="Q188" s="41"/>
      <c r="R188" s="44"/>
      <c r="S188" s="36" t="str">
        <f aca="false">IF(A188="","",IF(D188="","请选择申报方式",IF(D188&lt;&gt;"未售-海外仓预退（HWC-YT）","不涉及核算",IF(Q188&lt;&gt;"","已核算",IF(J188="","待税务办结",IF(K188&lt;0,"已逾期：税务将追回预退税",IF(K188&lt;=60,"临近截止（60天内）","待核算")))))))</f>
        <v/>
      </c>
      <c r="T188" s="30" t="str">
        <f aca="false">IF(ISNUMBER(C188),DATE(YEAR(C188)+1,4,30),"")</f>
        <v/>
      </c>
      <c r="U188" s="43"/>
    </row>
    <row r="189" customFormat="false" ht="21.75" hidden="false" customHeight="true" outlineLevel="0" collapsed="false">
      <c r="A189" s="44"/>
      <c r="B189" s="36" t="str">
        <f aca="false">IF(A189="","",IFERROR(INDEX(①出口报关!$I$4:$I$303,MATCH(A189,①出口报关!$A$4:$A$303,0)),"编号不存在"))</f>
        <v/>
      </c>
      <c r="C189" s="30" t="str">
        <f aca="false">IF(A189="","",IFERROR(IF(INDEX(①出口报关!$D$4:$D$303,MATCH(A189,①出口报关!$A$4:$A$303,0))=0,"",INDEX(①出口报关!$D$4:$D$303,MATCH(A189,①出口报关!$A$4:$A$303,0))),"编号不存在"))</f>
        <v/>
      </c>
      <c r="D189" s="43"/>
      <c r="E189" s="45"/>
      <c r="F189" s="41"/>
      <c r="G189" s="48"/>
      <c r="H189" s="46"/>
      <c r="I189" s="41"/>
      <c r="J189" s="30" t="str">
        <f aca="false">IF(AND(D189="未售-海外仓预退（HWC-YT）",ISNUMBER(I189)),DATE(YEAR(I189)+1,4,30),"")</f>
        <v/>
      </c>
      <c r="K189" s="51" t="str">
        <f aca="true">IF(J189="","",IF(Q189&lt;&gt;"","",J189-TODAY()))</f>
        <v/>
      </c>
      <c r="L189" s="31" t="str">
        <f aca="false">IF(OR(A189="",D189&lt;&gt;"未售-海外仓预退（HWC-YT）"),"",MIN(N(E189),MAX(0,SUMIFS(②销售核销!$I$4:$I$603,②销售核销!$E$4:$E$603,A189)-SUMIFS($E$4:$E$303,$A$4:$A$303,A189,$D$4:$D$303,"已售-按现行规定申报"))))</f>
        <v/>
      </c>
      <c r="M189" s="34" t="str">
        <f aca="false">IF(OR(L189="",N(E189)=0,H189=""),"",ROUND(H189/E189*L189,2))</f>
        <v/>
      </c>
      <c r="N189" s="46"/>
      <c r="O189" s="34" t="str">
        <f aca="false">IF(OR(N189="",H189=""),"",ROUND(N189-H189,2))</f>
        <v/>
      </c>
      <c r="P189" s="36" t="str">
        <f aca="false">IF(OR(A189="",D189&lt;&gt;"未售-海外仓预退（HWC-YT）"),"",IF(L189=0,"仍未销售：需要调整申报，全额缴回预退税",IF(L189&lt;N(E189),"部分已售：需要调整申报，全额冲减后按已售部分重报",IF(N189="","全部已售：填入实际应退税额后判断",IF(O189=0,"全部已售、无差异：无需调整申报","全部已售、有差异：需要调整申报")))))</f>
        <v/>
      </c>
      <c r="Q189" s="41"/>
      <c r="R189" s="44"/>
      <c r="S189" s="36" t="str">
        <f aca="false">IF(A189="","",IF(D189="","请选择申报方式",IF(D189&lt;&gt;"未售-海外仓预退（HWC-YT）","不涉及核算",IF(Q189&lt;&gt;"","已核算",IF(J189="","待税务办结",IF(K189&lt;0,"已逾期：税务将追回预退税",IF(K189&lt;=60,"临近截止（60天内）","待核算")))))))</f>
        <v/>
      </c>
      <c r="T189" s="30" t="str">
        <f aca="false">IF(ISNUMBER(C189),DATE(YEAR(C189)+1,4,30),"")</f>
        <v/>
      </c>
      <c r="U189" s="43"/>
    </row>
    <row r="190" customFormat="false" ht="21.75" hidden="false" customHeight="true" outlineLevel="0" collapsed="false">
      <c r="A190" s="44"/>
      <c r="B190" s="36" t="str">
        <f aca="false">IF(A190="","",IFERROR(INDEX(①出口报关!$I$4:$I$303,MATCH(A190,①出口报关!$A$4:$A$303,0)),"编号不存在"))</f>
        <v/>
      </c>
      <c r="C190" s="30" t="str">
        <f aca="false">IF(A190="","",IFERROR(IF(INDEX(①出口报关!$D$4:$D$303,MATCH(A190,①出口报关!$A$4:$A$303,0))=0,"",INDEX(①出口报关!$D$4:$D$303,MATCH(A190,①出口报关!$A$4:$A$303,0))),"编号不存在"))</f>
        <v/>
      </c>
      <c r="D190" s="43"/>
      <c r="E190" s="45"/>
      <c r="F190" s="41"/>
      <c r="G190" s="48"/>
      <c r="H190" s="46"/>
      <c r="I190" s="41"/>
      <c r="J190" s="30" t="str">
        <f aca="false">IF(AND(D190="未售-海外仓预退（HWC-YT）",ISNUMBER(I190)),DATE(YEAR(I190)+1,4,30),"")</f>
        <v/>
      </c>
      <c r="K190" s="51" t="str">
        <f aca="true">IF(J190="","",IF(Q190&lt;&gt;"","",J190-TODAY()))</f>
        <v/>
      </c>
      <c r="L190" s="31" t="str">
        <f aca="false">IF(OR(A190="",D190&lt;&gt;"未售-海外仓预退（HWC-YT）"),"",MIN(N(E190),MAX(0,SUMIFS(②销售核销!$I$4:$I$603,②销售核销!$E$4:$E$603,A190)-SUMIFS($E$4:$E$303,$A$4:$A$303,A190,$D$4:$D$303,"已售-按现行规定申报"))))</f>
        <v/>
      </c>
      <c r="M190" s="34" t="str">
        <f aca="false">IF(OR(L190="",N(E190)=0,H190=""),"",ROUND(H190/E190*L190,2))</f>
        <v/>
      </c>
      <c r="N190" s="46"/>
      <c r="O190" s="34" t="str">
        <f aca="false">IF(OR(N190="",H190=""),"",ROUND(N190-H190,2))</f>
        <v/>
      </c>
      <c r="P190" s="36" t="str">
        <f aca="false">IF(OR(A190="",D190&lt;&gt;"未售-海外仓预退（HWC-YT）"),"",IF(L190=0,"仍未销售：需要调整申报，全额缴回预退税",IF(L190&lt;N(E190),"部分已售：需要调整申报，全额冲减后按已售部分重报",IF(N190="","全部已售：填入实际应退税额后判断",IF(O190=0,"全部已售、无差异：无需调整申报","全部已售、有差异：需要调整申报")))))</f>
        <v/>
      </c>
      <c r="Q190" s="41"/>
      <c r="R190" s="44"/>
      <c r="S190" s="36" t="str">
        <f aca="false">IF(A190="","",IF(D190="","请选择申报方式",IF(D190&lt;&gt;"未售-海外仓预退（HWC-YT）","不涉及核算",IF(Q190&lt;&gt;"","已核算",IF(J190="","待税务办结",IF(K190&lt;0,"已逾期：税务将追回预退税",IF(K190&lt;=60,"临近截止（60天内）","待核算")))))))</f>
        <v/>
      </c>
      <c r="T190" s="30" t="str">
        <f aca="false">IF(ISNUMBER(C190),DATE(YEAR(C190)+1,4,30),"")</f>
        <v/>
      </c>
      <c r="U190" s="43"/>
    </row>
    <row r="191" customFormat="false" ht="21.75" hidden="false" customHeight="true" outlineLevel="0" collapsed="false">
      <c r="A191" s="44"/>
      <c r="B191" s="36" t="str">
        <f aca="false">IF(A191="","",IFERROR(INDEX(①出口报关!$I$4:$I$303,MATCH(A191,①出口报关!$A$4:$A$303,0)),"编号不存在"))</f>
        <v/>
      </c>
      <c r="C191" s="30" t="str">
        <f aca="false">IF(A191="","",IFERROR(IF(INDEX(①出口报关!$D$4:$D$303,MATCH(A191,①出口报关!$A$4:$A$303,0))=0,"",INDEX(①出口报关!$D$4:$D$303,MATCH(A191,①出口报关!$A$4:$A$303,0))),"编号不存在"))</f>
        <v/>
      </c>
      <c r="D191" s="43"/>
      <c r="E191" s="45"/>
      <c r="F191" s="41"/>
      <c r="G191" s="48"/>
      <c r="H191" s="46"/>
      <c r="I191" s="41"/>
      <c r="J191" s="30" t="str">
        <f aca="false">IF(AND(D191="未售-海外仓预退（HWC-YT）",ISNUMBER(I191)),DATE(YEAR(I191)+1,4,30),"")</f>
        <v/>
      </c>
      <c r="K191" s="51" t="str">
        <f aca="true">IF(J191="","",IF(Q191&lt;&gt;"","",J191-TODAY()))</f>
        <v/>
      </c>
      <c r="L191" s="31" t="str">
        <f aca="false">IF(OR(A191="",D191&lt;&gt;"未售-海外仓预退（HWC-YT）"),"",MIN(N(E191),MAX(0,SUMIFS(②销售核销!$I$4:$I$603,②销售核销!$E$4:$E$603,A191)-SUMIFS($E$4:$E$303,$A$4:$A$303,A191,$D$4:$D$303,"已售-按现行规定申报"))))</f>
        <v/>
      </c>
      <c r="M191" s="34" t="str">
        <f aca="false">IF(OR(L191="",N(E191)=0,H191=""),"",ROUND(H191/E191*L191,2))</f>
        <v/>
      </c>
      <c r="N191" s="46"/>
      <c r="O191" s="34" t="str">
        <f aca="false">IF(OR(N191="",H191=""),"",ROUND(N191-H191,2))</f>
        <v/>
      </c>
      <c r="P191" s="36" t="str">
        <f aca="false">IF(OR(A191="",D191&lt;&gt;"未售-海外仓预退（HWC-YT）"),"",IF(L191=0,"仍未销售：需要调整申报，全额缴回预退税",IF(L191&lt;N(E191),"部分已售：需要调整申报，全额冲减后按已售部分重报",IF(N191="","全部已售：填入实际应退税额后判断",IF(O191=0,"全部已售、无差异：无需调整申报","全部已售、有差异：需要调整申报")))))</f>
        <v/>
      </c>
      <c r="Q191" s="41"/>
      <c r="R191" s="44"/>
      <c r="S191" s="36" t="str">
        <f aca="false">IF(A191="","",IF(D191="","请选择申报方式",IF(D191&lt;&gt;"未售-海外仓预退（HWC-YT）","不涉及核算",IF(Q191&lt;&gt;"","已核算",IF(J191="","待税务办结",IF(K191&lt;0,"已逾期：税务将追回预退税",IF(K191&lt;=60,"临近截止（60天内）","待核算")))))))</f>
        <v/>
      </c>
      <c r="T191" s="30" t="str">
        <f aca="false">IF(ISNUMBER(C191),DATE(YEAR(C191)+1,4,30),"")</f>
        <v/>
      </c>
      <c r="U191" s="43"/>
    </row>
    <row r="192" customFormat="false" ht="21.75" hidden="false" customHeight="true" outlineLevel="0" collapsed="false">
      <c r="A192" s="44"/>
      <c r="B192" s="36" t="str">
        <f aca="false">IF(A192="","",IFERROR(INDEX(①出口报关!$I$4:$I$303,MATCH(A192,①出口报关!$A$4:$A$303,0)),"编号不存在"))</f>
        <v/>
      </c>
      <c r="C192" s="30" t="str">
        <f aca="false">IF(A192="","",IFERROR(IF(INDEX(①出口报关!$D$4:$D$303,MATCH(A192,①出口报关!$A$4:$A$303,0))=0,"",INDEX(①出口报关!$D$4:$D$303,MATCH(A192,①出口报关!$A$4:$A$303,0))),"编号不存在"))</f>
        <v/>
      </c>
      <c r="D192" s="43"/>
      <c r="E192" s="45"/>
      <c r="F192" s="41"/>
      <c r="G192" s="48"/>
      <c r="H192" s="46"/>
      <c r="I192" s="41"/>
      <c r="J192" s="30" t="str">
        <f aca="false">IF(AND(D192="未售-海外仓预退（HWC-YT）",ISNUMBER(I192)),DATE(YEAR(I192)+1,4,30),"")</f>
        <v/>
      </c>
      <c r="K192" s="51" t="str">
        <f aca="true">IF(J192="","",IF(Q192&lt;&gt;"","",J192-TODAY()))</f>
        <v/>
      </c>
      <c r="L192" s="31" t="str">
        <f aca="false">IF(OR(A192="",D192&lt;&gt;"未售-海外仓预退（HWC-YT）"),"",MIN(N(E192),MAX(0,SUMIFS(②销售核销!$I$4:$I$603,②销售核销!$E$4:$E$603,A192)-SUMIFS($E$4:$E$303,$A$4:$A$303,A192,$D$4:$D$303,"已售-按现行规定申报"))))</f>
        <v/>
      </c>
      <c r="M192" s="34" t="str">
        <f aca="false">IF(OR(L192="",N(E192)=0,H192=""),"",ROUND(H192/E192*L192,2))</f>
        <v/>
      </c>
      <c r="N192" s="46"/>
      <c r="O192" s="34" t="str">
        <f aca="false">IF(OR(N192="",H192=""),"",ROUND(N192-H192,2))</f>
        <v/>
      </c>
      <c r="P192" s="36" t="str">
        <f aca="false">IF(OR(A192="",D192&lt;&gt;"未售-海外仓预退（HWC-YT）"),"",IF(L192=0,"仍未销售：需要调整申报，全额缴回预退税",IF(L192&lt;N(E192),"部分已售：需要调整申报，全额冲减后按已售部分重报",IF(N192="","全部已售：填入实际应退税额后判断",IF(O192=0,"全部已售、无差异：无需调整申报","全部已售、有差异：需要调整申报")))))</f>
        <v/>
      </c>
      <c r="Q192" s="41"/>
      <c r="R192" s="44"/>
      <c r="S192" s="36" t="str">
        <f aca="false">IF(A192="","",IF(D192="","请选择申报方式",IF(D192&lt;&gt;"未售-海外仓预退（HWC-YT）","不涉及核算",IF(Q192&lt;&gt;"","已核算",IF(J192="","待税务办结",IF(K192&lt;0,"已逾期：税务将追回预退税",IF(K192&lt;=60,"临近截止（60天内）","待核算")))))))</f>
        <v/>
      </c>
      <c r="T192" s="30" t="str">
        <f aca="false">IF(ISNUMBER(C192),DATE(YEAR(C192)+1,4,30),"")</f>
        <v/>
      </c>
      <c r="U192" s="43"/>
    </row>
    <row r="193" customFormat="false" ht="21.75" hidden="false" customHeight="true" outlineLevel="0" collapsed="false">
      <c r="A193" s="44"/>
      <c r="B193" s="36" t="str">
        <f aca="false">IF(A193="","",IFERROR(INDEX(①出口报关!$I$4:$I$303,MATCH(A193,①出口报关!$A$4:$A$303,0)),"编号不存在"))</f>
        <v/>
      </c>
      <c r="C193" s="30" t="str">
        <f aca="false">IF(A193="","",IFERROR(IF(INDEX(①出口报关!$D$4:$D$303,MATCH(A193,①出口报关!$A$4:$A$303,0))=0,"",INDEX(①出口报关!$D$4:$D$303,MATCH(A193,①出口报关!$A$4:$A$303,0))),"编号不存在"))</f>
        <v/>
      </c>
      <c r="D193" s="43"/>
      <c r="E193" s="45"/>
      <c r="F193" s="41"/>
      <c r="G193" s="48"/>
      <c r="H193" s="46"/>
      <c r="I193" s="41"/>
      <c r="J193" s="30" t="str">
        <f aca="false">IF(AND(D193="未售-海外仓预退（HWC-YT）",ISNUMBER(I193)),DATE(YEAR(I193)+1,4,30),"")</f>
        <v/>
      </c>
      <c r="K193" s="51" t="str">
        <f aca="true">IF(J193="","",IF(Q193&lt;&gt;"","",J193-TODAY()))</f>
        <v/>
      </c>
      <c r="L193" s="31" t="str">
        <f aca="false">IF(OR(A193="",D193&lt;&gt;"未售-海外仓预退（HWC-YT）"),"",MIN(N(E193),MAX(0,SUMIFS(②销售核销!$I$4:$I$603,②销售核销!$E$4:$E$603,A193)-SUMIFS($E$4:$E$303,$A$4:$A$303,A193,$D$4:$D$303,"已售-按现行规定申报"))))</f>
        <v/>
      </c>
      <c r="M193" s="34" t="str">
        <f aca="false">IF(OR(L193="",N(E193)=0,H193=""),"",ROUND(H193/E193*L193,2))</f>
        <v/>
      </c>
      <c r="N193" s="46"/>
      <c r="O193" s="34" t="str">
        <f aca="false">IF(OR(N193="",H193=""),"",ROUND(N193-H193,2))</f>
        <v/>
      </c>
      <c r="P193" s="36" t="str">
        <f aca="false">IF(OR(A193="",D193&lt;&gt;"未售-海外仓预退（HWC-YT）"),"",IF(L193=0,"仍未销售：需要调整申报，全额缴回预退税",IF(L193&lt;N(E193),"部分已售：需要调整申报，全额冲减后按已售部分重报",IF(N193="","全部已售：填入实际应退税额后判断",IF(O193=0,"全部已售、无差异：无需调整申报","全部已售、有差异：需要调整申报")))))</f>
        <v/>
      </c>
      <c r="Q193" s="41"/>
      <c r="R193" s="44"/>
      <c r="S193" s="36" t="str">
        <f aca="false">IF(A193="","",IF(D193="","请选择申报方式",IF(D193&lt;&gt;"未售-海外仓预退（HWC-YT）","不涉及核算",IF(Q193&lt;&gt;"","已核算",IF(J193="","待税务办结",IF(K193&lt;0,"已逾期：税务将追回预退税",IF(K193&lt;=60,"临近截止（60天内）","待核算")))))))</f>
        <v/>
      </c>
      <c r="T193" s="30" t="str">
        <f aca="false">IF(ISNUMBER(C193),DATE(YEAR(C193)+1,4,30),"")</f>
        <v/>
      </c>
      <c r="U193" s="43"/>
    </row>
    <row r="194" customFormat="false" ht="21.75" hidden="false" customHeight="true" outlineLevel="0" collapsed="false">
      <c r="A194" s="44"/>
      <c r="B194" s="36" t="str">
        <f aca="false">IF(A194="","",IFERROR(INDEX(①出口报关!$I$4:$I$303,MATCH(A194,①出口报关!$A$4:$A$303,0)),"编号不存在"))</f>
        <v/>
      </c>
      <c r="C194" s="30" t="str">
        <f aca="false">IF(A194="","",IFERROR(IF(INDEX(①出口报关!$D$4:$D$303,MATCH(A194,①出口报关!$A$4:$A$303,0))=0,"",INDEX(①出口报关!$D$4:$D$303,MATCH(A194,①出口报关!$A$4:$A$303,0))),"编号不存在"))</f>
        <v/>
      </c>
      <c r="D194" s="43"/>
      <c r="E194" s="45"/>
      <c r="F194" s="41"/>
      <c r="G194" s="48"/>
      <c r="H194" s="46"/>
      <c r="I194" s="41"/>
      <c r="J194" s="30" t="str">
        <f aca="false">IF(AND(D194="未售-海外仓预退（HWC-YT）",ISNUMBER(I194)),DATE(YEAR(I194)+1,4,30),"")</f>
        <v/>
      </c>
      <c r="K194" s="51" t="str">
        <f aca="true">IF(J194="","",IF(Q194&lt;&gt;"","",J194-TODAY()))</f>
        <v/>
      </c>
      <c r="L194" s="31" t="str">
        <f aca="false">IF(OR(A194="",D194&lt;&gt;"未售-海外仓预退（HWC-YT）"),"",MIN(N(E194),MAX(0,SUMIFS(②销售核销!$I$4:$I$603,②销售核销!$E$4:$E$603,A194)-SUMIFS($E$4:$E$303,$A$4:$A$303,A194,$D$4:$D$303,"已售-按现行规定申报"))))</f>
        <v/>
      </c>
      <c r="M194" s="34" t="str">
        <f aca="false">IF(OR(L194="",N(E194)=0,H194=""),"",ROUND(H194/E194*L194,2))</f>
        <v/>
      </c>
      <c r="N194" s="46"/>
      <c r="O194" s="34" t="str">
        <f aca="false">IF(OR(N194="",H194=""),"",ROUND(N194-H194,2))</f>
        <v/>
      </c>
      <c r="P194" s="36" t="str">
        <f aca="false">IF(OR(A194="",D194&lt;&gt;"未售-海外仓预退（HWC-YT）"),"",IF(L194=0,"仍未销售：需要调整申报，全额缴回预退税",IF(L194&lt;N(E194),"部分已售：需要调整申报，全额冲减后按已售部分重报",IF(N194="","全部已售：填入实际应退税额后判断",IF(O194=0,"全部已售、无差异：无需调整申报","全部已售、有差异：需要调整申报")))))</f>
        <v/>
      </c>
      <c r="Q194" s="41"/>
      <c r="R194" s="44"/>
      <c r="S194" s="36" t="str">
        <f aca="false">IF(A194="","",IF(D194="","请选择申报方式",IF(D194&lt;&gt;"未售-海外仓预退（HWC-YT）","不涉及核算",IF(Q194&lt;&gt;"","已核算",IF(J194="","待税务办结",IF(K194&lt;0,"已逾期：税务将追回预退税",IF(K194&lt;=60,"临近截止（60天内）","待核算")))))))</f>
        <v/>
      </c>
      <c r="T194" s="30" t="str">
        <f aca="false">IF(ISNUMBER(C194),DATE(YEAR(C194)+1,4,30),"")</f>
        <v/>
      </c>
      <c r="U194" s="43"/>
    </row>
    <row r="195" customFormat="false" ht="21.75" hidden="false" customHeight="true" outlineLevel="0" collapsed="false">
      <c r="A195" s="44"/>
      <c r="B195" s="36" t="str">
        <f aca="false">IF(A195="","",IFERROR(INDEX(①出口报关!$I$4:$I$303,MATCH(A195,①出口报关!$A$4:$A$303,0)),"编号不存在"))</f>
        <v/>
      </c>
      <c r="C195" s="30" t="str">
        <f aca="false">IF(A195="","",IFERROR(IF(INDEX(①出口报关!$D$4:$D$303,MATCH(A195,①出口报关!$A$4:$A$303,0))=0,"",INDEX(①出口报关!$D$4:$D$303,MATCH(A195,①出口报关!$A$4:$A$303,0))),"编号不存在"))</f>
        <v/>
      </c>
      <c r="D195" s="43"/>
      <c r="E195" s="45"/>
      <c r="F195" s="41"/>
      <c r="G195" s="48"/>
      <c r="H195" s="46"/>
      <c r="I195" s="41"/>
      <c r="J195" s="30" t="str">
        <f aca="false">IF(AND(D195="未售-海外仓预退（HWC-YT）",ISNUMBER(I195)),DATE(YEAR(I195)+1,4,30),"")</f>
        <v/>
      </c>
      <c r="K195" s="51" t="str">
        <f aca="true">IF(J195="","",IF(Q195&lt;&gt;"","",J195-TODAY()))</f>
        <v/>
      </c>
      <c r="L195" s="31" t="str">
        <f aca="false">IF(OR(A195="",D195&lt;&gt;"未售-海外仓预退（HWC-YT）"),"",MIN(N(E195),MAX(0,SUMIFS(②销售核销!$I$4:$I$603,②销售核销!$E$4:$E$603,A195)-SUMIFS($E$4:$E$303,$A$4:$A$303,A195,$D$4:$D$303,"已售-按现行规定申报"))))</f>
        <v/>
      </c>
      <c r="M195" s="34" t="str">
        <f aca="false">IF(OR(L195="",N(E195)=0,H195=""),"",ROUND(H195/E195*L195,2))</f>
        <v/>
      </c>
      <c r="N195" s="46"/>
      <c r="O195" s="34" t="str">
        <f aca="false">IF(OR(N195="",H195=""),"",ROUND(N195-H195,2))</f>
        <v/>
      </c>
      <c r="P195" s="36" t="str">
        <f aca="false">IF(OR(A195="",D195&lt;&gt;"未售-海外仓预退（HWC-YT）"),"",IF(L195=0,"仍未销售：需要调整申报，全额缴回预退税",IF(L195&lt;N(E195),"部分已售：需要调整申报，全额冲减后按已售部分重报",IF(N195="","全部已售：填入实际应退税额后判断",IF(O195=0,"全部已售、无差异：无需调整申报","全部已售、有差异：需要调整申报")))))</f>
        <v/>
      </c>
      <c r="Q195" s="41"/>
      <c r="R195" s="44"/>
      <c r="S195" s="36" t="str">
        <f aca="false">IF(A195="","",IF(D195="","请选择申报方式",IF(D195&lt;&gt;"未售-海外仓预退（HWC-YT）","不涉及核算",IF(Q195&lt;&gt;"","已核算",IF(J195="","待税务办结",IF(K195&lt;0,"已逾期：税务将追回预退税",IF(K195&lt;=60,"临近截止（60天内）","待核算")))))))</f>
        <v/>
      </c>
      <c r="T195" s="30" t="str">
        <f aca="false">IF(ISNUMBER(C195),DATE(YEAR(C195)+1,4,30),"")</f>
        <v/>
      </c>
      <c r="U195" s="43"/>
    </row>
    <row r="196" customFormat="false" ht="21.75" hidden="false" customHeight="true" outlineLevel="0" collapsed="false">
      <c r="A196" s="44"/>
      <c r="B196" s="36" t="str">
        <f aca="false">IF(A196="","",IFERROR(INDEX(①出口报关!$I$4:$I$303,MATCH(A196,①出口报关!$A$4:$A$303,0)),"编号不存在"))</f>
        <v/>
      </c>
      <c r="C196" s="30" t="str">
        <f aca="false">IF(A196="","",IFERROR(IF(INDEX(①出口报关!$D$4:$D$303,MATCH(A196,①出口报关!$A$4:$A$303,0))=0,"",INDEX(①出口报关!$D$4:$D$303,MATCH(A196,①出口报关!$A$4:$A$303,0))),"编号不存在"))</f>
        <v/>
      </c>
      <c r="D196" s="43"/>
      <c r="E196" s="45"/>
      <c r="F196" s="41"/>
      <c r="G196" s="48"/>
      <c r="H196" s="46"/>
      <c r="I196" s="41"/>
      <c r="J196" s="30" t="str">
        <f aca="false">IF(AND(D196="未售-海外仓预退（HWC-YT）",ISNUMBER(I196)),DATE(YEAR(I196)+1,4,30),"")</f>
        <v/>
      </c>
      <c r="K196" s="51" t="str">
        <f aca="true">IF(J196="","",IF(Q196&lt;&gt;"","",J196-TODAY()))</f>
        <v/>
      </c>
      <c r="L196" s="31" t="str">
        <f aca="false">IF(OR(A196="",D196&lt;&gt;"未售-海外仓预退（HWC-YT）"),"",MIN(N(E196),MAX(0,SUMIFS(②销售核销!$I$4:$I$603,②销售核销!$E$4:$E$603,A196)-SUMIFS($E$4:$E$303,$A$4:$A$303,A196,$D$4:$D$303,"已售-按现行规定申报"))))</f>
        <v/>
      </c>
      <c r="M196" s="34" t="str">
        <f aca="false">IF(OR(L196="",N(E196)=0,H196=""),"",ROUND(H196/E196*L196,2))</f>
        <v/>
      </c>
      <c r="N196" s="46"/>
      <c r="O196" s="34" t="str">
        <f aca="false">IF(OR(N196="",H196=""),"",ROUND(N196-H196,2))</f>
        <v/>
      </c>
      <c r="P196" s="36" t="str">
        <f aca="false">IF(OR(A196="",D196&lt;&gt;"未售-海外仓预退（HWC-YT）"),"",IF(L196=0,"仍未销售：需要调整申报，全额缴回预退税",IF(L196&lt;N(E196),"部分已售：需要调整申报，全额冲减后按已售部分重报",IF(N196="","全部已售：填入实际应退税额后判断",IF(O196=0,"全部已售、无差异：无需调整申报","全部已售、有差异：需要调整申报")))))</f>
        <v/>
      </c>
      <c r="Q196" s="41"/>
      <c r="R196" s="44"/>
      <c r="S196" s="36" t="str">
        <f aca="false">IF(A196="","",IF(D196="","请选择申报方式",IF(D196&lt;&gt;"未售-海外仓预退（HWC-YT）","不涉及核算",IF(Q196&lt;&gt;"","已核算",IF(J196="","待税务办结",IF(K196&lt;0,"已逾期：税务将追回预退税",IF(K196&lt;=60,"临近截止（60天内）","待核算")))))))</f>
        <v/>
      </c>
      <c r="T196" s="30" t="str">
        <f aca="false">IF(ISNUMBER(C196),DATE(YEAR(C196)+1,4,30),"")</f>
        <v/>
      </c>
      <c r="U196" s="43"/>
    </row>
    <row r="197" customFormat="false" ht="21.75" hidden="false" customHeight="true" outlineLevel="0" collapsed="false">
      <c r="A197" s="44"/>
      <c r="B197" s="36" t="str">
        <f aca="false">IF(A197="","",IFERROR(INDEX(①出口报关!$I$4:$I$303,MATCH(A197,①出口报关!$A$4:$A$303,0)),"编号不存在"))</f>
        <v/>
      </c>
      <c r="C197" s="30" t="str">
        <f aca="false">IF(A197="","",IFERROR(IF(INDEX(①出口报关!$D$4:$D$303,MATCH(A197,①出口报关!$A$4:$A$303,0))=0,"",INDEX(①出口报关!$D$4:$D$303,MATCH(A197,①出口报关!$A$4:$A$303,0))),"编号不存在"))</f>
        <v/>
      </c>
      <c r="D197" s="43"/>
      <c r="E197" s="45"/>
      <c r="F197" s="41"/>
      <c r="G197" s="48"/>
      <c r="H197" s="46"/>
      <c r="I197" s="41"/>
      <c r="J197" s="30" t="str">
        <f aca="false">IF(AND(D197="未售-海外仓预退（HWC-YT）",ISNUMBER(I197)),DATE(YEAR(I197)+1,4,30),"")</f>
        <v/>
      </c>
      <c r="K197" s="51" t="str">
        <f aca="true">IF(J197="","",IF(Q197&lt;&gt;"","",J197-TODAY()))</f>
        <v/>
      </c>
      <c r="L197" s="31" t="str">
        <f aca="false">IF(OR(A197="",D197&lt;&gt;"未售-海外仓预退（HWC-YT）"),"",MIN(N(E197),MAX(0,SUMIFS(②销售核销!$I$4:$I$603,②销售核销!$E$4:$E$603,A197)-SUMIFS($E$4:$E$303,$A$4:$A$303,A197,$D$4:$D$303,"已售-按现行规定申报"))))</f>
        <v/>
      </c>
      <c r="M197" s="34" t="str">
        <f aca="false">IF(OR(L197="",N(E197)=0,H197=""),"",ROUND(H197/E197*L197,2))</f>
        <v/>
      </c>
      <c r="N197" s="46"/>
      <c r="O197" s="34" t="str">
        <f aca="false">IF(OR(N197="",H197=""),"",ROUND(N197-H197,2))</f>
        <v/>
      </c>
      <c r="P197" s="36" t="str">
        <f aca="false">IF(OR(A197="",D197&lt;&gt;"未售-海外仓预退（HWC-YT）"),"",IF(L197=0,"仍未销售：需要调整申报，全额缴回预退税",IF(L197&lt;N(E197),"部分已售：需要调整申报，全额冲减后按已售部分重报",IF(N197="","全部已售：填入实际应退税额后判断",IF(O197=0,"全部已售、无差异：无需调整申报","全部已售、有差异：需要调整申报")))))</f>
        <v/>
      </c>
      <c r="Q197" s="41"/>
      <c r="R197" s="44"/>
      <c r="S197" s="36" t="str">
        <f aca="false">IF(A197="","",IF(D197="","请选择申报方式",IF(D197&lt;&gt;"未售-海外仓预退（HWC-YT）","不涉及核算",IF(Q197&lt;&gt;"","已核算",IF(J197="","待税务办结",IF(K197&lt;0,"已逾期：税务将追回预退税",IF(K197&lt;=60,"临近截止（60天内）","待核算")))))))</f>
        <v/>
      </c>
      <c r="T197" s="30" t="str">
        <f aca="false">IF(ISNUMBER(C197),DATE(YEAR(C197)+1,4,30),"")</f>
        <v/>
      </c>
      <c r="U197" s="43"/>
    </row>
    <row r="198" customFormat="false" ht="21.75" hidden="false" customHeight="true" outlineLevel="0" collapsed="false">
      <c r="A198" s="44"/>
      <c r="B198" s="36" t="str">
        <f aca="false">IF(A198="","",IFERROR(INDEX(①出口报关!$I$4:$I$303,MATCH(A198,①出口报关!$A$4:$A$303,0)),"编号不存在"))</f>
        <v/>
      </c>
      <c r="C198" s="30" t="str">
        <f aca="false">IF(A198="","",IFERROR(IF(INDEX(①出口报关!$D$4:$D$303,MATCH(A198,①出口报关!$A$4:$A$303,0))=0,"",INDEX(①出口报关!$D$4:$D$303,MATCH(A198,①出口报关!$A$4:$A$303,0))),"编号不存在"))</f>
        <v/>
      </c>
      <c r="D198" s="43"/>
      <c r="E198" s="45"/>
      <c r="F198" s="41"/>
      <c r="G198" s="48"/>
      <c r="H198" s="46"/>
      <c r="I198" s="41"/>
      <c r="J198" s="30" t="str">
        <f aca="false">IF(AND(D198="未售-海外仓预退（HWC-YT）",ISNUMBER(I198)),DATE(YEAR(I198)+1,4,30),"")</f>
        <v/>
      </c>
      <c r="K198" s="51" t="str">
        <f aca="true">IF(J198="","",IF(Q198&lt;&gt;"","",J198-TODAY()))</f>
        <v/>
      </c>
      <c r="L198" s="31" t="str">
        <f aca="false">IF(OR(A198="",D198&lt;&gt;"未售-海外仓预退（HWC-YT）"),"",MIN(N(E198),MAX(0,SUMIFS(②销售核销!$I$4:$I$603,②销售核销!$E$4:$E$603,A198)-SUMIFS($E$4:$E$303,$A$4:$A$303,A198,$D$4:$D$303,"已售-按现行规定申报"))))</f>
        <v/>
      </c>
      <c r="M198" s="34" t="str">
        <f aca="false">IF(OR(L198="",N(E198)=0,H198=""),"",ROUND(H198/E198*L198,2))</f>
        <v/>
      </c>
      <c r="N198" s="46"/>
      <c r="O198" s="34" t="str">
        <f aca="false">IF(OR(N198="",H198=""),"",ROUND(N198-H198,2))</f>
        <v/>
      </c>
      <c r="P198" s="36" t="str">
        <f aca="false">IF(OR(A198="",D198&lt;&gt;"未售-海外仓预退（HWC-YT）"),"",IF(L198=0,"仍未销售：需要调整申报，全额缴回预退税",IF(L198&lt;N(E198),"部分已售：需要调整申报，全额冲减后按已售部分重报",IF(N198="","全部已售：填入实际应退税额后判断",IF(O198=0,"全部已售、无差异：无需调整申报","全部已售、有差异：需要调整申报")))))</f>
        <v/>
      </c>
      <c r="Q198" s="41"/>
      <c r="R198" s="44"/>
      <c r="S198" s="36" t="str">
        <f aca="false">IF(A198="","",IF(D198="","请选择申报方式",IF(D198&lt;&gt;"未售-海外仓预退（HWC-YT）","不涉及核算",IF(Q198&lt;&gt;"","已核算",IF(J198="","待税务办结",IF(K198&lt;0,"已逾期：税务将追回预退税",IF(K198&lt;=60,"临近截止（60天内）","待核算")))))))</f>
        <v/>
      </c>
      <c r="T198" s="30" t="str">
        <f aca="false">IF(ISNUMBER(C198),DATE(YEAR(C198)+1,4,30),"")</f>
        <v/>
      </c>
      <c r="U198" s="43"/>
    </row>
    <row r="199" customFormat="false" ht="21.75" hidden="false" customHeight="true" outlineLevel="0" collapsed="false">
      <c r="A199" s="44"/>
      <c r="B199" s="36" t="str">
        <f aca="false">IF(A199="","",IFERROR(INDEX(①出口报关!$I$4:$I$303,MATCH(A199,①出口报关!$A$4:$A$303,0)),"编号不存在"))</f>
        <v/>
      </c>
      <c r="C199" s="30" t="str">
        <f aca="false">IF(A199="","",IFERROR(IF(INDEX(①出口报关!$D$4:$D$303,MATCH(A199,①出口报关!$A$4:$A$303,0))=0,"",INDEX(①出口报关!$D$4:$D$303,MATCH(A199,①出口报关!$A$4:$A$303,0))),"编号不存在"))</f>
        <v/>
      </c>
      <c r="D199" s="43"/>
      <c r="E199" s="45"/>
      <c r="F199" s="41"/>
      <c r="G199" s="48"/>
      <c r="H199" s="46"/>
      <c r="I199" s="41"/>
      <c r="J199" s="30" t="str">
        <f aca="false">IF(AND(D199="未售-海外仓预退（HWC-YT）",ISNUMBER(I199)),DATE(YEAR(I199)+1,4,30),"")</f>
        <v/>
      </c>
      <c r="K199" s="51" t="str">
        <f aca="true">IF(J199="","",IF(Q199&lt;&gt;"","",J199-TODAY()))</f>
        <v/>
      </c>
      <c r="L199" s="31" t="str">
        <f aca="false">IF(OR(A199="",D199&lt;&gt;"未售-海外仓预退（HWC-YT）"),"",MIN(N(E199),MAX(0,SUMIFS(②销售核销!$I$4:$I$603,②销售核销!$E$4:$E$603,A199)-SUMIFS($E$4:$E$303,$A$4:$A$303,A199,$D$4:$D$303,"已售-按现行规定申报"))))</f>
        <v/>
      </c>
      <c r="M199" s="34" t="str">
        <f aca="false">IF(OR(L199="",N(E199)=0,H199=""),"",ROUND(H199/E199*L199,2))</f>
        <v/>
      </c>
      <c r="N199" s="46"/>
      <c r="O199" s="34" t="str">
        <f aca="false">IF(OR(N199="",H199=""),"",ROUND(N199-H199,2))</f>
        <v/>
      </c>
      <c r="P199" s="36" t="str">
        <f aca="false">IF(OR(A199="",D199&lt;&gt;"未售-海外仓预退（HWC-YT）"),"",IF(L199=0,"仍未销售：需要调整申报，全额缴回预退税",IF(L199&lt;N(E199),"部分已售：需要调整申报，全额冲减后按已售部分重报",IF(N199="","全部已售：填入实际应退税额后判断",IF(O199=0,"全部已售、无差异：无需调整申报","全部已售、有差异：需要调整申报")))))</f>
        <v/>
      </c>
      <c r="Q199" s="41"/>
      <c r="R199" s="44"/>
      <c r="S199" s="36" t="str">
        <f aca="false">IF(A199="","",IF(D199="","请选择申报方式",IF(D199&lt;&gt;"未售-海外仓预退（HWC-YT）","不涉及核算",IF(Q199&lt;&gt;"","已核算",IF(J199="","待税务办结",IF(K199&lt;0,"已逾期：税务将追回预退税",IF(K199&lt;=60,"临近截止（60天内）","待核算")))))))</f>
        <v/>
      </c>
      <c r="T199" s="30" t="str">
        <f aca="false">IF(ISNUMBER(C199),DATE(YEAR(C199)+1,4,30),"")</f>
        <v/>
      </c>
      <c r="U199" s="43"/>
    </row>
    <row r="200" customFormat="false" ht="21.75" hidden="false" customHeight="true" outlineLevel="0" collapsed="false">
      <c r="A200" s="44"/>
      <c r="B200" s="36" t="str">
        <f aca="false">IF(A200="","",IFERROR(INDEX(①出口报关!$I$4:$I$303,MATCH(A200,①出口报关!$A$4:$A$303,0)),"编号不存在"))</f>
        <v/>
      </c>
      <c r="C200" s="30" t="str">
        <f aca="false">IF(A200="","",IFERROR(IF(INDEX(①出口报关!$D$4:$D$303,MATCH(A200,①出口报关!$A$4:$A$303,0))=0,"",INDEX(①出口报关!$D$4:$D$303,MATCH(A200,①出口报关!$A$4:$A$303,0))),"编号不存在"))</f>
        <v/>
      </c>
      <c r="D200" s="43"/>
      <c r="E200" s="45"/>
      <c r="F200" s="41"/>
      <c r="G200" s="48"/>
      <c r="H200" s="46"/>
      <c r="I200" s="41"/>
      <c r="J200" s="30" t="str">
        <f aca="false">IF(AND(D200="未售-海外仓预退（HWC-YT）",ISNUMBER(I200)),DATE(YEAR(I200)+1,4,30),"")</f>
        <v/>
      </c>
      <c r="K200" s="51" t="str">
        <f aca="true">IF(J200="","",IF(Q200&lt;&gt;"","",J200-TODAY()))</f>
        <v/>
      </c>
      <c r="L200" s="31" t="str">
        <f aca="false">IF(OR(A200="",D200&lt;&gt;"未售-海外仓预退（HWC-YT）"),"",MIN(N(E200),MAX(0,SUMIFS(②销售核销!$I$4:$I$603,②销售核销!$E$4:$E$603,A200)-SUMIFS($E$4:$E$303,$A$4:$A$303,A200,$D$4:$D$303,"已售-按现行规定申报"))))</f>
        <v/>
      </c>
      <c r="M200" s="34" t="str">
        <f aca="false">IF(OR(L200="",N(E200)=0,H200=""),"",ROUND(H200/E200*L200,2))</f>
        <v/>
      </c>
      <c r="N200" s="46"/>
      <c r="O200" s="34" t="str">
        <f aca="false">IF(OR(N200="",H200=""),"",ROUND(N200-H200,2))</f>
        <v/>
      </c>
      <c r="P200" s="36" t="str">
        <f aca="false">IF(OR(A200="",D200&lt;&gt;"未售-海外仓预退（HWC-YT）"),"",IF(L200=0,"仍未销售：需要调整申报，全额缴回预退税",IF(L200&lt;N(E200),"部分已售：需要调整申报，全额冲减后按已售部分重报",IF(N200="","全部已售：填入实际应退税额后判断",IF(O200=0,"全部已售、无差异：无需调整申报","全部已售、有差异：需要调整申报")))))</f>
        <v/>
      </c>
      <c r="Q200" s="41"/>
      <c r="R200" s="44"/>
      <c r="S200" s="36" t="str">
        <f aca="false">IF(A200="","",IF(D200="","请选择申报方式",IF(D200&lt;&gt;"未售-海外仓预退（HWC-YT）","不涉及核算",IF(Q200&lt;&gt;"","已核算",IF(J200="","待税务办结",IF(K200&lt;0,"已逾期：税务将追回预退税",IF(K200&lt;=60,"临近截止（60天内）","待核算")))))))</f>
        <v/>
      </c>
      <c r="T200" s="30" t="str">
        <f aca="false">IF(ISNUMBER(C200),DATE(YEAR(C200)+1,4,30),"")</f>
        <v/>
      </c>
      <c r="U200" s="43"/>
    </row>
    <row r="201" customFormat="false" ht="21.75" hidden="false" customHeight="true" outlineLevel="0" collapsed="false">
      <c r="A201" s="44"/>
      <c r="B201" s="36" t="str">
        <f aca="false">IF(A201="","",IFERROR(INDEX(①出口报关!$I$4:$I$303,MATCH(A201,①出口报关!$A$4:$A$303,0)),"编号不存在"))</f>
        <v/>
      </c>
      <c r="C201" s="30" t="str">
        <f aca="false">IF(A201="","",IFERROR(IF(INDEX(①出口报关!$D$4:$D$303,MATCH(A201,①出口报关!$A$4:$A$303,0))=0,"",INDEX(①出口报关!$D$4:$D$303,MATCH(A201,①出口报关!$A$4:$A$303,0))),"编号不存在"))</f>
        <v/>
      </c>
      <c r="D201" s="43"/>
      <c r="E201" s="45"/>
      <c r="F201" s="41"/>
      <c r="G201" s="48"/>
      <c r="H201" s="46"/>
      <c r="I201" s="41"/>
      <c r="J201" s="30" t="str">
        <f aca="false">IF(AND(D201="未售-海外仓预退（HWC-YT）",ISNUMBER(I201)),DATE(YEAR(I201)+1,4,30),"")</f>
        <v/>
      </c>
      <c r="K201" s="51" t="str">
        <f aca="true">IF(J201="","",IF(Q201&lt;&gt;"","",J201-TODAY()))</f>
        <v/>
      </c>
      <c r="L201" s="31" t="str">
        <f aca="false">IF(OR(A201="",D201&lt;&gt;"未售-海外仓预退（HWC-YT）"),"",MIN(N(E201),MAX(0,SUMIFS(②销售核销!$I$4:$I$603,②销售核销!$E$4:$E$603,A201)-SUMIFS($E$4:$E$303,$A$4:$A$303,A201,$D$4:$D$303,"已售-按现行规定申报"))))</f>
        <v/>
      </c>
      <c r="M201" s="34" t="str">
        <f aca="false">IF(OR(L201="",N(E201)=0,H201=""),"",ROUND(H201/E201*L201,2))</f>
        <v/>
      </c>
      <c r="N201" s="46"/>
      <c r="O201" s="34" t="str">
        <f aca="false">IF(OR(N201="",H201=""),"",ROUND(N201-H201,2))</f>
        <v/>
      </c>
      <c r="P201" s="36" t="str">
        <f aca="false">IF(OR(A201="",D201&lt;&gt;"未售-海外仓预退（HWC-YT）"),"",IF(L201=0,"仍未销售：需要调整申报，全额缴回预退税",IF(L201&lt;N(E201),"部分已售：需要调整申报，全额冲减后按已售部分重报",IF(N201="","全部已售：填入实际应退税额后判断",IF(O201=0,"全部已售、无差异：无需调整申报","全部已售、有差异：需要调整申报")))))</f>
        <v/>
      </c>
      <c r="Q201" s="41"/>
      <c r="R201" s="44"/>
      <c r="S201" s="36" t="str">
        <f aca="false">IF(A201="","",IF(D201="","请选择申报方式",IF(D201&lt;&gt;"未售-海外仓预退（HWC-YT）","不涉及核算",IF(Q201&lt;&gt;"","已核算",IF(J201="","待税务办结",IF(K201&lt;0,"已逾期：税务将追回预退税",IF(K201&lt;=60,"临近截止（60天内）","待核算")))))))</f>
        <v/>
      </c>
      <c r="T201" s="30" t="str">
        <f aca="false">IF(ISNUMBER(C201),DATE(YEAR(C201)+1,4,30),"")</f>
        <v/>
      </c>
      <c r="U201" s="43"/>
    </row>
    <row r="202" customFormat="false" ht="21.75" hidden="false" customHeight="true" outlineLevel="0" collapsed="false">
      <c r="A202" s="44"/>
      <c r="B202" s="36" t="str">
        <f aca="false">IF(A202="","",IFERROR(INDEX(①出口报关!$I$4:$I$303,MATCH(A202,①出口报关!$A$4:$A$303,0)),"编号不存在"))</f>
        <v/>
      </c>
      <c r="C202" s="30" t="str">
        <f aca="false">IF(A202="","",IFERROR(IF(INDEX(①出口报关!$D$4:$D$303,MATCH(A202,①出口报关!$A$4:$A$303,0))=0,"",INDEX(①出口报关!$D$4:$D$303,MATCH(A202,①出口报关!$A$4:$A$303,0))),"编号不存在"))</f>
        <v/>
      </c>
      <c r="D202" s="43"/>
      <c r="E202" s="45"/>
      <c r="F202" s="41"/>
      <c r="G202" s="48"/>
      <c r="H202" s="46"/>
      <c r="I202" s="41"/>
      <c r="J202" s="30" t="str">
        <f aca="false">IF(AND(D202="未售-海外仓预退（HWC-YT）",ISNUMBER(I202)),DATE(YEAR(I202)+1,4,30),"")</f>
        <v/>
      </c>
      <c r="K202" s="51" t="str">
        <f aca="true">IF(J202="","",IF(Q202&lt;&gt;"","",J202-TODAY()))</f>
        <v/>
      </c>
      <c r="L202" s="31" t="str">
        <f aca="false">IF(OR(A202="",D202&lt;&gt;"未售-海外仓预退（HWC-YT）"),"",MIN(N(E202),MAX(0,SUMIFS(②销售核销!$I$4:$I$603,②销售核销!$E$4:$E$603,A202)-SUMIFS($E$4:$E$303,$A$4:$A$303,A202,$D$4:$D$303,"已售-按现行规定申报"))))</f>
        <v/>
      </c>
      <c r="M202" s="34" t="str">
        <f aca="false">IF(OR(L202="",N(E202)=0,H202=""),"",ROUND(H202/E202*L202,2))</f>
        <v/>
      </c>
      <c r="N202" s="46"/>
      <c r="O202" s="34" t="str">
        <f aca="false">IF(OR(N202="",H202=""),"",ROUND(N202-H202,2))</f>
        <v/>
      </c>
      <c r="P202" s="36" t="str">
        <f aca="false">IF(OR(A202="",D202&lt;&gt;"未售-海外仓预退（HWC-YT）"),"",IF(L202=0,"仍未销售：需要调整申报，全额缴回预退税",IF(L202&lt;N(E202),"部分已售：需要调整申报，全额冲减后按已售部分重报",IF(N202="","全部已售：填入实际应退税额后判断",IF(O202=0,"全部已售、无差异：无需调整申报","全部已售、有差异：需要调整申报")))))</f>
        <v/>
      </c>
      <c r="Q202" s="41"/>
      <c r="R202" s="44"/>
      <c r="S202" s="36" t="str">
        <f aca="false">IF(A202="","",IF(D202="","请选择申报方式",IF(D202&lt;&gt;"未售-海外仓预退（HWC-YT）","不涉及核算",IF(Q202&lt;&gt;"","已核算",IF(J202="","待税务办结",IF(K202&lt;0,"已逾期：税务将追回预退税",IF(K202&lt;=60,"临近截止（60天内）","待核算")))))))</f>
        <v/>
      </c>
      <c r="T202" s="30" t="str">
        <f aca="false">IF(ISNUMBER(C202),DATE(YEAR(C202)+1,4,30),"")</f>
        <v/>
      </c>
      <c r="U202" s="43"/>
    </row>
    <row r="203" customFormat="false" ht="21.75" hidden="false" customHeight="true" outlineLevel="0" collapsed="false">
      <c r="A203" s="44"/>
      <c r="B203" s="36" t="str">
        <f aca="false">IF(A203="","",IFERROR(INDEX(①出口报关!$I$4:$I$303,MATCH(A203,①出口报关!$A$4:$A$303,0)),"编号不存在"))</f>
        <v/>
      </c>
      <c r="C203" s="30" t="str">
        <f aca="false">IF(A203="","",IFERROR(IF(INDEX(①出口报关!$D$4:$D$303,MATCH(A203,①出口报关!$A$4:$A$303,0))=0,"",INDEX(①出口报关!$D$4:$D$303,MATCH(A203,①出口报关!$A$4:$A$303,0))),"编号不存在"))</f>
        <v/>
      </c>
      <c r="D203" s="43"/>
      <c r="E203" s="45"/>
      <c r="F203" s="41"/>
      <c r="G203" s="48"/>
      <c r="H203" s="46"/>
      <c r="I203" s="41"/>
      <c r="J203" s="30" t="str">
        <f aca="false">IF(AND(D203="未售-海外仓预退（HWC-YT）",ISNUMBER(I203)),DATE(YEAR(I203)+1,4,30),"")</f>
        <v/>
      </c>
      <c r="K203" s="51" t="str">
        <f aca="true">IF(J203="","",IF(Q203&lt;&gt;"","",J203-TODAY()))</f>
        <v/>
      </c>
      <c r="L203" s="31" t="str">
        <f aca="false">IF(OR(A203="",D203&lt;&gt;"未售-海外仓预退（HWC-YT）"),"",MIN(N(E203),MAX(0,SUMIFS(②销售核销!$I$4:$I$603,②销售核销!$E$4:$E$603,A203)-SUMIFS($E$4:$E$303,$A$4:$A$303,A203,$D$4:$D$303,"已售-按现行规定申报"))))</f>
        <v/>
      </c>
      <c r="M203" s="34" t="str">
        <f aca="false">IF(OR(L203="",N(E203)=0,H203=""),"",ROUND(H203/E203*L203,2))</f>
        <v/>
      </c>
      <c r="N203" s="46"/>
      <c r="O203" s="34" t="str">
        <f aca="false">IF(OR(N203="",H203=""),"",ROUND(N203-H203,2))</f>
        <v/>
      </c>
      <c r="P203" s="36" t="str">
        <f aca="false">IF(OR(A203="",D203&lt;&gt;"未售-海外仓预退（HWC-YT）"),"",IF(L203=0,"仍未销售：需要调整申报，全额缴回预退税",IF(L203&lt;N(E203),"部分已售：需要调整申报，全额冲减后按已售部分重报",IF(N203="","全部已售：填入实际应退税额后判断",IF(O203=0,"全部已售、无差异：无需调整申报","全部已售、有差异：需要调整申报")))))</f>
        <v/>
      </c>
      <c r="Q203" s="41"/>
      <c r="R203" s="44"/>
      <c r="S203" s="36" t="str">
        <f aca="false">IF(A203="","",IF(D203="","请选择申报方式",IF(D203&lt;&gt;"未售-海外仓预退（HWC-YT）","不涉及核算",IF(Q203&lt;&gt;"","已核算",IF(J203="","待税务办结",IF(K203&lt;0,"已逾期：税务将追回预退税",IF(K203&lt;=60,"临近截止（60天内）","待核算")))))))</f>
        <v/>
      </c>
      <c r="T203" s="30" t="str">
        <f aca="false">IF(ISNUMBER(C203),DATE(YEAR(C203)+1,4,30),"")</f>
        <v/>
      </c>
      <c r="U203" s="43"/>
    </row>
    <row r="204" customFormat="false" ht="21.75" hidden="false" customHeight="true" outlineLevel="0" collapsed="false">
      <c r="A204" s="44"/>
      <c r="B204" s="36" t="str">
        <f aca="false">IF(A204="","",IFERROR(INDEX(①出口报关!$I$4:$I$303,MATCH(A204,①出口报关!$A$4:$A$303,0)),"编号不存在"))</f>
        <v/>
      </c>
      <c r="C204" s="30" t="str">
        <f aca="false">IF(A204="","",IFERROR(IF(INDEX(①出口报关!$D$4:$D$303,MATCH(A204,①出口报关!$A$4:$A$303,0))=0,"",INDEX(①出口报关!$D$4:$D$303,MATCH(A204,①出口报关!$A$4:$A$303,0))),"编号不存在"))</f>
        <v/>
      </c>
      <c r="D204" s="43"/>
      <c r="E204" s="45"/>
      <c r="F204" s="41"/>
      <c r="G204" s="48"/>
      <c r="H204" s="46"/>
      <c r="I204" s="41"/>
      <c r="J204" s="30" t="str">
        <f aca="false">IF(AND(D204="未售-海外仓预退（HWC-YT）",ISNUMBER(I204)),DATE(YEAR(I204)+1,4,30),"")</f>
        <v/>
      </c>
      <c r="K204" s="51" t="str">
        <f aca="true">IF(J204="","",IF(Q204&lt;&gt;"","",J204-TODAY()))</f>
        <v/>
      </c>
      <c r="L204" s="31" t="str">
        <f aca="false">IF(OR(A204="",D204&lt;&gt;"未售-海外仓预退（HWC-YT）"),"",MIN(N(E204),MAX(0,SUMIFS(②销售核销!$I$4:$I$603,②销售核销!$E$4:$E$603,A204)-SUMIFS($E$4:$E$303,$A$4:$A$303,A204,$D$4:$D$303,"已售-按现行规定申报"))))</f>
        <v/>
      </c>
      <c r="M204" s="34" t="str">
        <f aca="false">IF(OR(L204="",N(E204)=0,H204=""),"",ROUND(H204/E204*L204,2))</f>
        <v/>
      </c>
      <c r="N204" s="46"/>
      <c r="O204" s="34" t="str">
        <f aca="false">IF(OR(N204="",H204=""),"",ROUND(N204-H204,2))</f>
        <v/>
      </c>
      <c r="P204" s="36" t="str">
        <f aca="false">IF(OR(A204="",D204&lt;&gt;"未售-海外仓预退（HWC-YT）"),"",IF(L204=0,"仍未销售：需要调整申报，全额缴回预退税",IF(L204&lt;N(E204),"部分已售：需要调整申报，全额冲减后按已售部分重报",IF(N204="","全部已售：填入实际应退税额后判断",IF(O204=0,"全部已售、无差异：无需调整申报","全部已售、有差异：需要调整申报")))))</f>
        <v/>
      </c>
      <c r="Q204" s="41"/>
      <c r="R204" s="44"/>
      <c r="S204" s="36" t="str">
        <f aca="false">IF(A204="","",IF(D204="","请选择申报方式",IF(D204&lt;&gt;"未售-海外仓预退（HWC-YT）","不涉及核算",IF(Q204&lt;&gt;"","已核算",IF(J204="","待税务办结",IF(K204&lt;0,"已逾期：税务将追回预退税",IF(K204&lt;=60,"临近截止（60天内）","待核算")))))))</f>
        <v/>
      </c>
      <c r="T204" s="30" t="str">
        <f aca="false">IF(ISNUMBER(C204),DATE(YEAR(C204)+1,4,30),"")</f>
        <v/>
      </c>
      <c r="U204" s="43"/>
    </row>
    <row r="205" customFormat="false" ht="21.75" hidden="false" customHeight="true" outlineLevel="0" collapsed="false">
      <c r="A205" s="44"/>
      <c r="B205" s="36" t="str">
        <f aca="false">IF(A205="","",IFERROR(INDEX(①出口报关!$I$4:$I$303,MATCH(A205,①出口报关!$A$4:$A$303,0)),"编号不存在"))</f>
        <v/>
      </c>
      <c r="C205" s="30" t="str">
        <f aca="false">IF(A205="","",IFERROR(IF(INDEX(①出口报关!$D$4:$D$303,MATCH(A205,①出口报关!$A$4:$A$303,0))=0,"",INDEX(①出口报关!$D$4:$D$303,MATCH(A205,①出口报关!$A$4:$A$303,0))),"编号不存在"))</f>
        <v/>
      </c>
      <c r="D205" s="43"/>
      <c r="E205" s="45"/>
      <c r="F205" s="41"/>
      <c r="G205" s="48"/>
      <c r="H205" s="46"/>
      <c r="I205" s="41"/>
      <c r="J205" s="30" t="str">
        <f aca="false">IF(AND(D205="未售-海外仓预退（HWC-YT）",ISNUMBER(I205)),DATE(YEAR(I205)+1,4,30),"")</f>
        <v/>
      </c>
      <c r="K205" s="51" t="str">
        <f aca="true">IF(J205="","",IF(Q205&lt;&gt;"","",J205-TODAY()))</f>
        <v/>
      </c>
      <c r="L205" s="31" t="str">
        <f aca="false">IF(OR(A205="",D205&lt;&gt;"未售-海外仓预退（HWC-YT）"),"",MIN(N(E205),MAX(0,SUMIFS(②销售核销!$I$4:$I$603,②销售核销!$E$4:$E$603,A205)-SUMIFS($E$4:$E$303,$A$4:$A$303,A205,$D$4:$D$303,"已售-按现行规定申报"))))</f>
        <v/>
      </c>
      <c r="M205" s="34" t="str">
        <f aca="false">IF(OR(L205="",N(E205)=0,H205=""),"",ROUND(H205/E205*L205,2))</f>
        <v/>
      </c>
      <c r="N205" s="46"/>
      <c r="O205" s="34" t="str">
        <f aca="false">IF(OR(N205="",H205=""),"",ROUND(N205-H205,2))</f>
        <v/>
      </c>
      <c r="P205" s="36" t="str">
        <f aca="false">IF(OR(A205="",D205&lt;&gt;"未售-海外仓预退（HWC-YT）"),"",IF(L205=0,"仍未销售：需要调整申报，全额缴回预退税",IF(L205&lt;N(E205),"部分已售：需要调整申报，全额冲减后按已售部分重报",IF(N205="","全部已售：填入实际应退税额后判断",IF(O205=0,"全部已售、无差异：无需调整申报","全部已售、有差异：需要调整申报")))))</f>
        <v/>
      </c>
      <c r="Q205" s="41"/>
      <c r="R205" s="44"/>
      <c r="S205" s="36" t="str">
        <f aca="false">IF(A205="","",IF(D205="","请选择申报方式",IF(D205&lt;&gt;"未售-海外仓预退（HWC-YT）","不涉及核算",IF(Q205&lt;&gt;"","已核算",IF(J205="","待税务办结",IF(K205&lt;0,"已逾期：税务将追回预退税",IF(K205&lt;=60,"临近截止（60天内）","待核算")))))))</f>
        <v/>
      </c>
      <c r="T205" s="30" t="str">
        <f aca="false">IF(ISNUMBER(C205),DATE(YEAR(C205)+1,4,30),"")</f>
        <v/>
      </c>
      <c r="U205" s="43"/>
    </row>
    <row r="206" customFormat="false" ht="21.75" hidden="false" customHeight="true" outlineLevel="0" collapsed="false">
      <c r="A206" s="44"/>
      <c r="B206" s="36" t="str">
        <f aca="false">IF(A206="","",IFERROR(INDEX(①出口报关!$I$4:$I$303,MATCH(A206,①出口报关!$A$4:$A$303,0)),"编号不存在"))</f>
        <v/>
      </c>
      <c r="C206" s="30" t="str">
        <f aca="false">IF(A206="","",IFERROR(IF(INDEX(①出口报关!$D$4:$D$303,MATCH(A206,①出口报关!$A$4:$A$303,0))=0,"",INDEX(①出口报关!$D$4:$D$303,MATCH(A206,①出口报关!$A$4:$A$303,0))),"编号不存在"))</f>
        <v/>
      </c>
      <c r="D206" s="43"/>
      <c r="E206" s="45"/>
      <c r="F206" s="41"/>
      <c r="G206" s="48"/>
      <c r="H206" s="46"/>
      <c r="I206" s="41"/>
      <c r="J206" s="30" t="str">
        <f aca="false">IF(AND(D206="未售-海外仓预退（HWC-YT）",ISNUMBER(I206)),DATE(YEAR(I206)+1,4,30),"")</f>
        <v/>
      </c>
      <c r="K206" s="51" t="str">
        <f aca="true">IF(J206="","",IF(Q206&lt;&gt;"","",J206-TODAY()))</f>
        <v/>
      </c>
      <c r="L206" s="31" t="str">
        <f aca="false">IF(OR(A206="",D206&lt;&gt;"未售-海外仓预退（HWC-YT）"),"",MIN(N(E206),MAX(0,SUMIFS(②销售核销!$I$4:$I$603,②销售核销!$E$4:$E$603,A206)-SUMIFS($E$4:$E$303,$A$4:$A$303,A206,$D$4:$D$303,"已售-按现行规定申报"))))</f>
        <v/>
      </c>
      <c r="M206" s="34" t="str">
        <f aca="false">IF(OR(L206="",N(E206)=0,H206=""),"",ROUND(H206/E206*L206,2))</f>
        <v/>
      </c>
      <c r="N206" s="46"/>
      <c r="O206" s="34" t="str">
        <f aca="false">IF(OR(N206="",H206=""),"",ROUND(N206-H206,2))</f>
        <v/>
      </c>
      <c r="P206" s="36" t="str">
        <f aca="false">IF(OR(A206="",D206&lt;&gt;"未售-海外仓预退（HWC-YT）"),"",IF(L206=0,"仍未销售：需要调整申报，全额缴回预退税",IF(L206&lt;N(E206),"部分已售：需要调整申报，全额冲减后按已售部分重报",IF(N206="","全部已售：填入实际应退税额后判断",IF(O206=0,"全部已售、无差异：无需调整申报","全部已售、有差异：需要调整申报")))))</f>
        <v/>
      </c>
      <c r="Q206" s="41"/>
      <c r="R206" s="44"/>
      <c r="S206" s="36" t="str">
        <f aca="false">IF(A206="","",IF(D206="","请选择申报方式",IF(D206&lt;&gt;"未售-海外仓预退（HWC-YT）","不涉及核算",IF(Q206&lt;&gt;"","已核算",IF(J206="","待税务办结",IF(K206&lt;0,"已逾期：税务将追回预退税",IF(K206&lt;=60,"临近截止（60天内）","待核算")))))))</f>
        <v/>
      </c>
      <c r="T206" s="30" t="str">
        <f aca="false">IF(ISNUMBER(C206),DATE(YEAR(C206)+1,4,30),"")</f>
        <v/>
      </c>
      <c r="U206" s="43"/>
    </row>
    <row r="207" customFormat="false" ht="21.75" hidden="false" customHeight="true" outlineLevel="0" collapsed="false">
      <c r="A207" s="44"/>
      <c r="B207" s="36" t="str">
        <f aca="false">IF(A207="","",IFERROR(INDEX(①出口报关!$I$4:$I$303,MATCH(A207,①出口报关!$A$4:$A$303,0)),"编号不存在"))</f>
        <v/>
      </c>
      <c r="C207" s="30" t="str">
        <f aca="false">IF(A207="","",IFERROR(IF(INDEX(①出口报关!$D$4:$D$303,MATCH(A207,①出口报关!$A$4:$A$303,0))=0,"",INDEX(①出口报关!$D$4:$D$303,MATCH(A207,①出口报关!$A$4:$A$303,0))),"编号不存在"))</f>
        <v/>
      </c>
      <c r="D207" s="43"/>
      <c r="E207" s="45"/>
      <c r="F207" s="41"/>
      <c r="G207" s="48"/>
      <c r="H207" s="46"/>
      <c r="I207" s="41"/>
      <c r="J207" s="30" t="str">
        <f aca="false">IF(AND(D207="未售-海外仓预退（HWC-YT）",ISNUMBER(I207)),DATE(YEAR(I207)+1,4,30),"")</f>
        <v/>
      </c>
      <c r="K207" s="51" t="str">
        <f aca="true">IF(J207="","",IF(Q207&lt;&gt;"","",J207-TODAY()))</f>
        <v/>
      </c>
      <c r="L207" s="31" t="str">
        <f aca="false">IF(OR(A207="",D207&lt;&gt;"未售-海外仓预退（HWC-YT）"),"",MIN(N(E207),MAX(0,SUMIFS(②销售核销!$I$4:$I$603,②销售核销!$E$4:$E$603,A207)-SUMIFS($E$4:$E$303,$A$4:$A$303,A207,$D$4:$D$303,"已售-按现行规定申报"))))</f>
        <v/>
      </c>
      <c r="M207" s="34" t="str">
        <f aca="false">IF(OR(L207="",N(E207)=0,H207=""),"",ROUND(H207/E207*L207,2))</f>
        <v/>
      </c>
      <c r="N207" s="46"/>
      <c r="O207" s="34" t="str">
        <f aca="false">IF(OR(N207="",H207=""),"",ROUND(N207-H207,2))</f>
        <v/>
      </c>
      <c r="P207" s="36" t="str">
        <f aca="false">IF(OR(A207="",D207&lt;&gt;"未售-海外仓预退（HWC-YT）"),"",IF(L207=0,"仍未销售：需要调整申报，全额缴回预退税",IF(L207&lt;N(E207),"部分已售：需要调整申报，全额冲减后按已售部分重报",IF(N207="","全部已售：填入实际应退税额后判断",IF(O207=0,"全部已售、无差异：无需调整申报","全部已售、有差异：需要调整申报")))))</f>
        <v/>
      </c>
      <c r="Q207" s="41"/>
      <c r="R207" s="44"/>
      <c r="S207" s="36" t="str">
        <f aca="false">IF(A207="","",IF(D207="","请选择申报方式",IF(D207&lt;&gt;"未售-海外仓预退（HWC-YT）","不涉及核算",IF(Q207&lt;&gt;"","已核算",IF(J207="","待税务办结",IF(K207&lt;0,"已逾期：税务将追回预退税",IF(K207&lt;=60,"临近截止（60天内）","待核算")))))))</f>
        <v/>
      </c>
      <c r="T207" s="30" t="str">
        <f aca="false">IF(ISNUMBER(C207),DATE(YEAR(C207)+1,4,30),"")</f>
        <v/>
      </c>
      <c r="U207" s="43"/>
    </row>
    <row r="208" customFormat="false" ht="21.75" hidden="false" customHeight="true" outlineLevel="0" collapsed="false">
      <c r="A208" s="44"/>
      <c r="B208" s="36" t="str">
        <f aca="false">IF(A208="","",IFERROR(INDEX(①出口报关!$I$4:$I$303,MATCH(A208,①出口报关!$A$4:$A$303,0)),"编号不存在"))</f>
        <v/>
      </c>
      <c r="C208" s="30" t="str">
        <f aca="false">IF(A208="","",IFERROR(IF(INDEX(①出口报关!$D$4:$D$303,MATCH(A208,①出口报关!$A$4:$A$303,0))=0,"",INDEX(①出口报关!$D$4:$D$303,MATCH(A208,①出口报关!$A$4:$A$303,0))),"编号不存在"))</f>
        <v/>
      </c>
      <c r="D208" s="43"/>
      <c r="E208" s="45"/>
      <c r="F208" s="41"/>
      <c r="G208" s="48"/>
      <c r="H208" s="46"/>
      <c r="I208" s="41"/>
      <c r="J208" s="30" t="str">
        <f aca="false">IF(AND(D208="未售-海外仓预退（HWC-YT）",ISNUMBER(I208)),DATE(YEAR(I208)+1,4,30),"")</f>
        <v/>
      </c>
      <c r="K208" s="51" t="str">
        <f aca="true">IF(J208="","",IF(Q208&lt;&gt;"","",J208-TODAY()))</f>
        <v/>
      </c>
      <c r="L208" s="31" t="str">
        <f aca="false">IF(OR(A208="",D208&lt;&gt;"未售-海外仓预退（HWC-YT）"),"",MIN(N(E208),MAX(0,SUMIFS(②销售核销!$I$4:$I$603,②销售核销!$E$4:$E$603,A208)-SUMIFS($E$4:$E$303,$A$4:$A$303,A208,$D$4:$D$303,"已售-按现行规定申报"))))</f>
        <v/>
      </c>
      <c r="M208" s="34" t="str">
        <f aca="false">IF(OR(L208="",N(E208)=0,H208=""),"",ROUND(H208/E208*L208,2))</f>
        <v/>
      </c>
      <c r="N208" s="46"/>
      <c r="O208" s="34" t="str">
        <f aca="false">IF(OR(N208="",H208=""),"",ROUND(N208-H208,2))</f>
        <v/>
      </c>
      <c r="P208" s="36" t="str">
        <f aca="false">IF(OR(A208="",D208&lt;&gt;"未售-海外仓预退（HWC-YT）"),"",IF(L208=0,"仍未销售：需要调整申报，全额缴回预退税",IF(L208&lt;N(E208),"部分已售：需要调整申报，全额冲减后按已售部分重报",IF(N208="","全部已售：填入实际应退税额后判断",IF(O208=0,"全部已售、无差异：无需调整申报","全部已售、有差异：需要调整申报")))))</f>
        <v/>
      </c>
      <c r="Q208" s="41"/>
      <c r="R208" s="44"/>
      <c r="S208" s="36" t="str">
        <f aca="false">IF(A208="","",IF(D208="","请选择申报方式",IF(D208&lt;&gt;"未售-海外仓预退（HWC-YT）","不涉及核算",IF(Q208&lt;&gt;"","已核算",IF(J208="","待税务办结",IF(K208&lt;0,"已逾期：税务将追回预退税",IF(K208&lt;=60,"临近截止（60天内）","待核算")))))))</f>
        <v/>
      </c>
      <c r="T208" s="30" t="str">
        <f aca="false">IF(ISNUMBER(C208),DATE(YEAR(C208)+1,4,30),"")</f>
        <v/>
      </c>
      <c r="U208" s="43"/>
    </row>
    <row r="209" customFormat="false" ht="21.75" hidden="false" customHeight="true" outlineLevel="0" collapsed="false">
      <c r="A209" s="44"/>
      <c r="B209" s="36" t="str">
        <f aca="false">IF(A209="","",IFERROR(INDEX(①出口报关!$I$4:$I$303,MATCH(A209,①出口报关!$A$4:$A$303,0)),"编号不存在"))</f>
        <v/>
      </c>
      <c r="C209" s="30" t="str">
        <f aca="false">IF(A209="","",IFERROR(IF(INDEX(①出口报关!$D$4:$D$303,MATCH(A209,①出口报关!$A$4:$A$303,0))=0,"",INDEX(①出口报关!$D$4:$D$303,MATCH(A209,①出口报关!$A$4:$A$303,0))),"编号不存在"))</f>
        <v/>
      </c>
      <c r="D209" s="43"/>
      <c r="E209" s="45"/>
      <c r="F209" s="41"/>
      <c r="G209" s="48"/>
      <c r="H209" s="46"/>
      <c r="I209" s="41"/>
      <c r="J209" s="30" t="str">
        <f aca="false">IF(AND(D209="未售-海外仓预退（HWC-YT）",ISNUMBER(I209)),DATE(YEAR(I209)+1,4,30),"")</f>
        <v/>
      </c>
      <c r="K209" s="51" t="str">
        <f aca="true">IF(J209="","",IF(Q209&lt;&gt;"","",J209-TODAY()))</f>
        <v/>
      </c>
      <c r="L209" s="31" t="str">
        <f aca="false">IF(OR(A209="",D209&lt;&gt;"未售-海外仓预退（HWC-YT）"),"",MIN(N(E209),MAX(0,SUMIFS(②销售核销!$I$4:$I$603,②销售核销!$E$4:$E$603,A209)-SUMIFS($E$4:$E$303,$A$4:$A$303,A209,$D$4:$D$303,"已售-按现行规定申报"))))</f>
        <v/>
      </c>
      <c r="M209" s="34" t="str">
        <f aca="false">IF(OR(L209="",N(E209)=0,H209=""),"",ROUND(H209/E209*L209,2))</f>
        <v/>
      </c>
      <c r="N209" s="46"/>
      <c r="O209" s="34" t="str">
        <f aca="false">IF(OR(N209="",H209=""),"",ROUND(N209-H209,2))</f>
        <v/>
      </c>
      <c r="P209" s="36" t="str">
        <f aca="false">IF(OR(A209="",D209&lt;&gt;"未售-海外仓预退（HWC-YT）"),"",IF(L209=0,"仍未销售：需要调整申报，全额缴回预退税",IF(L209&lt;N(E209),"部分已售：需要调整申报，全额冲减后按已售部分重报",IF(N209="","全部已售：填入实际应退税额后判断",IF(O209=0,"全部已售、无差异：无需调整申报","全部已售、有差异：需要调整申报")))))</f>
        <v/>
      </c>
      <c r="Q209" s="41"/>
      <c r="R209" s="44"/>
      <c r="S209" s="36" t="str">
        <f aca="false">IF(A209="","",IF(D209="","请选择申报方式",IF(D209&lt;&gt;"未售-海外仓预退（HWC-YT）","不涉及核算",IF(Q209&lt;&gt;"","已核算",IF(J209="","待税务办结",IF(K209&lt;0,"已逾期：税务将追回预退税",IF(K209&lt;=60,"临近截止（60天内）","待核算")))))))</f>
        <v/>
      </c>
      <c r="T209" s="30" t="str">
        <f aca="false">IF(ISNUMBER(C209),DATE(YEAR(C209)+1,4,30),"")</f>
        <v/>
      </c>
      <c r="U209" s="43"/>
    </row>
    <row r="210" customFormat="false" ht="21.75" hidden="false" customHeight="true" outlineLevel="0" collapsed="false">
      <c r="A210" s="44"/>
      <c r="B210" s="36" t="str">
        <f aca="false">IF(A210="","",IFERROR(INDEX(①出口报关!$I$4:$I$303,MATCH(A210,①出口报关!$A$4:$A$303,0)),"编号不存在"))</f>
        <v/>
      </c>
      <c r="C210" s="30" t="str">
        <f aca="false">IF(A210="","",IFERROR(IF(INDEX(①出口报关!$D$4:$D$303,MATCH(A210,①出口报关!$A$4:$A$303,0))=0,"",INDEX(①出口报关!$D$4:$D$303,MATCH(A210,①出口报关!$A$4:$A$303,0))),"编号不存在"))</f>
        <v/>
      </c>
      <c r="D210" s="43"/>
      <c r="E210" s="45"/>
      <c r="F210" s="41"/>
      <c r="G210" s="48"/>
      <c r="H210" s="46"/>
      <c r="I210" s="41"/>
      <c r="J210" s="30" t="str">
        <f aca="false">IF(AND(D210="未售-海外仓预退（HWC-YT）",ISNUMBER(I210)),DATE(YEAR(I210)+1,4,30),"")</f>
        <v/>
      </c>
      <c r="K210" s="51" t="str">
        <f aca="true">IF(J210="","",IF(Q210&lt;&gt;"","",J210-TODAY()))</f>
        <v/>
      </c>
      <c r="L210" s="31" t="str">
        <f aca="false">IF(OR(A210="",D210&lt;&gt;"未售-海外仓预退（HWC-YT）"),"",MIN(N(E210),MAX(0,SUMIFS(②销售核销!$I$4:$I$603,②销售核销!$E$4:$E$603,A210)-SUMIFS($E$4:$E$303,$A$4:$A$303,A210,$D$4:$D$303,"已售-按现行规定申报"))))</f>
        <v/>
      </c>
      <c r="M210" s="34" t="str">
        <f aca="false">IF(OR(L210="",N(E210)=0,H210=""),"",ROUND(H210/E210*L210,2))</f>
        <v/>
      </c>
      <c r="N210" s="46"/>
      <c r="O210" s="34" t="str">
        <f aca="false">IF(OR(N210="",H210=""),"",ROUND(N210-H210,2))</f>
        <v/>
      </c>
      <c r="P210" s="36" t="str">
        <f aca="false">IF(OR(A210="",D210&lt;&gt;"未售-海外仓预退（HWC-YT）"),"",IF(L210=0,"仍未销售：需要调整申报，全额缴回预退税",IF(L210&lt;N(E210),"部分已售：需要调整申报，全额冲减后按已售部分重报",IF(N210="","全部已售：填入实际应退税额后判断",IF(O210=0,"全部已售、无差异：无需调整申报","全部已售、有差异：需要调整申报")))))</f>
        <v/>
      </c>
      <c r="Q210" s="41"/>
      <c r="R210" s="44"/>
      <c r="S210" s="36" t="str">
        <f aca="false">IF(A210="","",IF(D210="","请选择申报方式",IF(D210&lt;&gt;"未售-海外仓预退（HWC-YT）","不涉及核算",IF(Q210&lt;&gt;"","已核算",IF(J210="","待税务办结",IF(K210&lt;0,"已逾期：税务将追回预退税",IF(K210&lt;=60,"临近截止（60天内）","待核算")))))))</f>
        <v/>
      </c>
      <c r="T210" s="30" t="str">
        <f aca="false">IF(ISNUMBER(C210),DATE(YEAR(C210)+1,4,30),"")</f>
        <v/>
      </c>
      <c r="U210" s="43"/>
    </row>
    <row r="211" customFormat="false" ht="21.75" hidden="false" customHeight="true" outlineLevel="0" collapsed="false">
      <c r="A211" s="44"/>
      <c r="B211" s="36" t="str">
        <f aca="false">IF(A211="","",IFERROR(INDEX(①出口报关!$I$4:$I$303,MATCH(A211,①出口报关!$A$4:$A$303,0)),"编号不存在"))</f>
        <v/>
      </c>
      <c r="C211" s="30" t="str">
        <f aca="false">IF(A211="","",IFERROR(IF(INDEX(①出口报关!$D$4:$D$303,MATCH(A211,①出口报关!$A$4:$A$303,0))=0,"",INDEX(①出口报关!$D$4:$D$303,MATCH(A211,①出口报关!$A$4:$A$303,0))),"编号不存在"))</f>
        <v/>
      </c>
      <c r="D211" s="43"/>
      <c r="E211" s="45"/>
      <c r="F211" s="41"/>
      <c r="G211" s="48"/>
      <c r="H211" s="46"/>
      <c r="I211" s="41"/>
      <c r="J211" s="30" t="str">
        <f aca="false">IF(AND(D211="未售-海外仓预退（HWC-YT）",ISNUMBER(I211)),DATE(YEAR(I211)+1,4,30),"")</f>
        <v/>
      </c>
      <c r="K211" s="51" t="str">
        <f aca="true">IF(J211="","",IF(Q211&lt;&gt;"","",J211-TODAY()))</f>
        <v/>
      </c>
      <c r="L211" s="31" t="str">
        <f aca="false">IF(OR(A211="",D211&lt;&gt;"未售-海外仓预退（HWC-YT）"),"",MIN(N(E211),MAX(0,SUMIFS(②销售核销!$I$4:$I$603,②销售核销!$E$4:$E$603,A211)-SUMIFS($E$4:$E$303,$A$4:$A$303,A211,$D$4:$D$303,"已售-按现行规定申报"))))</f>
        <v/>
      </c>
      <c r="M211" s="34" t="str">
        <f aca="false">IF(OR(L211="",N(E211)=0,H211=""),"",ROUND(H211/E211*L211,2))</f>
        <v/>
      </c>
      <c r="N211" s="46"/>
      <c r="O211" s="34" t="str">
        <f aca="false">IF(OR(N211="",H211=""),"",ROUND(N211-H211,2))</f>
        <v/>
      </c>
      <c r="P211" s="36" t="str">
        <f aca="false">IF(OR(A211="",D211&lt;&gt;"未售-海外仓预退（HWC-YT）"),"",IF(L211=0,"仍未销售：需要调整申报，全额缴回预退税",IF(L211&lt;N(E211),"部分已售：需要调整申报，全额冲减后按已售部分重报",IF(N211="","全部已售：填入实际应退税额后判断",IF(O211=0,"全部已售、无差异：无需调整申报","全部已售、有差异：需要调整申报")))))</f>
        <v/>
      </c>
      <c r="Q211" s="41"/>
      <c r="R211" s="44"/>
      <c r="S211" s="36" t="str">
        <f aca="false">IF(A211="","",IF(D211="","请选择申报方式",IF(D211&lt;&gt;"未售-海外仓预退（HWC-YT）","不涉及核算",IF(Q211&lt;&gt;"","已核算",IF(J211="","待税务办结",IF(K211&lt;0,"已逾期：税务将追回预退税",IF(K211&lt;=60,"临近截止（60天内）","待核算")))))))</f>
        <v/>
      </c>
      <c r="T211" s="30" t="str">
        <f aca="false">IF(ISNUMBER(C211),DATE(YEAR(C211)+1,4,30),"")</f>
        <v/>
      </c>
      <c r="U211" s="43"/>
    </row>
    <row r="212" customFormat="false" ht="21.75" hidden="false" customHeight="true" outlineLevel="0" collapsed="false">
      <c r="A212" s="44"/>
      <c r="B212" s="36" t="str">
        <f aca="false">IF(A212="","",IFERROR(INDEX(①出口报关!$I$4:$I$303,MATCH(A212,①出口报关!$A$4:$A$303,0)),"编号不存在"))</f>
        <v/>
      </c>
      <c r="C212" s="30" t="str">
        <f aca="false">IF(A212="","",IFERROR(IF(INDEX(①出口报关!$D$4:$D$303,MATCH(A212,①出口报关!$A$4:$A$303,0))=0,"",INDEX(①出口报关!$D$4:$D$303,MATCH(A212,①出口报关!$A$4:$A$303,0))),"编号不存在"))</f>
        <v/>
      </c>
      <c r="D212" s="43"/>
      <c r="E212" s="45"/>
      <c r="F212" s="41"/>
      <c r="G212" s="48"/>
      <c r="H212" s="46"/>
      <c r="I212" s="41"/>
      <c r="J212" s="30" t="str">
        <f aca="false">IF(AND(D212="未售-海外仓预退（HWC-YT）",ISNUMBER(I212)),DATE(YEAR(I212)+1,4,30),"")</f>
        <v/>
      </c>
      <c r="K212" s="51" t="str">
        <f aca="true">IF(J212="","",IF(Q212&lt;&gt;"","",J212-TODAY()))</f>
        <v/>
      </c>
      <c r="L212" s="31" t="str">
        <f aca="false">IF(OR(A212="",D212&lt;&gt;"未售-海外仓预退（HWC-YT）"),"",MIN(N(E212),MAX(0,SUMIFS(②销售核销!$I$4:$I$603,②销售核销!$E$4:$E$603,A212)-SUMIFS($E$4:$E$303,$A$4:$A$303,A212,$D$4:$D$303,"已售-按现行规定申报"))))</f>
        <v/>
      </c>
      <c r="M212" s="34" t="str">
        <f aca="false">IF(OR(L212="",N(E212)=0,H212=""),"",ROUND(H212/E212*L212,2))</f>
        <v/>
      </c>
      <c r="N212" s="46"/>
      <c r="O212" s="34" t="str">
        <f aca="false">IF(OR(N212="",H212=""),"",ROUND(N212-H212,2))</f>
        <v/>
      </c>
      <c r="P212" s="36" t="str">
        <f aca="false">IF(OR(A212="",D212&lt;&gt;"未售-海外仓预退（HWC-YT）"),"",IF(L212=0,"仍未销售：需要调整申报，全额缴回预退税",IF(L212&lt;N(E212),"部分已售：需要调整申报，全额冲减后按已售部分重报",IF(N212="","全部已售：填入实际应退税额后判断",IF(O212=0,"全部已售、无差异：无需调整申报","全部已售、有差异：需要调整申报")))))</f>
        <v/>
      </c>
      <c r="Q212" s="41"/>
      <c r="R212" s="44"/>
      <c r="S212" s="36" t="str">
        <f aca="false">IF(A212="","",IF(D212="","请选择申报方式",IF(D212&lt;&gt;"未售-海外仓预退（HWC-YT）","不涉及核算",IF(Q212&lt;&gt;"","已核算",IF(J212="","待税务办结",IF(K212&lt;0,"已逾期：税务将追回预退税",IF(K212&lt;=60,"临近截止（60天内）","待核算")))))))</f>
        <v/>
      </c>
      <c r="T212" s="30" t="str">
        <f aca="false">IF(ISNUMBER(C212),DATE(YEAR(C212)+1,4,30),"")</f>
        <v/>
      </c>
      <c r="U212" s="43"/>
    </row>
    <row r="213" customFormat="false" ht="21.75" hidden="false" customHeight="true" outlineLevel="0" collapsed="false">
      <c r="A213" s="44"/>
      <c r="B213" s="36" t="str">
        <f aca="false">IF(A213="","",IFERROR(INDEX(①出口报关!$I$4:$I$303,MATCH(A213,①出口报关!$A$4:$A$303,0)),"编号不存在"))</f>
        <v/>
      </c>
      <c r="C213" s="30" t="str">
        <f aca="false">IF(A213="","",IFERROR(IF(INDEX(①出口报关!$D$4:$D$303,MATCH(A213,①出口报关!$A$4:$A$303,0))=0,"",INDEX(①出口报关!$D$4:$D$303,MATCH(A213,①出口报关!$A$4:$A$303,0))),"编号不存在"))</f>
        <v/>
      </c>
      <c r="D213" s="43"/>
      <c r="E213" s="45"/>
      <c r="F213" s="41"/>
      <c r="G213" s="48"/>
      <c r="H213" s="46"/>
      <c r="I213" s="41"/>
      <c r="J213" s="30" t="str">
        <f aca="false">IF(AND(D213="未售-海外仓预退（HWC-YT）",ISNUMBER(I213)),DATE(YEAR(I213)+1,4,30),"")</f>
        <v/>
      </c>
      <c r="K213" s="51" t="str">
        <f aca="true">IF(J213="","",IF(Q213&lt;&gt;"","",J213-TODAY()))</f>
        <v/>
      </c>
      <c r="L213" s="31" t="str">
        <f aca="false">IF(OR(A213="",D213&lt;&gt;"未售-海外仓预退（HWC-YT）"),"",MIN(N(E213),MAX(0,SUMIFS(②销售核销!$I$4:$I$603,②销售核销!$E$4:$E$603,A213)-SUMIFS($E$4:$E$303,$A$4:$A$303,A213,$D$4:$D$303,"已售-按现行规定申报"))))</f>
        <v/>
      </c>
      <c r="M213" s="34" t="str">
        <f aca="false">IF(OR(L213="",N(E213)=0,H213=""),"",ROUND(H213/E213*L213,2))</f>
        <v/>
      </c>
      <c r="N213" s="46"/>
      <c r="O213" s="34" t="str">
        <f aca="false">IF(OR(N213="",H213=""),"",ROUND(N213-H213,2))</f>
        <v/>
      </c>
      <c r="P213" s="36" t="str">
        <f aca="false">IF(OR(A213="",D213&lt;&gt;"未售-海外仓预退（HWC-YT）"),"",IF(L213=0,"仍未销售：需要调整申报，全额缴回预退税",IF(L213&lt;N(E213),"部分已售：需要调整申报，全额冲减后按已售部分重报",IF(N213="","全部已售：填入实际应退税额后判断",IF(O213=0,"全部已售、无差异：无需调整申报","全部已售、有差异：需要调整申报")))))</f>
        <v/>
      </c>
      <c r="Q213" s="41"/>
      <c r="R213" s="44"/>
      <c r="S213" s="36" t="str">
        <f aca="false">IF(A213="","",IF(D213="","请选择申报方式",IF(D213&lt;&gt;"未售-海外仓预退（HWC-YT）","不涉及核算",IF(Q213&lt;&gt;"","已核算",IF(J213="","待税务办结",IF(K213&lt;0,"已逾期：税务将追回预退税",IF(K213&lt;=60,"临近截止（60天内）","待核算")))))))</f>
        <v/>
      </c>
      <c r="T213" s="30" t="str">
        <f aca="false">IF(ISNUMBER(C213),DATE(YEAR(C213)+1,4,30),"")</f>
        <v/>
      </c>
      <c r="U213" s="43"/>
    </row>
    <row r="214" customFormat="false" ht="21.75" hidden="false" customHeight="true" outlineLevel="0" collapsed="false">
      <c r="A214" s="44"/>
      <c r="B214" s="36" t="str">
        <f aca="false">IF(A214="","",IFERROR(INDEX(①出口报关!$I$4:$I$303,MATCH(A214,①出口报关!$A$4:$A$303,0)),"编号不存在"))</f>
        <v/>
      </c>
      <c r="C214" s="30" t="str">
        <f aca="false">IF(A214="","",IFERROR(IF(INDEX(①出口报关!$D$4:$D$303,MATCH(A214,①出口报关!$A$4:$A$303,0))=0,"",INDEX(①出口报关!$D$4:$D$303,MATCH(A214,①出口报关!$A$4:$A$303,0))),"编号不存在"))</f>
        <v/>
      </c>
      <c r="D214" s="43"/>
      <c r="E214" s="45"/>
      <c r="F214" s="41"/>
      <c r="G214" s="48"/>
      <c r="H214" s="46"/>
      <c r="I214" s="41"/>
      <c r="J214" s="30" t="str">
        <f aca="false">IF(AND(D214="未售-海外仓预退（HWC-YT）",ISNUMBER(I214)),DATE(YEAR(I214)+1,4,30),"")</f>
        <v/>
      </c>
      <c r="K214" s="51" t="str">
        <f aca="true">IF(J214="","",IF(Q214&lt;&gt;"","",J214-TODAY()))</f>
        <v/>
      </c>
      <c r="L214" s="31" t="str">
        <f aca="false">IF(OR(A214="",D214&lt;&gt;"未售-海外仓预退（HWC-YT）"),"",MIN(N(E214),MAX(0,SUMIFS(②销售核销!$I$4:$I$603,②销售核销!$E$4:$E$603,A214)-SUMIFS($E$4:$E$303,$A$4:$A$303,A214,$D$4:$D$303,"已售-按现行规定申报"))))</f>
        <v/>
      </c>
      <c r="M214" s="34" t="str">
        <f aca="false">IF(OR(L214="",N(E214)=0,H214=""),"",ROUND(H214/E214*L214,2))</f>
        <v/>
      </c>
      <c r="N214" s="46"/>
      <c r="O214" s="34" t="str">
        <f aca="false">IF(OR(N214="",H214=""),"",ROUND(N214-H214,2))</f>
        <v/>
      </c>
      <c r="P214" s="36" t="str">
        <f aca="false">IF(OR(A214="",D214&lt;&gt;"未售-海外仓预退（HWC-YT）"),"",IF(L214=0,"仍未销售：需要调整申报，全额缴回预退税",IF(L214&lt;N(E214),"部分已售：需要调整申报，全额冲减后按已售部分重报",IF(N214="","全部已售：填入实际应退税额后判断",IF(O214=0,"全部已售、无差异：无需调整申报","全部已售、有差异：需要调整申报")))))</f>
        <v/>
      </c>
      <c r="Q214" s="41"/>
      <c r="R214" s="44"/>
      <c r="S214" s="36" t="str">
        <f aca="false">IF(A214="","",IF(D214="","请选择申报方式",IF(D214&lt;&gt;"未售-海外仓预退（HWC-YT）","不涉及核算",IF(Q214&lt;&gt;"","已核算",IF(J214="","待税务办结",IF(K214&lt;0,"已逾期：税务将追回预退税",IF(K214&lt;=60,"临近截止（60天内）","待核算")))))))</f>
        <v/>
      </c>
      <c r="T214" s="30" t="str">
        <f aca="false">IF(ISNUMBER(C214),DATE(YEAR(C214)+1,4,30),"")</f>
        <v/>
      </c>
      <c r="U214" s="43"/>
    </row>
    <row r="215" customFormat="false" ht="21.75" hidden="false" customHeight="true" outlineLevel="0" collapsed="false">
      <c r="A215" s="44"/>
      <c r="B215" s="36" t="str">
        <f aca="false">IF(A215="","",IFERROR(INDEX(①出口报关!$I$4:$I$303,MATCH(A215,①出口报关!$A$4:$A$303,0)),"编号不存在"))</f>
        <v/>
      </c>
      <c r="C215" s="30" t="str">
        <f aca="false">IF(A215="","",IFERROR(IF(INDEX(①出口报关!$D$4:$D$303,MATCH(A215,①出口报关!$A$4:$A$303,0))=0,"",INDEX(①出口报关!$D$4:$D$303,MATCH(A215,①出口报关!$A$4:$A$303,0))),"编号不存在"))</f>
        <v/>
      </c>
      <c r="D215" s="43"/>
      <c r="E215" s="45"/>
      <c r="F215" s="41"/>
      <c r="G215" s="48"/>
      <c r="H215" s="46"/>
      <c r="I215" s="41"/>
      <c r="J215" s="30" t="str">
        <f aca="false">IF(AND(D215="未售-海外仓预退（HWC-YT）",ISNUMBER(I215)),DATE(YEAR(I215)+1,4,30),"")</f>
        <v/>
      </c>
      <c r="K215" s="51" t="str">
        <f aca="true">IF(J215="","",IF(Q215&lt;&gt;"","",J215-TODAY()))</f>
        <v/>
      </c>
      <c r="L215" s="31" t="str">
        <f aca="false">IF(OR(A215="",D215&lt;&gt;"未售-海外仓预退（HWC-YT）"),"",MIN(N(E215),MAX(0,SUMIFS(②销售核销!$I$4:$I$603,②销售核销!$E$4:$E$603,A215)-SUMIFS($E$4:$E$303,$A$4:$A$303,A215,$D$4:$D$303,"已售-按现行规定申报"))))</f>
        <v/>
      </c>
      <c r="M215" s="34" t="str">
        <f aca="false">IF(OR(L215="",N(E215)=0,H215=""),"",ROUND(H215/E215*L215,2))</f>
        <v/>
      </c>
      <c r="N215" s="46"/>
      <c r="O215" s="34" t="str">
        <f aca="false">IF(OR(N215="",H215=""),"",ROUND(N215-H215,2))</f>
        <v/>
      </c>
      <c r="P215" s="36" t="str">
        <f aca="false">IF(OR(A215="",D215&lt;&gt;"未售-海外仓预退（HWC-YT）"),"",IF(L215=0,"仍未销售：需要调整申报，全额缴回预退税",IF(L215&lt;N(E215),"部分已售：需要调整申报，全额冲减后按已售部分重报",IF(N215="","全部已售：填入实际应退税额后判断",IF(O215=0,"全部已售、无差异：无需调整申报","全部已售、有差异：需要调整申报")))))</f>
        <v/>
      </c>
      <c r="Q215" s="41"/>
      <c r="R215" s="44"/>
      <c r="S215" s="36" t="str">
        <f aca="false">IF(A215="","",IF(D215="","请选择申报方式",IF(D215&lt;&gt;"未售-海外仓预退（HWC-YT）","不涉及核算",IF(Q215&lt;&gt;"","已核算",IF(J215="","待税务办结",IF(K215&lt;0,"已逾期：税务将追回预退税",IF(K215&lt;=60,"临近截止（60天内）","待核算")))))))</f>
        <v/>
      </c>
      <c r="T215" s="30" t="str">
        <f aca="false">IF(ISNUMBER(C215),DATE(YEAR(C215)+1,4,30),"")</f>
        <v/>
      </c>
      <c r="U215" s="43"/>
    </row>
    <row r="216" customFormat="false" ht="21.75" hidden="false" customHeight="true" outlineLevel="0" collapsed="false">
      <c r="A216" s="44"/>
      <c r="B216" s="36" t="str">
        <f aca="false">IF(A216="","",IFERROR(INDEX(①出口报关!$I$4:$I$303,MATCH(A216,①出口报关!$A$4:$A$303,0)),"编号不存在"))</f>
        <v/>
      </c>
      <c r="C216" s="30" t="str">
        <f aca="false">IF(A216="","",IFERROR(IF(INDEX(①出口报关!$D$4:$D$303,MATCH(A216,①出口报关!$A$4:$A$303,0))=0,"",INDEX(①出口报关!$D$4:$D$303,MATCH(A216,①出口报关!$A$4:$A$303,0))),"编号不存在"))</f>
        <v/>
      </c>
      <c r="D216" s="43"/>
      <c r="E216" s="45"/>
      <c r="F216" s="41"/>
      <c r="G216" s="48"/>
      <c r="H216" s="46"/>
      <c r="I216" s="41"/>
      <c r="J216" s="30" t="str">
        <f aca="false">IF(AND(D216="未售-海外仓预退（HWC-YT）",ISNUMBER(I216)),DATE(YEAR(I216)+1,4,30),"")</f>
        <v/>
      </c>
      <c r="K216" s="51" t="str">
        <f aca="true">IF(J216="","",IF(Q216&lt;&gt;"","",J216-TODAY()))</f>
        <v/>
      </c>
      <c r="L216" s="31" t="str">
        <f aca="false">IF(OR(A216="",D216&lt;&gt;"未售-海外仓预退（HWC-YT）"),"",MIN(N(E216),MAX(0,SUMIFS(②销售核销!$I$4:$I$603,②销售核销!$E$4:$E$603,A216)-SUMIFS($E$4:$E$303,$A$4:$A$303,A216,$D$4:$D$303,"已售-按现行规定申报"))))</f>
        <v/>
      </c>
      <c r="M216" s="34" t="str">
        <f aca="false">IF(OR(L216="",N(E216)=0,H216=""),"",ROUND(H216/E216*L216,2))</f>
        <v/>
      </c>
      <c r="N216" s="46"/>
      <c r="O216" s="34" t="str">
        <f aca="false">IF(OR(N216="",H216=""),"",ROUND(N216-H216,2))</f>
        <v/>
      </c>
      <c r="P216" s="36" t="str">
        <f aca="false">IF(OR(A216="",D216&lt;&gt;"未售-海外仓预退（HWC-YT）"),"",IF(L216=0,"仍未销售：需要调整申报，全额缴回预退税",IF(L216&lt;N(E216),"部分已售：需要调整申报，全额冲减后按已售部分重报",IF(N216="","全部已售：填入实际应退税额后判断",IF(O216=0,"全部已售、无差异：无需调整申报","全部已售、有差异：需要调整申报")))))</f>
        <v/>
      </c>
      <c r="Q216" s="41"/>
      <c r="R216" s="44"/>
      <c r="S216" s="36" t="str">
        <f aca="false">IF(A216="","",IF(D216="","请选择申报方式",IF(D216&lt;&gt;"未售-海外仓预退（HWC-YT）","不涉及核算",IF(Q216&lt;&gt;"","已核算",IF(J216="","待税务办结",IF(K216&lt;0,"已逾期：税务将追回预退税",IF(K216&lt;=60,"临近截止（60天内）","待核算")))))))</f>
        <v/>
      </c>
      <c r="T216" s="30" t="str">
        <f aca="false">IF(ISNUMBER(C216),DATE(YEAR(C216)+1,4,30),"")</f>
        <v/>
      </c>
      <c r="U216" s="43"/>
    </row>
    <row r="217" customFormat="false" ht="21.75" hidden="false" customHeight="true" outlineLevel="0" collapsed="false">
      <c r="A217" s="44"/>
      <c r="B217" s="36" t="str">
        <f aca="false">IF(A217="","",IFERROR(INDEX(①出口报关!$I$4:$I$303,MATCH(A217,①出口报关!$A$4:$A$303,0)),"编号不存在"))</f>
        <v/>
      </c>
      <c r="C217" s="30" t="str">
        <f aca="false">IF(A217="","",IFERROR(IF(INDEX(①出口报关!$D$4:$D$303,MATCH(A217,①出口报关!$A$4:$A$303,0))=0,"",INDEX(①出口报关!$D$4:$D$303,MATCH(A217,①出口报关!$A$4:$A$303,0))),"编号不存在"))</f>
        <v/>
      </c>
      <c r="D217" s="43"/>
      <c r="E217" s="45"/>
      <c r="F217" s="41"/>
      <c r="G217" s="48"/>
      <c r="H217" s="46"/>
      <c r="I217" s="41"/>
      <c r="J217" s="30" t="str">
        <f aca="false">IF(AND(D217="未售-海外仓预退（HWC-YT）",ISNUMBER(I217)),DATE(YEAR(I217)+1,4,30),"")</f>
        <v/>
      </c>
      <c r="K217" s="51" t="str">
        <f aca="true">IF(J217="","",IF(Q217&lt;&gt;"","",J217-TODAY()))</f>
        <v/>
      </c>
      <c r="L217" s="31" t="str">
        <f aca="false">IF(OR(A217="",D217&lt;&gt;"未售-海外仓预退（HWC-YT）"),"",MIN(N(E217),MAX(0,SUMIFS(②销售核销!$I$4:$I$603,②销售核销!$E$4:$E$603,A217)-SUMIFS($E$4:$E$303,$A$4:$A$303,A217,$D$4:$D$303,"已售-按现行规定申报"))))</f>
        <v/>
      </c>
      <c r="M217" s="34" t="str">
        <f aca="false">IF(OR(L217="",N(E217)=0,H217=""),"",ROUND(H217/E217*L217,2))</f>
        <v/>
      </c>
      <c r="N217" s="46"/>
      <c r="O217" s="34" t="str">
        <f aca="false">IF(OR(N217="",H217=""),"",ROUND(N217-H217,2))</f>
        <v/>
      </c>
      <c r="P217" s="36" t="str">
        <f aca="false">IF(OR(A217="",D217&lt;&gt;"未售-海外仓预退（HWC-YT）"),"",IF(L217=0,"仍未销售：需要调整申报，全额缴回预退税",IF(L217&lt;N(E217),"部分已售：需要调整申报，全额冲减后按已售部分重报",IF(N217="","全部已售：填入实际应退税额后判断",IF(O217=0,"全部已售、无差异：无需调整申报","全部已售、有差异：需要调整申报")))))</f>
        <v/>
      </c>
      <c r="Q217" s="41"/>
      <c r="R217" s="44"/>
      <c r="S217" s="36" t="str">
        <f aca="false">IF(A217="","",IF(D217="","请选择申报方式",IF(D217&lt;&gt;"未售-海外仓预退（HWC-YT）","不涉及核算",IF(Q217&lt;&gt;"","已核算",IF(J217="","待税务办结",IF(K217&lt;0,"已逾期：税务将追回预退税",IF(K217&lt;=60,"临近截止（60天内）","待核算")))))))</f>
        <v/>
      </c>
      <c r="T217" s="30" t="str">
        <f aca="false">IF(ISNUMBER(C217),DATE(YEAR(C217)+1,4,30),"")</f>
        <v/>
      </c>
      <c r="U217" s="43"/>
    </row>
    <row r="218" customFormat="false" ht="21.75" hidden="false" customHeight="true" outlineLevel="0" collapsed="false">
      <c r="A218" s="44"/>
      <c r="B218" s="36" t="str">
        <f aca="false">IF(A218="","",IFERROR(INDEX(①出口报关!$I$4:$I$303,MATCH(A218,①出口报关!$A$4:$A$303,0)),"编号不存在"))</f>
        <v/>
      </c>
      <c r="C218" s="30" t="str">
        <f aca="false">IF(A218="","",IFERROR(IF(INDEX(①出口报关!$D$4:$D$303,MATCH(A218,①出口报关!$A$4:$A$303,0))=0,"",INDEX(①出口报关!$D$4:$D$303,MATCH(A218,①出口报关!$A$4:$A$303,0))),"编号不存在"))</f>
        <v/>
      </c>
      <c r="D218" s="43"/>
      <c r="E218" s="45"/>
      <c r="F218" s="41"/>
      <c r="G218" s="48"/>
      <c r="H218" s="46"/>
      <c r="I218" s="41"/>
      <c r="J218" s="30" t="str">
        <f aca="false">IF(AND(D218="未售-海外仓预退（HWC-YT）",ISNUMBER(I218)),DATE(YEAR(I218)+1,4,30),"")</f>
        <v/>
      </c>
      <c r="K218" s="51" t="str">
        <f aca="true">IF(J218="","",IF(Q218&lt;&gt;"","",J218-TODAY()))</f>
        <v/>
      </c>
      <c r="L218" s="31" t="str">
        <f aca="false">IF(OR(A218="",D218&lt;&gt;"未售-海外仓预退（HWC-YT）"),"",MIN(N(E218),MAX(0,SUMIFS(②销售核销!$I$4:$I$603,②销售核销!$E$4:$E$603,A218)-SUMIFS($E$4:$E$303,$A$4:$A$303,A218,$D$4:$D$303,"已售-按现行规定申报"))))</f>
        <v/>
      </c>
      <c r="M218" s="34" t="str">
        <f aca="false">IF(OR(L218="",N(E218)=0,H218=""),"",ROUND(H218/E218*L218,2))</f>
        <v/>
      </c>
      <c r="N218" s="46"/>
      <c r="O218" s="34" t="str">
        <f aca="false">IF(OR(N218="",H218=""),"",ROUND(N218-H218,2))</f>
        <v/>
      </c>
      <c r="P218" s="36" t="str">
        <f aca="false">IF(OR(A218="",D218&lt;&gt;"未售-海外仓预退（HWC-YT）"),"",IF(L218=0,"仍未销售：需要调整申报，全额缴回预退税",IF(L218&lt;N(E218),"部分已售：需要调整申报，全额冲减后按已售部分重报",IF(N218="","全部已售：填入实际应退税额后判断",IF(O218=0,"全部已售、无差异：无需调整申报","全部已售、有差异：需要调整申报")))))</f>
        <v/>
      </c>
      <c r="Q218" s="41"/>
      <c r="R218" s="44"/>
      <c r="S218" s="36" t="str">
        <f aca="false">IF(A218="","",IF(D218="","请选择申报方式",IF(D218&lt;&gt;"未售-海外仓预退（HWC-YT）","不涉及核算",IF(Q218&lt;&gt;"","已核算",IF(J218="","待税务办结",IF(K218&lt;0,"已逾期：税务将追回预退税",IF(K218&lt;=60,"临近截止（60天内）","待核算")))))))</f>
        <v/>
      </c>
      <c r="T218" s="30" t="str">
        <f aca="false">IF(ISNUMBER(C218),DATE(YEAR(C218)+1,4,30),"")</f>
        <v/>
      </c>
      <c r="U218" s="43"/>
    </row>
    <row r="219" customFormat="false" ht="21.75" hidden="false" customHeight="true" outlineLevel="0" collapsed="false">
      <c r="A219" s="44"/>
      <c r="B219" s="36" t="str">
        <f aca="false">IF(A219="","",IFERROR(INDEX(①出口报关!$I$4:$I$303,MATCH(A219,①出口报关!$A$4:$A$303,0)),"编号不存在"))</f>
        <v/>
      </c>
      <c r="C219" s="30" t="str">
        <f aca="false">IF(A219="","",IFERROR(IF(INDEX(①出口报关!$D$4:$D$303,MATCH(A219,①出口报关!$A$4:$A$303,0))=0,"",INDEX(①出口报关!$D$4:$D$303,MATCH(A219,①出口报关!$A$4:$A$303,0))),"编号不存在"))</f>
        <v/>
      </c>
      <c r="D219" s="43"/>
      <c r="E219" s="45"/>
      <c r="F219" s="41"/>
      <c r="G219" s="48"/>
      <c r="H219" s="46"/>
      <c r="I219" s="41"/>
      <c r="J219" s="30" t="str">
        <f aca="false">IF(AND(D219="未售-海外仓预退（HWC-YT）",ISNUMBER(I219)),DATE(YEAR(I219)+1,4,30),"")</f>
        <v/>
      </c>
      <c r="K219" s="51" t="str">
        <f aca="true">IF(J219="","",IF(Q219&lt;&gt;"","",J219-TODAY()))</f>
        <v/>
      </c>
      <c r="L219" s="31" t="str">
        <f aca="false">IF(OR(A219="",D219&lt;&gt;"未售-海外仓预退（HWC-YT）"),"",MIN(N(E219),MAX(0,SUMIFS(②销售核销!$I$4:$I$603,②销售核销!$E$4:$E$603,A219)-SUMIFS($E$4:$E$303,$A$4:$A$303,A219,$D$4:$D$303,"已售-按现行规定申报"))))</f>
        <v/>
      </c>
      <c r="M219" s="34" t="str">
        <f aca="false">IF(OR(L219="",N(E219)=0,H219=""),"",ROUND(H219/E219*L219,2))</f>
        <v/>
      </c>
      <c r="N219" s="46"/>
      <c r="O219" s="34" t="str">
        <f aca="false">IF(OR(N219="",H219=""),"",ROUND(N219-H219,2))</f>
        <v/>
      </c>
      <c r="P219" s="36" t="str">
        <f aca="false">IF(OR(A219="",D219&lt;&gt;"未售-海外仓预退（HWC-YT）"),"",IF(L219=0,"仍未销售：需要调整申报，全额缴回预退税",IF(L219&lt;N(E219),"部分已售：需要调整申报，全额冲减后按已售部分重报",IF(N219="","全部已售：填入实际应退税额后判断",IF(O219=0,"全部已售、无差异：无需调整申报","全部已售、有差异：需要调整申报")))))</f>
        <v/>
      </c>
      <c r="Q219" s="41"/>
      <c r="R219" s="44"/>
      <c r="S219" s="36" t="str">
        <f aca="false">IF(A219="","",IF(D219="","请选择申报方式",IF(D219&lt;&gt;"未售-海外仓预退（HWC-YT）","不涉及核算",IF(Q219&lt;&gt;"","已核算",IF(J219="","待税务办结",IF(K219&lt;0,"已逾期：税务将追回预退税",IF(K219&lt;=60,"临近截止（60天内）","待核算")))))))</f>
        <v/>
      </c>
      <c r="T219" s="30" t="str">
        <f aca="false">IF(ISNUMBER(C219),DATE(YEAR(C219)+1,4,30),"")</f>
        <v/>
      </c>
      <c r="U219" s="43"/>
    </row>
    <row r="220" customFormat="false" ht="21.75" hidden="false" customHeight="true" outlineLevel="0" collapsed="false">
      <c r="A220" s="44"/>
      <c r="B220" s="36" t="str">
        <f aca="false">IF(A220="","",IFERROR(INDEX(①出口报关!$I$4:$I$303,MATCH(A220,①出口报关!$A$4:$A$303,0)),"编号不存在"))</f>
        <v/>
      </c>
      <c r="C220" s="30" t="str">
        <f aca="false">IF(A220="","",IFERROR(IF(INDEX(①出口报关!$D$4:$D$303,MATCH(A220,①出口报关!$A$4:$A$303,0))=0,"",INDEX(①出口报关!$D$4:$D$303,MATCH(A220,①出口报关!$A$4:$A$303,0))),"编号不存在"))</f>
        <v/>
      </c>
      <c r="D220" s="43"/>
      <c r="E220" s="45"/>
      <c r="F220" s="41"/>
      <c r="G220" s="48"/>
      <c r="H220" s="46"/>
      <c r="I220" s="41"/>
      <c r="J220" s="30" t="str">
        <f aca="false">IF(AND(D220="未售-海外仓预退（HWC-YT）",ISNUMBER(I220)),DATE(YEAR(I220)+1,4,30),"")</f>
        <v/>
      </c>
      <c r="K220" s="51" t="str">
        <f aca="true">IF(J220="","",IF(Q220&lt;&gt;"","",J220-TODAY()))</f>
        <v/>
      </c>
      <c r="L220" s="31" t="str">
        <f aca="false">IF(OR(A220="",D220&lt;&gt;"未售-海外仓预退（HWC-YT）"),"",MIN(N(E220),MAX(0,SUMIFS(②销售核销!$I$4:$I$603,②销售核销!$E$4:$E$603,A220)-SUMIFS($E$4:$E$303,$A$4:$A$303,A220,$D$4:$D$303,"已售-按现行规定申报"))))</f>
        <v/>
      </c>
      <c r="M220" s="34" t="str">
        <f aca="false">IF(OR(L220="",N(E220)=0,H220=""),"",ROUND(H220/E220*L220,2))</f>
        <v/>
      </c>
      <c r="N220" s="46"/>
      <c r="O220" s="34" t="str">
        <f aca="false">IF(OR(N220="",H220=""),"",ROUND(N220-H220,2))</f>
        <v/>
      </c>
      <c r="P220" s="36" t="str">
        <f aca="false">IF(OR(A220="",D220&lt;&gt;"未售-海外仓预退（HWC-YT）"),"",IF(L220=0,"仍未销售：需要调整申报，全额缴回预退税",IF(L220&lt;N(E220),"部分已售：需要调整申报，全额冲减后按已售部分重报",IF(N220="","全部已售：填入实际应退税额后判断",IF(O220=0,"全部已售、无差异：无需调整申报","全部已售、有差异：需要调整申报")))))</f>
        <v/>
      </c>
      <c r="Q220" s="41"/>
      <c r="R220" s="44"/>
      <c r="S220" s="36" t="str">
        <f aca="false">IF(A220="","",IF(D220="","请选择申报方式",IF(D220&lt;&gt;"未售-海外仓预退（HWC-YT）","不涉及核算",IF(Q220&lt;&gt;"","已核算",IF(J220="","待税务办结",IF(K220&lt;0,"已逾期：税务将追回预退税",IF(K220&lt;=60,"临近截止（60天内）","待核算")))))))</f>
        <v/>
      </c>
      <c r="T220" s="30" t="str">
        <f aca="false">IF(ISNUMBER(C220),DATE(YEAR(C220)+1,4,30),"")</f>
        <v/>
      </c>
      <c r="U220" s="43"/>
    </row>
    <row r="221" customFormat="false" ht="21.75" hidden="false" customHeight="true" outlineLevel="0" collapsed="false">
      <c r="A221" s="44"/>
      <c r="B221" s="36" t="str">
        <f aca="false">IF(A221="","",IFERROR(INDEX(①出口报关!$I$4:$I$303,MATCH(A221,①出口报关!$A$4:$A$303,0)),"编号不存在"))</f>
        <v/>
      </c>
      <c r="C221" s="30" t="str">
        <f aca="false">IF(A221="","",IFERROR(IF(INDEX(①出口报关!$D$4:$D$303,MATCH(A221,①出口报关!$A$4:$A$303,0))=0,"",INDEX(①出口报关!$D$4:$D$303,MATCH(A221,①出口报关!$A$4:$A$303,0))),"编号不存在"))</f>
        <v/>
      </c>
      <c r="D221" s="43"/>
      <c r="E221" s="45"/>
      <c r="F221" s="41"/>
      <c r="G221" s="48"/>
      <c r="H221" s="46"/>
      <c r="I221" s="41"/>
      <c r="J221" s="30" t="str">
        <f aca="false">IF(AND(D221="未售-海外仓预退（HWC-YT）",ISNUMBER(I221)),DATE(YEAR(I221)+1,4,30),"")</f>
        <v/>
      </c>
      <c r="K221" s="51" t="str">
        <f aca="true">IF(J221="","",IF(Q221&lt;&gt;"","",J221-TODAY()))</f>
        <v/>
      </c>
      <c r="L221" s="31" t="str">
        <f aca="false">IF(OR(A221="",D221&lt;&gt;"未售-海外仓预退（HWC-YT）"),"",MIN(N(E221),MAX(0,SUMIFS(②销售核销!$I$4:$I$603,②销售核销!$E$4:$E$603,A221)-SUMIFS($E$4:$E$303,$A$4:$A$303,A221,$D$4:$D$303,"已售-按现行规定申报"))))</f>
        <v/>
      </c>
      <c r="M221" s="34" t="str">
        <f aca="false">IF(OR(L221="",N(E221)=0,H221=""),"",ROUND(H221/E221*L221,2))</f>
        <v/>
      </c>
      <c r="N221" s="46"/>
      <c r="O221" s="34" t="str">
        <f aca="false">IF(OR(N221="",H221=""),"",ROUND(N221-H221,2))</f>
        <v/>
      </c>
      <c r="P221" s="36" t="str">
        <f aca="false">IF(OR(A221="",D221&lt;&gt;"未售-海外仓预退（HWC-YT）"),"",IF(L221=0,"仍未销售：需要调整申报，全额缴回预退税",IF(L221&lt;N(E221),"部分已售：需要调整申报，全额冲减后按已售部分重报",IF(N221="","全部已售：填入实际应退税额后判断",IF(O221=0,"全部已售、无差异：无需调整申报","全部已售、有差异：需要调整申报")))))</f>
        <v/>
      </c>
      <c r="Q221" s="41"/>
      <c r="R221" s="44"/>
      <c r="S221" s="36" t="str">
        <f aca="false">IF(A221="","",IF(D221="","请选择申报方式",IF(D221&lt;&gt;"未售-海外仓预退（HWC-YT）","不涉及核算",IF(Q221&lt;&gt;"","已核算",IF(J221="","待税务办结",IF(K221&lt;0,"已逾期：税务将追回预退税",IF(K221&lt;=60,"临近截止（60天内）","待核算")))))))</f>
        <v/>
      </c>
      <c r="T221" s="30" t="str">
        <f aca="false">IF(ISNUMBER(C221),DATE(YEAR(C221)+1,4,30),"")</f>
        <v/>
      </c>
      <c r="U221" s="43"/>
    </row>
    <row r="222" customFormat="false" ht="21.75" hidden="false" customHeight="true" outlineLevel="0" collapsed="false">
      <c r="A222" s="44"/>
      <c r="B222" s="36" t="str">
        <f aca="false">IF(A222="","",IFERROR(INDEX(①出口报关!$I$4:$I$303,MATCH(A222,①出口报关!$A$4:$A$303,0)),"编号不存在"))</f>
        <v/>
      </c>
      <c r="C222" s="30" t="str">
        <f aca="false">IF(A222="","",IFERROR(IF(INDEX(①出口报关!$D$4:$D$303,MATCH(A222,①出口报关!$A$4:$A$303,0))=0,"",INDEX(①出口报关!$D$4:$D$303,MATCH(A222,①出口报关!$A$4:$A$303,0))),"编号不存在"))</f>
        <v/>
      </c>
      <c r="D222" s="43"/>
      <c r="E222" s="45"/>
      <c r="F222" s="41"/>
      <c r="G222" s="48"/>
      <c r="H222" s="46"/>
      <c r="I222" s="41"/>
      <c r="J222" s="30" t="str">
        <f aca="false">IF(AND(D222="未售-海外仓预退（HWC-YT）",ISNUMBER(I222)),DATE(YEAR(I222)+1,4,30),"")</f>
        <v/>
      </c>
      <c r="K222" s="51" t="str">
        <f aca="true">IF(J222="","",IF(Q222&lt;&gt;"","",J222-TODAY()))</f>
        <v/>
      </c>
      <c r="L222" s="31" t="str">
        <f aca="false">IF(OR(A222="",D222&lt;&gt;"未售-海外仓预退（HWC-YT）"),"",MIN(N(E222),MAX(0,SUMIFS(②销售核销!$I$4:$I$603,②销售核销!$E$4:$E$603,A222)-SUMIFS($E$4:$E$303,$A$4:$A$303,A222,$D$4:$D$303,"已售-按现行规定申报"))))</f>
        <v/>
      </c>
      <c r="M222" s="34" t="str">
        <f aca="false">IF(OR(L222="",N(E222)=0,H222=""),"",ROUND(H222/E222*L222,2))</f>
        <v/>
      </c>
      <c r="N222" s="46"/>
      <c r="O222" s="34" t="str">
        <f aca="false">IF(OR(N222="",H222=""),"",ROUND(N222-H222,2))</f>
        <v/>
      </c>
      <c r="P222" s="36" t="str">
        <f aca="false">IF(OR(A222="",D222&lt;&gt;"未售-海外仓预退（HWC-YT）"),"",IF(L222=0,"仍未销售：需要调整申报，全额缴回预退税",IF(L222&lt;N(E222),"部分已售：需要调整申报，全额冲减后按已售部分重报",IF(N222="","全部已售：填入实际应退税额后判断",IF(O222=0,"全部已售、无差异：无需调整申报","全部已售、有差异：需要调整申报")))))</f>
        <v/>
      </c>
      <c r="Q222" s="41"/>
      <c r="R222" s="44"/>
      <c r="S222" s="36" t="str">
        <f aca="false">IF(A222="","",IF(D222="","请选择申报方式",IF(D222&lt;&gt;"未售-海外仓预退（HWC-YT）","不涉及核算",IF(Q222&lt;&gt;"","已核算",IF(J222="","待税务办结",IF(K222&lt;0,"已逾期：税务将追回预退税",IF(K222&lt;=60,"临近截止（60天内）","待核算")))))))</f>
        <v/>
      </c>
      <c r="T222" s="30" t="str">
        <f aca="false">IF(ISNUMBER(C222),DATE(YEAR(C222)+1,4,30),"")</f>
        <v/>
      </c>
      <c r="U222" s="43"/>
    </row>
    <row r="223" customFormat="false" ht="21.75" hidden="false" customHeight="true" outlineLevel="0" collapsed="false">
      <c r="A223" s="44"/>
      <c r="B223" s="36" t="str">
        <f aca="false">IF(A223="","",IFERROR(INDEX(①出口报关!$I$4:$I$303,MATCH(A223,①出口报关!$A$4:$A$303,0)),"编号不存在"))</f>
        <v/>
      </c>
      <c r="C223" s="30" t="str">
        <f aca="false">IF(A223="","",IFERROR(IF(INDEX(①出口报关!$D$4:$D$303,MATCH(A223,①出口报关!$A$4:$A$303,0))=0,"",INDEX(①出口报关!$D$4:$D$303,MATCH(A223,①出口报关!$A$4:$A$303,0))),"编号不存在"))</f>
        <v/>
      </c>
      <c r="D223" s="43"/>
      <c r="E223" s="45"/>
      <c r="F223" s="41"/>
      <c r="G223" s="48"/>
      <c r="H223" s="46"/>
      <c r="I223" s="41"/>
      <c r="J223" s="30" t="str">
        <f aca="false">IF(AND(D223="未售-海外仓预退（HWC-YT）",ISNUMBER(I223)),DATE(YEAR(I223)+1,4,30),"")</f>
        <v/>
      </c>
      <c r="K223" s="51" t="str">
        <f aca="true">IF(J223="","",IF(Q223&lt;&gt;"","",J223-TODAY()))</f>
        <v/>
      </c>
      <c r="L223" s="31" t="str">
        <f aca="false">IF(OR(A223="",D223&lt;&gt;"未售-海外仓预退（HWC-YT）"),"",MIN(N(E223),MAX(0,SUMIFS(②销售核销!$I$4:$I$603,②销售核销!$E$4:$E$603,A223)-SUMIFS($E$4:$E$303,$A$4:$A$303,A223,$D$4:$D$303,"已售-按现行规定申报"))))</f>
        <v/>
      </c>
      <c r="M223" s="34" t="str">
        <f aca="false">IF(OR(L223="",N(E223)=0,H223=""),"",ROUND(H223/E223*L223,2))</f>
        <v/>
      </c>
      <c r="N223" s="46"/>
      <c r="O223" s="34" t="str">
        <f aca="false">IF(OR(N223="",H223=""),"",ROUND(N223-H223,2))</f>
        <v/>
      </c>
      <c r="P223" s="36" t="str">
        <f aca="false">IF(OR(A223="",D223&lt;&gt;"未售-海外仓预退（HWC-YT）"),"",IF(L223=0,"仍未销售：需要调整申报，全额缴回预退税",IF(L223&lt;N(E223),"部分已售：需要调整申报，全额冲减后按已售部分重报",IF(N223="","全部已售：填入实际应退税额后判断",IF(O223=0,"全部已售、无差异：无需调整申报","全部已售、有差异：需要调整申报")))))</f>
        <v/>
      </c>
      <c r="Q223" s="41"/>
      <c r="R223" s="44"/>
      <c r="S223" s="36" t="str">
        <f aca="false">IF(A223="","",IF(D223="","请选择申报方式",IF(D223&lt;&gt;"未售-海外仓预退（HWC-YT）","不涉及核算",IF(Q223&lt;&gt;"","已核算",IF(J223="","待税务办结",IF(K223&lt;0,"已逾期：税务将追回预退税",IF(K223&lt;=60,"临近截止（60天内）","待核算")))))))</f>
        <v/>
      </c>
      <c r="T223" s="30" t="str">
        <f aca="false">IF(ISNUMBER(C223),DATE(YEAR(C223)+1,4,30),"")</f>
        <v/>
      </c>
      <c r="U223" s="43"/>
    </row>
    <row r="224" customFormat="false" ht="21.75" hidden="false" customHeight="true" outlineLevel="0" collapsed="false">
      <c r="A224" s="44"/>
      <c r="B224" s="36" t="str">
        <f aca="false">IF(A224="","",IFERROR(INDEX(①出口报关!$I$4:$I$303,MATCH(A224,①出口报关!$A$4:$A$303,0)),"编号不存在"))</f>
        <v/>
      </c>
      <c r="C224" s="30" t="str">
        <f aca="false">IF(A224="","",IFERROR(IF(INDEX(①出口报关!$D$4:$D$303,MATCH(A224,①出口报关!$A$4:$A$303,0))=0,"",INDEX(①出口报关!$D$4:$D$303,MATCH(A224,①出口报关!$A$4:$A$303,0))),"编号不存在"))</f>
        <v/>
      </c>
      <c r="D224" s="43"/>
      <c r="E224" s="45"/>
      <c r="F224" s="41"/>
      <c r="G224" s="48"/>
      <c r="H224" s="46"/>
      <c r="I224" s="41"/>
      <c r="J224" s="30" t="str">
        <f aca="false">IF(AND(D224="未售-海外仓预退（HWC-YT）",ISNUMBER(I224)),DATE(YEAR(I224)+1,4,30),"")</f>
        <v/>
      </c>
      <c r="K224" s="51" t="str">
        <f aca="true">IF(J224="","",IF(Q224&lt;&gt;"","",J224-TODAY()))</f>
        <v/>
      </c>
      <c r="L224" s="31" t="str">
        <f aca="false">IF(OR(A224="",D224&lt;&gt;"未售-海外仓预退（HWC-YT）"),"",MIN(N(E224),MAX(0,SUMIFS(②销售核销!$I$4:$I$603,②销售核销!$E$4:$E$603,A224)-SUMIFS($E$4:$E$303,$A$4:$A$303,A224,$D$4:$D$303,"已售-按现行规定申报"))))</f>
        <v/>
      </c>
      <c r="M224" s="34" t="str">
        <f aca="false">IF(OR(L224="",N(E224)=0,H224=""),"",ROUND(H224/E224*L224,2))</f>
        <v/>
      </c>
      <c r="N224" s="46"/>
      <c r="O224" s="34" t="str">
        <f aca="false">IF(OR(N224="",H224=""),"",ROUND(N224-H224,2))</f>
        <v/>
      </c>
      <c r="P224" s="36" t="str">
        <f aca="false">IF(OR(A224="",D224&lt;&gt;"未售-海外仓预退（HWC-YT）"),"",IF(L224=0,"仍未销售：需要调整申报，全额缴回预退税",IF(L224&lt;N(E224),"部分已售：需要调整申报，全额冲减后按已售部分重报",IF(N224="","全部已售：填入实际应退税额后判断",IF(O224=0,"全部已售、无差异：无需调整申报","全部已售、有差异：需要调整申报")))))</f>
        <v/>
      </c>
      <c r="Q224" s="41"/>
      <c r="R224" s="44"/>
      <c r="S224" s="36" t="str">
        <f aca="false">IF(A224="","",IF(D224="","请选择申报方式",IF(D224&lt;&gt;"未售-海外仓预退（HWC-YT）","不涉及核算",IF(Q224&lt;&gt;"","已核算",IF(J224="","待税务办结",IF(K224&lt;0,"已逾期：税务将追回预退税",IF(K224&lt;=60,"临近截止（60天内）","待核算")))))))</f>
        <v/>
      </c>
      <c r="T224" s="30" t="str">
        <f aca="false">IF(ISNUMBER(C224),DATE(YEAR(C224)+1,4,30),"")</f>
        <v/>
      </c>
      <c r="U224" s="43"/>
    </row>
    <row r="225" customFormat="false" ht="21.75" hidden="false" customHeight="true" outlineLevel="0" collapsed="false">
      <c r="A225" s="44"/>
      <c r="B225" s="36" t="str">
        <f aca="false">IF(A225="","",IFERROR(INDEX(①出口报关!$I$4:$I$303,MATCH(A225,①出口报关!$A$4:$A$303,0)),"编号不存在"))</f>
        <v/>
      </c>
      <c r="C225" s="30" t="str">
        <f aca="false">IF(A225="","",IFERROR(IF(INDEX(①出口报关!$D$4:$D$303,MATCH(A225,①出口报关!$A$4:$A$303,0))=0,"",INDEX(①出口报关!$D$4:$D$303,MATCH(A225,①出口报关!$A$4:$A$303,0))),"编号不存在"))</f>
        <v/>
      </c>
      <c r="D225" s="43"/>
      <c r="E225" s="45"/>
      <c r="F225" s="41"/>
      <c r="G225" s="48"/>
      <c r="H225" s="46"/>
      <c r="I225" s="41"/>
      <c r="J225" s="30" t="str">
        <f aca="false">IF(AND(D225="未售-海外仓预退（HWC-YT）",ISNUMBER(I225)),DATE(YEAR(I225)+1,4,30),"")</f>
        <v/>
      </c>
      <c r="K225" s="51" t="str">
        <f aca="true">IF(J225="","",IF(Q225&lt;&gt;"","",J225-TODAY()))</f>
        <v/>
      </c>
      <c r="L225" s="31" t="str">
        <f aca="false">IF(OR(A225="",D225&lt;&gt;"未售-海外仓预退（HWC-YT）"),"",MIN(N(E225),MAX(0,SUMIFS(②销售核销!$I$4:$I$603,②销售核销!$E$4:$E$603,A225)-SUMIFS($E$4:$E$303,$A$4:$A$303,A225,$D$4:$D$303,"已售-按现行规定申报"))))</f>
        <v/>
      </c>
      <c r="M225" s="34" t="str">
        <f aca="false">IF(OR(L225="",N(E225)=0,H225=""),"",ROUND(H225/E225*L225,2))</f>
        <v/>
      </c>
      <c r="N225" s="46"/>
      <c r="O225" s="34" t="str">
        <f aca="false">IF(OR(N225="",H225=""),"",ROUND(N225-H225,2))</f>
        <v/>
      </c>
      <c r="P225" s="36" t="str">
        <f aca="false">IF(OR(A225="",D225&lt;&gt;"未售-海外仓预退（HWC-YT）"),"",IF(L225=0,"仍未销售：需要调整申报，全额缴回预退税",IF(L225&lt;N(E225),"部分已售：需要调整申报，全额冲减后按已售部分重报",IF(N225="","全部已售：填入实际应退税额后判断",IF(O225=0,"全部已售、无差异：无需调整申报","全部已售、有差异：需要调整申报")))))</f>
        <v/>
      </c>
      <c r="Q225" s="41"/>
      <c r="R225" s="44"/>
      <c r="S225" s="36" t="str">
        <f aca="false">IF(A225="","",IF(D225="","请选择申报方式",IF(D225&lt;&gt;"未售-海外仓预退（HWC-YT）","不涉及核算",IF(Q225&lt;&gt;"","已核算",IF(J225="","待税务办结",IF(K225&lt;0,"已逾期：税务将追回预退税",IF(K225&lt;=60,"临近截止（60天内）","待核算")))))))</f>
        <v/>
      </c>
      <c r="T225" s="30" t="str">
        <f aca="false">IF(ISNUMBER(C225),DATE(YEAR(C225)+1,4,30),"")</f>
        <v/>
      </c>
      <c r="U225" s="43"/>
    </row>
    <row r="226" customFormat="false" ht="21.75" hidden="false" customHeight="true" outlineLevel="0" collapsed="false">
      <c r="A226" s="44"/>
      <c r="B226" s="36" t="str">
        <f aca="false">IF(A226="","",IFERROR(INDEX(①出口报关!$I$4:$I$303,MATCH(A226,①出口报关!$A$4:$A$303,0)),"编号不存在"))</f>
        <v/>
      </c>
      <c r="C226" s="30" t="str">
        <f aca="false">IF(A226="","",IFERROR(IF(INDEX(①出口报关!$D$4:$D$303,MATCH(A226,①出口报关!$A$4:$A$303,0))=0,"",INDEX(①出口报关!$D$4:$D$303,MATCH(A226,①出口报关!$A$4:$A$303,0))),"编号不存在"))</f>
        <v/>
      </c>
      <c r="D226" s="43"/>
      <c r="E226" s="45"/>
      <c r="F226" s="41"/>
      <c r="G226" s="48"/>
      <c r="H226" s="46"/>
      <c r="I226" s="41"/>
      <c r="J226" s="30" t="str">
        <f aca="false">IF(AND(D226="未售-海外仓预退（HWC-YT）",ISNUMBER(I226)),DATE(YEAR(I226)+1,4,30),"")</f>
        <v/>
      </c>
      <c r="K226" s="51" t="str">
        <f aca="true">IF(J226="","",IF(Q226&lt;&gt;"","",J226-TODAY()))</f>
        <v/>
      </c>
      <c r="L226" s="31" t="str">
        <f aca="false">IF(OR(A226="",D226&lt;&gt;"未售-海外仓预退（HWC-YT）"),"",MIN(N(E226),MAX(0,SUMIFS(②销售核销!$I$4:$I$603,②销售核销!$E$4:$E$603,A226)-SUMIFS($E$4:$E$303,$A$4:$A$303,A226,$D$4:$D$303,"已售-按现行规定申报"))))</f>
        <v/>
      </c>
      <c r="M226" s="34" t="str">
        <f aca="false">IF(OR(L226="",N(E226)=0,H226=""),"",ROUND(H226/E226*L226,2))</f>
        <v/>
      </c>
      <c r="N226" s="46"/>
      <c r="O226" s="34" t="str">
        <f aca="false">IF(OR(N226="",H226=""),"",ROUND(N226-H226,2))</f>
        <v/>
      </c>
      <c r="P226" s="36" t="str">
        <f aca="false">IF(OR(A226="",D226&lt;&gt;"未售-海外仓预退（HWC-YT）"),"",IF(L226=0,"仍未销售：需要调整申报，全额缴回预退税",IF(L226&lt;N(E226),"部分已售：需要调整申报，全额冲减后按已售部分重报",IF(N226="","全部已售：填入实际应退税额后判断",IF(O226=0,"全部已售、无差异：无需调整申报","全部已售、有差异：需要调整申报")))))</f>
        <v/>
      </c>
      <c r="Q226" s="41"/>
      <c r="R226" s="44"/>
      <c r="S226" s="36" t="str">
        <f aca="false">IF(A226="","",IF(D226="","请选择申报方式",IF(D226&lt;&gt;"未售-海外仓预退（HWC-YT）","不涉及核算",IF(Q226&lt;&gt;"","已核算",IF(J226="","待税务办结",IF(K226&lt;0,"已逾期：税务将追回预退税",IF(K226&lt;=60,"临近截止（60天内）","待核算")))))))</f>
        <v/>
      </c>
      <c r="T226" s="30" t="str">
        <f aca="false">IF(ISNUMBER(C226),DATE(YEAR(C226)+1,4,30),"")</f>
        <v/>
      </c>
      <c r="U226" s="43"/>
    </row>
    <row r="227" customFormat="false" ht="21.75" hidden="false" customHeight="true" outlineLevel="0" collapsed="false">
      <c r="A227" s="44"/>
      <c r="B227" s="36" t="str">
        <f aca="false">IF(A227="","",IFERROR(INDEX(①出口报关!$I$4:$I$303,MATCH(A227,①出口报关!$A$4:$A$303,0)),"编号不存在"))</f>
        <v/>
      </c>
      <c r="C227" s="30" t="str">
        <f aca="false">IF(A227="","",IFERROR(IF(INDEX(①出口报关!$D$4:$D$303,MATCH(A227,①出口报关!$A$4:$A$303,0))=0,"",INDEX(①出口报关!$D$4:$D$303,MATCH(A227,①出口报关!$A$4:$A$303,0))),"编号不存在"))</f>
        <v/>
      </c>
      <c r="D227" s="43"/>
      <c r="E227" s="45"/>
      <c r="F227" s="41"/>
      <c r="G227" s="48"/>
      <c r="H227" s="46"/>
      <c r="I227" s="41"/>
      <c r="J227" s="30" t="str">
        <f aca="false">IF(AND(D227="未售-海外仓预退（HWC-YT）",ISNUMBER(I227)),DATE(YEAR(I227)+1,4,30),"")</f>
        <v/>
      </c>
      <c r="K227" s="51" t="str">
        <f aca="true">IF(J227="","",IF(Q227&lt;&gt;"","",J227-TODAY()))</f>
        <v/>
      </c>
      <c r="L227" s="31" t="str">
        <f aca="false">IF(OR(A227="",D227&lt;&gt;"未售-海外仓预退（HWC-YT）"),"",MIN(N(E227),MAX(0,SUMIFS(②销售核销!$I$4:$I$603,②销售核销!$E$4:$E$603,A227)-SUMIFS($E$4:$E$303,$A$4:$A$303,A227,$D$4:$D$303,"已售-按现行规定申报"))))</f>
        <v/>
      </c>
      <c r="M227" s="34" t="str">
        <f aca="false">IF(OR(L227="",N(E227)=0,H227=""),"",ROUND(H227/E227*L227,2))</f>
        <v/>
      </c>
      <c r="N227" s="46"/>
      <c r="O227" s="34" t="str">
        <f aca="false">IF(OR(N227="",H227=""),"",ROUND(N227-H227,2))</f>
        <v/>
      </c>
      <c r="P227" s="36" t="str">
        <f aca="false">IF(OR(A227="",D227&lt;&gt;"未售-海外仓预退（HWC-YT）"),"",IF(L227=0,"仍未销售：需要调整申报，全额缴回预退税",IF(L227&lt;N(E227),"部分已售：需要调整申报，全额冲减后按已售部分重报",IF(N227="","全部已售：填入实际应退税额后判断",IF(O227=0,"全部已售、无差异：无需调整申报","全部已售、有差异：需要调整申报")))))</f>
        <v/>
      </c>
      <c r="Q227" s="41"/>
      <c r="R227" s="44"/>
      <c r="S227" s="36" t="str">
        <f aca="false">IF(A227="","",IF(D227="","请选择申报方式",IF(D227&lt;&gt;"未售-海外仓预退（HWC-YT）","不涉及核算",IF(Q227&lt;&gt;"","已核算",IF(J227="","待税务办结",IF(K227&lt;0,"已逾期：税务将追回预退税",IF(K227&lt;=60,"临近截止（60天内）","待核算")))))))</f>
        <v/>
      </c>
      <c r="T227" s="30" t="str">
        <f aca="false">IF(ISNUMBER(C227),DATE(YEAR(C227)+1,4,30),"")</f>
        <v/>
      </c>
      <c r="U227" s="43"/>
    </row>
    <row r="228" customFormat="false" ht="21.75" hidden="false" customHeight="true" outlineLevel="0" collapsed="false">
      <c r="A228" s="44"/>
      <c r="B228" s="36" t="str">
        <f aca="false">IF(A228="","",IFERROR(INDEX(①出口报关!$I$4:$I$303,MATCH(A228,①出口报关!$A$4:$A$303,0)),"编号不存在"))</f>
        <v/>
      </c>
      <c r="C228" s="30" t="str">
        <f aca="false">IF(A228="","",IFERROR(IF(INDEX(①出口报关!$D$4:$D$303,MATCH(A228,①出口报关!$A$4:$A$303,0))=0,"",INDEX(①出口报关!$D$4:$D$303,MATCH(A228,①出口报关!$A$4:$A$303,0))),"编号不存在"))</f>
        <v/>
      </c>
      <c r="D228" s="43"/>
      <c r="E228" s="45"/>
      <c r="F228" s="41"/>
      <c r="G228" s="48"/>
      <c r="H228" s="46"/>
      <c r="I228" s="41"/>
      <c r="J228" s="30" t="str">
        <f aca="false">IF(AND(D228="未售-海外仓预退（HWC-YT）",ISNUMBER(I228)),DATE(YEAR(I228)+1,4,30),"")</f>
        <v/>
      </c>
      <c r="K228" s="51" t="str">
        <f aca="true">IF(J228="","",IF(Q228&lt;&gt;"","",J228-TODAY()))</f>
        <v/>
      </c>
      <c r="L228" s="31" t="str">
        <f aca="false">IF(OR(A228="",D228&lt;&gt;"未售-海外仓预退（HWC-YT）"),"",MIN(N(E228),MAX(0,SUMIFS(②销售核销!$I$4:$I$603,②销售核销!$E$4:$E$603,A228)-SUMIFS($E$4:$E$303,$A$4:$A$303,A228,$D$4:$D$303,"已售-按现行规定申报"))))</f>
        <v/>
      </c>
      <c r="M228" s="34" t="str">
        <f aca="false">IF(OR(L228="",N(E228)=0,H228=""),"",ROUND(H228/E228*L228,2))</f>
        <v/>
      </c>
      <c r="N228" s="46"/>
      <c r="O228" s="34" t="str">
        <f aca="false">IF(OR(N228="",H228=""),"",ROUND(N228-H228,2))</f>
        <v/>
      </c>
      <c r="P228" s="36" t="str">
        <f aca="false">IF(OR(A228="",D228&lt;&gt;"未售-海外仓预退（HWC-YT）"),"",IF(L228=0,"仍未销售：需要调整申报，全额缴回预退税",IF(L228&lt;N(E228),"部分已售：需要调整申报，全额冲减后按已售部分重报",IF(N228="","全部已售：填入实际应退税额后判断",IF(O228=0,"全部已售、无差异：无需调整申报","全部已售、有差异：需要调整申报")))))</f>
        <v/>
      </c>
      <c r="Q228" s="41"/>
      <c r="R228" s="44"/>
      <c r="S228" s="36" t="str">
        <f aca="false">IF(A228="","",IF(D228="","请选择申报方式",IF(D228&lt;&gt;"未售-海外仓预退（HWC-YT）","不涉及核算",IF(Q228&lt;&gt;"","已核算",IF(J228="","待税务办结",IF(K228&lt;0,"已逾期：税务将追回预退税",IF(K228&lt;=60,"临近截止（60天内）","待核算")))))))</f>
        <v/>
      </c>
      <c r="T228" s="30" t="str">
        <f aca="false">IF(ISNUMBER(C228),DATE(YEAR(C228)+1,4,30),"")</f>
        <v/>
      </c>
      <c r="U228" s="43"/>
    </row>
    <row r="229" customFormat="false" ht="21.75" hidden="false" customHeight="true" outlineLevel="0" collapsed="false">
      <c r="A229" s="44"/>
      <c r="B229" s="36" t="str">
        <f aca="false">IF(A229="","",IFERROR(INDEX(①出口报关!$I$4:$I$303,MATCH(A229,①出口报关!$A$4:$A$303,0)),"编号不存在"))</f>
        <v/>
      </c>
      <c r="C229" s="30" t="str">
        <f aca="false">IF(A229="","",IFERROR(IF(INDEX(①出口报关!$D$4:$D$303,MATCH(A229,①出口报关!$A$4:$A$303,0))=0,"",INDEX(①出口报关!$D$4:$D$303,MATCH(A229,①出口报关!$A$4:$A$303,0))),"编号不存在"))</f>
        <v/>
      </c>
      <c r="D229" s="43"/>
      <c r="E229" s="45"/>
      <c r="F229" s="41"/>
      <c r="G229" s="48"/>
      <c r="H229" s="46"/>
      <c r="I229" s="41"/>
      <c r="J229" s="30" t="str">
        <f aca="false">IF(AND(D229="未售-海外仓预退（HWC-YT）",ISNUMBER(I229)),DATE(YEAR(I229)+1,4,30),"")</f>
        <v/>
      </c>
      <c r="K229" s="51" t="str">
        <f aca="true">IF(J229="","",IF(Q229&lt;&gt;"","",J229-TODAY()))</f>
        <v/>
      </c>
      <c r="L229" s="31" t="str">
        <f aca="false">IF(OR(A229="",D229&lt;&gt;"未售-海外仓预退（HWC-YT）"),"",MIN(N(E229),MAX(0,SUMIFS(②销售核销!$I$4:$I$603,②销售核销!$E$4:$E$603,A229)-SUMIFS($E$4:$E$303,$A$4:$A$303,A229,$D$4:$D$303,"已售-按现行规定申报"))))</f>
        <v/>
      </c>
      <c r="M229" s="34" t="str">
        <f aca="false">IF(OR(L229="",N(E229)=0,H229=""),"",ROUND(H229/E229*L229,2))</f>
        <v/>
      </c>
      <c r="N229" s="46"/>
      <c r="O229" s="34" t="str">
        <f aca="false">IF(OR(N229="",H229=""),"",ROUND(N229-H229,2))</f>
        <v/>
      </c>
      <c r="P229" s="36" t="str">
        <f aca="false">IF(OR(A229="",D229&lt;&gt;"未售-海外仓预退（HWC-YT）"),"",IF(L229=0,"仍未销售：需要调整申报，全额缴回预退税",IF(L229&lt;N(E229),"部分已售：需要调整申报，全额冲减后按已售部分重报",IF(N229="","全部已售：填入实际应退税额后判断",IF(O229=0,"全部已售、无差异：无需调整申报","全部已售、有差异：需要调整申报")))))</f>
        <v/>
      </c>
      <c r="Q229" s="41"/>
      <c r="R229" s="44"/>
      <c r="S229" s="36" t="str">
        <f aca="false">IF(A229="","",IF(D229="","请选择申报方式",IF(D229&lt;&gt;"未售-海外仓预退（HWC-YT）","不涉及核算",IF(Q229&lt;&gt;"","已核算",IF(J229="","待税务办结",IF(K229&lt;0,"已逾期：税务将追回预退税",IF(K229&lt;=60,"临近截止（60天内）","待核算")))))))</f>
        <v/>
      </c>
      <c r="T229" s="30" t="str">
        <f aca="false">IF(ISNUMBER(C229),DATE(YEAR(C229)+1,4,30),"")</f>
        <v/>
      </c>
      <c r="U229" s="43"/>
    </row>
    <row r="230" customFormat="false" ht="21.75" hidden="false" customHeight="true" outlineLevel="0" collapsed="false">
      <c r="A230" s="44"/>
      <c r="B230" s="36" t="str">
        <f aca="false">IF(A230="","",IFERROR(INDEX(①出口报关!$I$4:$I$303,MATCH(A230,①出口报关!$A$4:$A$303,0)),"编号不存在"))</f>
        <v/>
      </c>
      <c r="C230" s="30" t="str">
        <f aca="false">IF(A230="","",IFERROR(IF(INDEX(①出口报关!$D$4:$D$303,MATCH(A230,①出口报关!$A$4:$A$303,0))=0,"",INDEX(①出口报关!$D$4:$D$303,MATCH(A230,①出口报关!$A$4:$A$303,0))),"编号不存在"))</f>
        <v/>
      </c>
      <c r="D230" s="43"/>
      <c r="E230" s="45"/>
      <c r="F230" s="41"/>
      <c r="G230" s="48"/>
      <c r="H230" s="46"/>
      <c r="I230" s="41"/>
      <c r="J230" s="30" t="str">
        <f aca="false">IF(AND(D230="未售-海外仓预退（HWC-YT）",ISNUMBER(I230)),DATE(YEAR(I230)+1,4,30),"")</f>
        <v/>
      </c>
      <c r="K230" s="51" t="str">
        <f aca="true">IF(J230="","",IF(Q230&lt;&gt;"","",J230-TODAY()))</f>
        <v/>
      </c>
      <c r="L230" s="31" t="str">
        <f aca="false">IF(OR(A230="",D230&lt;&gt;"未售-海外仓预退（HWC-YT）"),"",MIN(N(E230),MAX(0,SUMIFS(②销售核销!$I$4:$I$603,②销售核销!$E$4:$E$603,A230)-SUMIFS($E$4:$E$303,$A$4:$A$303,A230,$D$4:$D$303,"已售-按现行规定申报"))))</f>
        <v/>
      </c>
      <c r="M230" s="34" t="str">
        <f aca="false">IF(OR(L230="",N(E230)=0,H230=""),"",ROUND(H230/E230*L230,2))</f>
        <v/>
      </c>
      <c r="N230" s="46"/>
      <c r="O230" s="34" t="str">
        <f aca="false">IF(OR(N230="",H230=""),"",ROUND(N230-H230,2))</f>
        <v/>
      </c>
      <c r="P230" s="36" t="str">
        <f aca="false">IF(OR(A230="",D230&lt;&gt;"未售-海外仓预退（HWC-YT）"),"",IF(L230=0,"仍未销售：需要调整申报，全额缴回预退税",IF(L230&lt;N(E230),"部分已售：需要调整申报，全额冲减后按已售部分重报",IF(N230="","全部已售：填入实际应退税额后判断",IF(O230=0,"全部已售、无差异：无需调整申报","全部已售、有差异：需要调整申报")))))</f>
        <v/>
      </c>
      <c r="Q230" s="41"/>
      <c r="R230" s="44"/>
      <c r="S230" s="36" t="str">
        <f aca="false">IF(A230="","",IF(D230="","请选择申报方式",IF(D230&lt;&gt;"未售-海外仓预退（HWC-YT）","不涉及核算",IF(Q230&lt;&gt;"","已核算",IF(J230="","待税务办结",IF(K230&lt;0,"已逾期：税务将追回预退税",IF(K230&lt;=60,"临近截止（60天内）","待核算")))))))</f>
        <v/>
      </c>
      <c r="T230" s="30" t="str">
        <f aca="false">IF(ISNUMBER(C230),DATE(YEAR(C230)+1,4,30),"")</f>
        <v/>
      </c>
      <c r="U230" s="43"/>
    </row>
    <row r="231" customFormat="false" ht="21.75" hidden="false" customHeight="true" outlineLevel="0" collapsed="false">
      <c r="A231" s="44"/>
      <c r="B231" s="36" t="str">
        <f aca="false">IF(A231="","",IFERROR(INDEX(①出口报关!$I$4:$I$303,MATCH(A231,①出口报关!$A$4:$A$303,0)),"编号不存在"))</f>
        <v/>
      </c>
      <c r="C231" s="30" t="str">
        <f aca="false">IF(A231="","",IFERROR(IF(INDEX(①出口报关!$D$4:$D$303,MATCH(A231,①出口报关!$A$4:$A$303,0))=0,"",INDEX(①出口报关!$D$4:$D$303,MATCH(A231,①出口报关!$A$4:$A$303,0))),"编号不存在"))</f>
        <v/>
      </c>
      <c r="D231" s="43"/>
      <c r="E231" s="45"/>
      <c r="F231" s="41"/>
      <c r="G231" s="48"/>
      <c r="H231" s="46"/>
      <c r="I231" s="41"/>
      <c r="J231" s="30" t="str">
        <f aca="false">IF(AND(D231="未售-海外仓预退（HWC-YT）",ISNUMBER(I231)),DATE(YEAR(I231)+1,4,30),"")</f>
        <v/>
      </c>
      <c r="K231" s="51" t="str">
        <f aca="true">IF(J231="","",IF(Q231&lt;&gt;"","",J231-TODAY()))</f>
        <v/>
      </c>
      <c r="L231" s="31" t="str">
        <f aca="false">IF(OR(A231="",D231&lt;&gt;"未售-海外仓预退（HWC-YT）"),"",MIN(N(E231),MAX(0,SUMIFS(②销售核销!$I$4:$I$603,②销售核销!$E$4:$E$603,A231)-SUMIFS($E$4:$E$303,$A$4:$A$303,A231,$D$4:$D$303,"已售-按现行规定申报"))))</f>
        <v/>
      </c>
      <c r="M231" s="34" t="str">
        <f aca="false">IF(OR(L231="",N(E231)=0,H231=""),"",ROUND(H231/E231*L231,2))</f>
        <v/>
      </c>
      <c r="N231" s="46"/>
      <c r="O231" s="34" t="str">
        <f aca="false">IF(OR(N231="",H231=""),"",ROUND(N231-H231,2))</f>
        <v/>
      </c>
      <c r="P231" s="36" t="str">
        <f aca="false">IF(OR(A231="",D231&lt;&gt;"未售-海外仓预退（HWC-YT）"),"",IF(L231=0,"仍未销售：需要调整申报，全额缴回预退税",IF(L231&lt;N(E231),"部分已售：需要调整申报，全额冲减后按已售部分重报",IF(N231="","全部已售：填入实际应退税额后判断",IF(O231=0,"全部已售、无差异：无需调整申报","全部已售、有差异：需要调整申报")))))</f>
        <v/>
      </c>
      <c r="Q231" s="41"/>
      <c r="R231" s="44"/>
      <c r="S231" s="36" t="str">
        <f aca="false">IF(A231="","",IF(D231="","请选择申报方式",IF(D231&lt;&gt;"未售-海外仓预退（HWC-YT）","不涉及核算",IF(Q231&lt;&gt;"","已核算",IF(J231="","待税务办结",IF(K231&lt;0,"已逾期：税务将追回预退税",IF(K231&lt;=60,"临近截止（60天内）","待核算")))))))</f>
        <v/>
      </c>
      <c r="T231" s="30" t="str">
        <f aca="false">IF(ISNUMBER(C231),DATE(YEAR(C231)+1,4,30),"")</f>
        <v/>
      </c>
      <c r="U231" s="43"/>
    </row>
    <row r="232" customFormat="false" ht="21.75" hidden="false" customHeight="true" outlineLevel="0" collapsed="false">
      <c r="A232" s="44"/>
      <c r="B232" s="36" t="str">
        <f aca="false">IF(A232="","",IFERROR(INDEX(①出口报关!$I$4:$I$303,MATCH(A232,①出口报关!$A$4:$A$303,0)),"编号不存在"))</f>
        <v/>
      </c>
      <c r="C232" s="30" t="str">
        <f aca="false">IF(A232="","",IFERROR(IF(INDEX(①出口报关!$D$4:$D$303,MATCH(A232,①出口报关!$A$4:$A$303,0))=0,"",INDEX(①出口报关!$D$4:$D$303,MATCH(A232,①出口报关!$A$4:$A$303,0))),"编号不存在"))</f>
        <v/>
      </c>
      <c r="D232" s="43"/>
      <c r="E232" s="45"/>
      <c r="F232" s="41"/>
      <c r="G232" s="48"/>
      <c r="H232" s="46"/>
      <c r="I232" s="41"/>
      <c r="J232" s="30" t="str">
        <f aca="false">IF(AND(D232="未售-海外仓预退（HWC-YT）",ISNUMBER(I232)),DATE(YEAR(I232)+1,4,30),"")</f>
        <v/>
      </c>
      <c r="K232" s="51" t="str">
        <f aca="true">IF(J232="","",IF(Q232&lt;&gt;"","",J232-TODAY()))</f>
        <v/>
      </c>
      <c r="L232" s="31" t="str">
        <f aca="false">IF(OR(A232="",D232&lt;&gt;"未售-海外仓预退（HWC-YT）"),"",MIN(N(E232),MAX(0,SUMIFS(②销售核销!$I$4:$I$603,②销售核销!$E$4:$E$603,A232)-SUMIFS($E$4:$E$303,$A$4:$A$303,A232,$D$4:$D$303,"已售-按现行规定申报"))))</f>
        <v/>
      </c>
      <c r="M232" s="34" t="str">
        <f aca="false">IF(OR(L232="",N(E232)=0,H232=""),"",ROUND(H232/E232*L232,2))</f>
        <v/>
      </c>
      <c r="N232" s="46"/>
      <c r="O232" s="34" t="str">
        <f aca="false">IF(OR(N232="",H232=""),"",ROUND(N232-H232,2))</f>
        <v/>
      </c>
      <c r="P232" s="36" t="str">
        <f aca="false">IF(OR(A232="",D232&lt;&gt;"未售-海外仓预退（HWC-YT）"),"",IF(L232=0,"仍未销售：需要调整申报，全额缴回预退税",IF(L232&lt;N(E232),"部分已售：需要调整申报，全额冲减后按已售部分重报",IF(N232="","全部已售：填入实际应退税额后判断",IF(O232=0,"全部已售、无差异：无需调整申报","全部已售、有差异：需要调整申报")))))</f>
        <v/>
      </c>
      <c r="Q232" s="41"/>
      <c r="R232" s="44"/>
      <c r="S232" s="36" t="str">
        <f aca="false">IF(A232="","",IF(D232="","请选择申报方式",IF(D232&lt;&gt;"未售-海外仓预退（HWC-YT）","不涉及核算",IF(Q232&lt;&gt;"","已核算",IF(J232="","待税务办结",IF(K232&lt;0,"已逾期：税务将追回预退税",IF(K232&lt;=60,"临近截止（60天内）","待核算")))))))</f>
        <v/>
      </c>
      <c r="T232" s="30" t="str">
        <f aca="false">IF(ISNUMBER(C232),DATE(YEAR(C232)+1,4,30),"")</f>
        <v/>
      </c>
      <c r="U232" s="43"/>
    </row>
    <row r="233" customFormat="false" ht="21.75" hidden="false" customHeight="true" outlineLevel="0" collapsed="false">
      <c r="A233" s="44"/>
      <c r="B233" s="36" t="str">
        <f aca="false">IF(A233="","",IFERROR(INDEX(①出口报关!$I$4:$I$303,MATCH(A233,①出口报关!$A$4:$A$303,0)),"编号不存在"))</f>
        <v/>
      </c>
      <c r="C233" s="30" t="str">
        <f aca="false">IF(A233="","",IFERROR(IF(INDEX(①出口报关!$D$4:$D$303,MATCH(A233,①出口报关!$A$4:$A$303,0))=0,"",INDEX(①出口报关!$D$4:$D$303,MATCH(A233,①出口报关!$A$4:$A$303,0))),"编号不存在"))</f>
        <v/>
      </c>
      <c r="D233" s="43"/>
      <c r="E233" s="45"/>
      <c r="F233" s="41"/>
      <c r="G233" s="48"/>
      <c r="H233" s="46"/>
      <c r="I233" s="41"/>
      <c r="J233" s="30" t="str">
        <f aca="false">IF(AND(D233="未售-海外仓预退（HWC-YT）",ISNUMBER(I233)),DATE(YEAR(I233)+1,4,30),"")</f>
        <v/>
      </c>
      <c r="K233" s="51" t="str">
        <f aca="true">IF(J233="","",IF(Q233&lt;&gt;"","",J233-TODAY()))</f>
        <v/>
      </c>
      <c r="L233" s="31" t="str">
        <f aca="false">IF(OR(A233="",D233&lt;&gt;"未售-海外仓预退（HWC-YT）"),"",MIN(N(E233),MAX(0,SUMIFS(②销售核销!$I$4:$I$603,②销售核销!$E$4:$E$603,A233)-SUMIFS($E$4:$E$303,$A$4:$A$303,A233,$D$4:$D$303,"已售-按现行规定申报"))))</f>
        <v/>
      </c>
      <c r="M233" s="34" t="str">
        <f aca="false">IF(OR(L233="",N(E233)=0,H233=""),"",ROUND(H233/E233*L233,2))</f>
        <v/>
      </c>
      <c r="N233" s="46"/>
      <c r="O233" s="34" t="str">
        <f aca="false">IF(OR(N233="",H233=""),"",ROUND(N233-H233,2))</f>
        <v/>
      </c>
      <c r="P233" s="36" t="str">
        <f aca="false">IF(OR(A233="",D233&lt;&gt;"未售-海外仓预退（HWC-YT）"),"",IF(L233=0,"仍未销售：需要调整申报，全额缴回预退税",IF(L233&lt;N(E233),"部分已售：需要调整申报，全额冲减后按已售部分重报",IF(N233="","全部已售：填入实际应退税额后判断",IF(O233=0,"全部已售、无差异：无需调整申报","全部已售、有差异：需要调整申报")))))</f>
        <v/>
      </c>
      <c r="Q233" s="41"/>
      <c r="R233" s="44"/>
      <c r="S233" s="36" t="str">
        <f aca="false">IF(A233="","",IF(D233="","请选择申报方式",IF(D233&lt;&gt;"未售-海外仓预退（HWC-YT）","不涉及核算",IF(Q233&lt;&gt;"","已核算",IF(J233="","待税务办结",IF(K233&lt;0,"已逾期：税务将追回预退税",IF(K233&lt;=60,"临近截止（60天内）","待核算")))))))</f>
        <v/>
      </c>
      <c r="T233" s="30" t="str">
        <f aca="false">IF(ISNUMBER(C233),DATE(YEAR(C233)+1,4,30),"")</f>
        <v/>
      </c>
      <c r="U233" s="43"/>
    </row>
    <row r="234" customFormat="false" ht="21.75" hidden="false" customHeight="true" outlineLevel="0" collapsed="false">
      <c r="A234" s="44"/>
      <c r="B234" s="36" t="str">
        <f aca="false">IF(A234="","",IFERROR(INDEX(①出口报关!$I$4:$I$303,MATCH(A234,①出口报关!$A$4:$A$303,0)),"编号不存在"))</f>
        <v/>
      </c>
      <c r="C234" s="30" t="str">
        <f aca="false">IF(A234="","",IFERROR(IF(INDEX(①出口报关!$D$4:$D$303,MATCH(A234,①出口报关!$A$4:$A$303,0))=0,"",INDEX(①出口报关!$D$4:$D$303,MATCH(A234,①出口报关!$A$4:$A$303,0))),"编号不存在"))</f>
        <v/>
      </c>
      <c r="D234" s="43"/>
      <c r="E234" s="45"/>
      <c r="F234" s="41"/>
      <c r="G234" s="48"/>
      <c r="H234" s="46"/>
      <c r="I234" s="41"/>
      <c r="J234" s="30" t="str">
        <f aca="false">IF(AND(D234="未售-海外仓预退（HWC-YT）",ISNUMBER(I234)),DATE(YEAR(I234)+1,4,30),"")</f>
        <v/>
      </c>
      <c r="K234" s="51" t="str">
        <f aca="true">IF(J234="","",IF(Q234&lt;&gt;"","",J234-TODAY()))</f>
        <v/>
      </c>
      <c r="L234" s="31" t="str">
        <f aca="false">IF(OR(A234="",D234&lt;&gt;"未售-海外仓预退（HWC-YT）"),"",MIN(N(E234),MAX(0,SUMIFS(②销售核销!$I$4:$I$603,②销售核销!$E$4:$E$603,A234)-SUMIFS($E$4:$E$303,$A$4:$A$303,A234,$D$4:$D$303,"已售-按现行规定申报"))))</f>
        <v/>
      </c>
      <c r="M234" s="34" t="str">
        <f aca="false">IF(OR(L234="",N(E234)=0,H234=""),"",ROUND(H234/E234*L234,2))</f>
        <v/>
      </c>
      <c r="N234" s="46"/>
      <c r="O234" s="34" t="str">
        <f aca="false">IF(OR(N234="",H234=""),"",ROUND(N234-H234,2))</f>
        <v/>
      </c>
      <c r="P234" s="36" t="str">
        <f aca="false">IF(OR(A234="",D234&lt;&gt;"未售-海外仓预退（HWC-YT）"),"",IF(L234=0,"仍未销售：需要调整申报，全额缴回预退税",IF(L234&lt;N(E234),"部分已售：需要调整申报，全额冲减后按已售部分重报",IF(N234="","全部已售：填入实际应退税额后判断",IF(O234=0,"全部已售、无差异：无需调整申报","全部已售、有差异：需要调整申报")))))</f>
        <v/>
      </c>
      <c r="Q234" s="41"/>
      <c r="R234" s="44"/>
      <c r="S234" s="36" t="str">
        <f aca="false">IF(A234="","",IF(D234="","请选择申报方式",IF(D234&lt;&gt;"未售-海外仓预退（HWC-YT）","不涉及核算",IF(Q234&lt;&gt;"","已核算",IF(J234="","待税务办结",IF(K234&lt;0,"已逾期：税务将追回预退税",IF(K234&lt;=60,"临近截止（60天内）","待核算")))))))</f>
        <v/>
      </c>
      <c r="T234" s="30" t="str">
        <f aca="false">IF(ISNUMBER(C234),DATE(YEAR(C234)+1,4,30),"")</f>
        <v/>
      </c>
      <c r="U234" s="43"/>
    </row>
    <row r="235" customFormat="false" ht="21.75" hidden="false" customHeight="true" outlineLevel="0" collapsed="false">
      <c r="A235" s="44"/>
      <c r="B235" s="36" t="str">
        <f aca="false">IF(A235="","",IFERROR(INDEX(①出口报关!$I$4:$I$303,MATCH(A235,①出口报关!$A$4:$A$303,0)),"编号不存在"))</f>
        <v/>
      </c>
      <c r="C235" s="30" t="str">
        <f aca="false">IF(A235="","",IFERROR(IF(INDEX(①出口报关!$D$4:$D$303,MATCH(A235,①出口报关!$A$4:$A$303,0))=0,"",INDEX(①出口报关!$D$4:$D$303,MATCH(A235,①出口报关!$A$4:$A$303,0))),"编号不存在"))</f>
        <v/>
      </c>
      <c r="D235" s="43"/>
      <c r="E235" s="45"/>
      <c r="F235" s="41"/>
      <c r="G235" s="48"/>
      <c r="H235" s="46"/>
      <c r="I235" s="41"/>
      <c r="J235" s="30" t="str">
        <f aca="false">IF(AND(D235="未售-海外仓预退（HWC-YT）",ISNUMBER(I235)),DATE(YEAR(I235)+1,4,30),"")</f>
        <v/>
      </c>
      <c r="K235" s="51" t="str">
        <f aca="true">IF(J235="","",IF(Q235&lt;&gt;"","",J235-TODAY()))</f>
        <v/>
      </c>
      <c r="L235" s="31" t="str">
        <f aca="false">IF(OR(A235="",D235&lt;&gt;"未售-海外仓预退（HWC-YT）"),"",MIN(N(E235),MAX(0,SUMIFS(②销售核销!$I$4:$I$603,②销售核销!$E$4:$E$603,A235)-SUMIFS($E$4:$E$303,$A$4:$A$303,A235,$D$4:$D$303,"已售-按现行规定申报"))))</f>
        <v/>
      </c>
      <c r="M235" s="34" t="str">
        <f aca="false">IF(OR(L235="",N(E235)=0,H235=""),"",ROUND(H235/E235*L235,2))</f>
        <v/>
      </c>
      <c r="N235" s="46"/>
      <c r="O235" s="34" t="str">
        <f aca="false">IF(OR(N235="",H235=""),"",ROUND(N235-H235,2))</f>
        <v/>
      </c>
      <c r="P235" s="36" t="str">
        <f aca="false">IF(OR(A235="",D235&lt;&gt;"未售-海外仓预退（HWC-YT）"),"",IF(L235=0,"仍未销售：需要调整申报，全额缴回预退税",IF(L235&lt;N(E235),"部分已售：需要调整申报，全额冲减后按已售部分重报",IF(N235="","全部已售：填入实际应退税额后判断",IF(O235=0,"全部已售、无差异：无需调整申报","全部已售、有差异：需要调整申报")))))</f>
        <v/>
      </c>
      <c r="Q235" s="41"/>
      <c r="R235" s="44"/>
      <c r="S235" s="36" t="str">
        <f aca="false">IF(A235="","",IF(D235="","请选择申报方式",IF(D235&lt;&gt;"未售-海外仓预退（HWC-YT）","不涉及核算",IF(Q235&lt;&gt;"","已核算",IF(J235="","待税务办结",IF(K235&lt;0,"已逾期：税务将追回预退税",IF(K235&lt;=60,"临近截止（60天内）","待核算")))))))</f>
        <v/>
      </c>
      <c r="T235" s="30" t="str">
        <f aca="false">IF(ISNUMBER(C235),DATE(YEAR(C235)+1,4,30),"")</f>
        <v/>
      </c>
      <c r="U235" s="43"/>
    </row>
    <row r="236" customFormat="false" ht="21.75" hidden="false" customHeight="true" outlineLevel="0" collapsed="false">
      <c r="A236" s="44"/>
      <c r="B236" s="36" t="str">
        <f aca="false">IF(A236="","",IFERROR(INDEX(①出口报关!$I$4:$I$303,MATCH(A236,①出口报关!$A$4:$A$303,0)),"编号不存在"))</f>
        <v/>
      </c>
      <c r="C236" s="30" t="str">
        <f aca="false">IF(A236="","",IFERROR(IF(INDEX(①出口报关!$D$4:$D$303,MATCH(A236,①出口报关!$A$4:$A$303,0))=0,"",INDEX(①出口报关!$D$4:$D$303,MATCH(A236,①出口报关!$A$4:$A$303,0))),"编号不存在"))</f>
        <v/>
      </c>
      <c r="D236" s="43"/>
      <c r="E236" s="45"/>
      <c r="F236" s="41"/>
      <c r="G236" s="48"/>
      <c r="H236" s="46"/>
      <c r="I236" s="41"/>
      <c r="J236" s="30" t="str">
        <f aca="false">IF(AND(D236="未售-海外仓预退（HWC-YT）",ISNUMBER(I236)),DATE(YEAR(I236)+1,4,30),"")</f>
        <v/>
      </c>
      <c r="K236" s="51" t="str">
        <f aca="true">IF(J236="","",IF(Q236&lt;&gt;"","",J236-TODAY()))</f>
        <v/>
      </c>
      <c r="L236" s="31" t="str">
        <f aca="false">IF(OR(A236="",D236&lt;&gt;"未售-海外仓预退（HWC-YT）"),"",MIN(N(E236),MAX(0,SUMIFS(②销售核销!$I$4:$I$603,②销售核销!$E$4:$E$603,A236)-SUMIFS($E$4:$E$303,$A$4:$A$303,A236,$D$4:$D$303,"已售-按现行规定申报"))))</f>
        <v/>
      </c>
      <c r="M236" s="34" t="str">
        <f aca="false">IF(OR(L236="",N(E236)=0,H236=""),"",ROUND(H236/E236*L236,2))</f>
        <v/>
      </c>
      <c r="N236" s="46"/>
      <c r="O236" s="34" t="str">
        <f aca="false">IF(OR(N236="",H236=""),"",ROUND(N236-H236,2))</f>
        <v/>
      </c>
      <c r="P236" s="36" t="str">
        <f aca="false">IF(OR(A236="",D236&lt;&gt;"未售-海外仓预退（HWC-YT）"),"",IF(L236=0,"仍未销售：需要调整申报，全额缴回预退税",IF(L236&lt;N(E236),"部分已售：需要调整申报，全额冲减后按已售部分重报",IF(N236="","全部已售：填入实际应退税额后判断",IF(O236=0,"全部已售、无差异：无需调整申报","全部已售、有差异：需要调整申报")))))</f>
        <v/>
      </c>
      <c r="Q236" s="41"/>
      <c r="R236" s="44"/>
      <c r="S236" s="36" t="str">
        <f aca="false">IF(A236="","",IF(D236="","请选择申报方式",IF(D236&lt;&gt;"未售-海外仓预退（HWC-YT）","不涉及核算",IF(Q236&lt;&gt;"","已核算",IF(J236="","待税务办结",IF(K236&lt;0,"已逾期：税务将追回预退税",IF(K236&lt;=60,"临近截止（60天内）","待核算")))))))</f>
        <v/>
      </c>
      <c r="T236" s="30" t="str">
        <f aca="false">IF(ISNUMBER(C236),DATE(YEAR(C236)+1,4,30),"")</f>
        <v/>
      </c>
      <c r="U236" s="43"/>
    </row>
    <row r="237" customFormat="false" ht="21.75" hidden="false" customHeight="true" outlineLevel="0" collapsed="false">
      <c r="A237" s="44"/>
      <c r="B237" s="36" t="str">
        <f aca="false">IF(A237="","",IFERROR(INDEX(①出口报关!$I$4:$I$303,MATCH(A237,①出口报关!$A$4:$A$303,0)),"编号不存在"))</f>
        <v/>
      </c>
      <c r="C237" s="30" t="str">
        <f aca="false">IF(A237="","",IFERROR(IF(INDEX(①出口报关!$D$4:$D$303,MATCH(A237,①出口报关!$A$4:$A$303,0))=0,"",INDEX(①出口报关!$D$4:$D$303,MATCH(A237,①出口报关!$A$4:$A$303,0))),"编号不存在"))</f>
        <v/>
      </c>
      <c r="D237" s="43"/>
      <c r="E237" s="45"/>
      <c r="F237" s="41"/>
      <c r="G237" s="48"/>
      <c r="H237" s="46"/>
      <c r="I237" s="41"/>
      <c r="J237" s="30" t="str">
        <f aca="false">IF(AND(D237="未售-海外仓预退（HWC-YT）",ISNUMBER(I237)),DATE(YEAR(I237)+1,4,30),"")</f>
        <v/>
      </c>
      <c r="K237" s="51" t="str">
        <f aca="true">IF(J237="","",IF(Q237&lt;&gt;"","",J237-TODAY()))</f>
        <v/>
      </c>
      <c r="L237" s="31" t="str">
        <f aca="false">IF(OR(A237="",D237&lt;&gt;"未售-海外仓预退（HWC-YT）"),"",MIN(N(E237),MAX(0,SUMIFS(②销售核销!$I$4:$I$603,②销售核销!$E$4:$E$603,A237)-SUMIFS($E$4:$E$303,$A$4:$A$303,A237,$D$4:$D$303,"已售-按现行规定申报"))))</f>
        <v/>
      </c>
      <c r="M237" s="34" t="str">
        <f aca="false">IF(OR(L237="",N(E237)=0,H237=""),"",ROUND(H237/E237*L237,2))</f>
        <v/>
      </c>
      <c r="N237" s="46"/>
      <c r="O237" s="34" t="str">
        <f aca="false">IF(OR(N237="",H237=""),"",ROUND(N237-H237,2))</f>
        <v/>
      </c>
      <c r="P237" s="36" t="str">
        <f aca="false">IF(OR(A237="",D237&lt;&gt;"未售-海外仓预退（HWC-YT）"),"",IF(L237=0,"仍未销售：需要调整申报，全额缴回预退税",IF(L237&lt;N(E237),"部分已售：需要调整申报，全额冲减后按已售部分重报",IF(N237="","全部已售：填入实际应退税额后判断",IF(O237=0,"全部已售、无差异：无需调整申报","全部已售、有差异：需要调整申报")))))</f>
        <v/>
      </c>
      <c r="Q237" s="41"/>
      <c r="R237" s="44"/>
      <c r="S237" s="36" t="str">
        <f aca="false">IF(A237="","",IF(D237="","请选择申报方式",IF(D237&lt;&gt;"未售-海外仓预退（HWC-YT）","不涉及核算",IF(Q237&lt;&gt;"","已核算",IF(J237="","待税务办结",IF(K237&lt;0,"已逾期：税务将追回预退税",IF(K237&lt;=60,"临近截止（60天内）","待核算")))))))</f>
        <v/>
      </c>
      <c r="T237" s="30" t="str">
        <f aca="false">IF(ISNUMBER(C237),DATE(YEAR(C237)+1,4,30),"")</f>
        <v/>
      </c>
      <c r="U237" s="43"/>
    </row>
    <row r="238" customFormat="false" ht="21.75" hidden="false" customHeight="true" outlineLevel="0" collapsed="false">
      <c r="A238" s="44"/>
      <c r="B238" s="36" t="str">
        <f aca="false">IF(A238="","",IFERROR(INDEX(①出口报关!$I$4:$I$303,MATCH(A238,①出口报关!$A$4:$A$303,0)),"编号不存在"))</f>
        <v/>
      </c>
      <c r="C238" s="30" t="str">
        <f aca="false">IF(A238="","",IFERROR(IF(INDEX(①出口报关!$D$4:$D$303,MATCH(A238,①出口报关!$A$4:$A$303,0))=0,"",INDEX(①出口报关!$D$4:$D$303,MATCH(A238,①出口报关!$A$4:$A$303,0))),"编号不存在"))</f>
        <v/>
      </c>
      <c r="D238" s="43"/>
      <c r="E238" s="45"/>
      <c r="F238" s="41"/>
      <c r="G238" s="48"/>
      <c r="H238" s="46"/>
      <c r="I238" s="41"/>
      <c r="J238" s="30" t="str">
        <f aca="false">IF(AND(D238="未售-海外仓预退（HWC-YT）",ISNUMBER(I238)),DATE(YEAR(I238)+1,4,30),"")</f>
        <v/>
      </c>
      <c r="K238" s="51" t="str">
        <f aca="true">IF(J238="","",IF(Q238&lt;&gt;"","",J238-TODAY()))</f>
        <v/>
      </c>
      <c r="L238" s="31" t="str">
        <f aca="false">IF(OR(A238="",D238&lt;&gt;"未售-海外仓预退（HWC-YT）"),"",MIN(N(E238),MAX(0,SUMIFS(②销售核销!$I$4:$I$603,②销售核销!$E$4:$E$603,A238)-SUMIFS($E$4:$E$303,$A$4:$A$303,A238,$D$4:$D$303,"已售-按现行规定申报"))))</f>
        <v/>
      </c>
      <c r="M238" s="34" t="str">
        <f aca="false">IF(OR(L238="",N(E238)=0,H238=""),"",ROUND(H238/E238*L238,2))</f>
        <v/>
      </c>
      <c r="N238" s="46"/>
      <c r="O238" s="34" t="str">
        <f aca="false">IF(OR(N238="",H238=""),"",ROUND(N238-H238,2))</f>
        <v/>
      </c>
      <c r="P238" s="36" t="str">
        <f aca="false">IF(OR(A238="",D238&lt;&gt;"未售-海外仓预退（HWC-YT）"),"",IF(L238=0,"仍未销售：需要调整申报，全额缴回预退税",IF(L238&lt;N(E238),"部分已售：需要调整申报，全额冲减后按已售部分重报",IF(N238="","全部已售：填入实际应退税额后判断",IF(O238=0,"全部已售、无差异：无需调整申报","全部已售、有差异：需要调整申报")))))</f>
        <v/>
      </c>
      <c r="Q238" s="41"/>
      <c r="R238" s="44"/>
      <c r="S238" s="36" t="str">
        <f aca="false">IF(A238="","",IF(D238="","请选择申报方式",IF(D238&lt;&gt;"未售-海外仓预退（HWC-YT）","不涉及核算",IF(Q238&lt;&gt;"","已核算",IF(J238="","待税务办结",IF(K238&lt;0,"已逾期：税务将追回预退税",IF(K238&lt;=60,"临近截止（60天内）","待核算")))))))</f>
        <v/>
      </c>
      <c r="T238" s="30" t="str">
        <f aca="false">IF(ISNUMBER(C238),DATE(YEAR(C238)+1,4,30),"")</f>
        <v/>
      </c>
      <c r="U238" s="43"/>
    </row>
    <row r="239" customFormat="false" ht="21.75" hidden="false" customHeight="true" outlineLevel="0" collapsed="false">
      <c r="A239" s="44"/>
      <c r="B239" s="36" t="str">
        <f aca="false">IF(A239="","",IFERROR(INDEX(①出口报关!$I$4:$I$303,MATCH(A239,①出口报关!$A$4:$A$303,0)),"编号不存在"))</f>
        <v/>
      </c>
      <c r="C239" s="30" t="str">
        <f aca="false">IF(A239="","",IFERROR(IF(INDEX(①出口报关!$D$4:$D$303,MATCH(A239,①出口报关!$A$4:$A$303,0))=0,"",INDEX(①出口报关!$D$4:$D$303,MATCH(A239,①出口报关!$A$4:$A$303,0))),"编号不存在"))</f>
        <v/>
      </c>
      <c r="D239" s="43"/>
      <c r="E239" s="45"/>
      <c r="F239" s="41"/>
      <c r="G239" s="48"/>
      <c r="H239" s="46"/>
      <c r="I239" s="41"/>
      <c r="J239" s="30" t="str">
        <f aca="false">IF(AND(D239="未售-海外仓预退（HWC-YT）",ISNUMBER(I239)),DATE(YEAR(I239)+1,4,30),"")</f>
        <v/>
      </c>
      <c r="K239" s="51" t="str">
        <f aca="true">IF(J239="","",IF(Q239&lt;&gt;"","",J239-TODAY()))</f>
        <v/>
      </c>
      <c r="L239" s="31" t="str">
        <f aca="false">IF(OR(A239="",D239&lt;&gt;"未售-海外仓预退（HWC-YT）"),"",MIN(N(E239),MAX(0,SUMIFS(②销售核销!$I$4:$I$603,②销售核销!$E$4:$E$603,A239)-SUMIFS($E$4:$E$303,$A$4:$A$303,A239,$D$4:$D$303,"已售-按现行规定申报"))))</f>
        <v/>
      </c>
      <c r="M239" s="34" t="str">
        <f aca="false">IF(OR(L239="",N(E239)=0,H239=""),"",ROUND(H239/E239*L239,2))</f>
        <v/>
      </c>
      <c r="N239" s="46"/>
      <c r="O239" s="34" t="str">
        <f aca="false">IF(OR(N239="",H239=""),"",ROUND(N239-H239,2))</f>
        <v/>
      </c>
      <c r="P239" s="36" t="str">
        <f aca="false">IF(OR(A239="",D239&lt;&gt;"未售-海外仓预退（HWC-YT）"),"",IF(L239=0,"仍未销售：需要调整申报，全额缴回预退税",IF(L239&lt;N(E239),"部分已售：需要调整申报，全额冲减后按已售部分重报",IF(N239="","全部已售：填入实际应退税额后判断",IF(O239=0,"全部已售、无差异：无需调整申报","全部已售、有差异：需要调整申报")))))</f>
        <v/>
      </c>
      <c r="Q239" s="41"/>
      <c r="R239" s="44"/>
      <c r="S239" s="36" t="str">
        <f aca="false">IF(A239="","",IF(D239="","请选择申报方式",IF(D239&lt;&gt;"未售-海外仓预退（HWC-YT）","不涉及核算",IF(Q239&lt;&gt;"","已核算",IF(J239="","待税务办结",IF(K239&lt;0,"已逾期：税务将追回预退税",IF(K239&lt;=60,"临近截止（60天内）","待核算")))))))</f>
        <v/>
      </c>
      <c r="T239" s="30" t="str">
        <f aca="false">IF(ISNUMBER(C239),DATE(YEAR(C239)+1,4,30),"")</f>
        <v/>
      </c>
      <c r="U239" s="43"/>
    </row>
    <row r="240" customFormat="false" ht="21.75" hidden="false" customHeight="true" outlineLevel="0" collapsed="false">
      <c r="A240" s="44"/>
      <c r="B240" s="36" t="str">
        <f aca="false">IF(A240="","",IFERROR(INDEX(①出口报关!$I$4:$I$303,MATCH(A240,①出口报关!$A$4:$A$303,0)),"编号不存在"))</f>
        <v/>
      </c>
      <c r="C240" s="30" t="str">
        <f aca="false">IF(A240="","",IFERROR(IF(INDEX(①出口报关!$D$4:$D$303,MATCH(A240,①出口报关!$A$4:$A$303,0))=0,"",INDEX(①出口报关!$D$4:$D$303,MATCH(A240,①出口报关!$A$4:$A$303,0))),"编号不存在"))</f>
        <v/>
      </c>
      <c r="D240" s="43"/>
      <c r="E240" s="45"/>
      <c r="F240" s="41"/>
      <c r="G240" s="48"/>
      <c r="H240" s="46"/>
      <c r="I240" s="41"/>
      <c r="J240" s="30" t="str">
        <f aca="false">IF(AND(D240="未售-海外仓预退（HWC-YT）",ISNUMBER(I240)),DATE(YEAR(I240)+1,4,30),"")</f>
        <v/>
      </c>
      <c r="K240" s="51" t="str">
        <f aca="true">IF(J240="","",IF(Q240&lt;&gt;"","",J240-TODAY()))</f>
        <v/>
      </c>
      <c r="L240" s="31" t="str">
        <f aca="false">IF(OR(A240="",D240&lt;&gt;"未售-海外仓预退（HWC-YT）"),"",MIN(N(E240),MAX(0,SUMIFS(②销售核销!$I$4:$I$603,②销售核销!$E$4:$E$603,A240)-SUMIFS($E$4:$E$303,$A$4:$A$303,A240,$D$4:$D$303,"已售-按现行规定申报"))))</f>
        <v/>
      </c>
      <c r="M240" s="34" t="str">
        <f aca="false">IF(OR(L240="",N(E240)=0,H240=""),"",ROUND(H240/E240*L240,2))</f>
        <v/>
      </c>
      <c r="N240" s="46"/>
      <c r="O240" s="34" t="str">
        <f aca="false">IF(OR(N240="",H240=""),"",ROUND(N240-H240,2))</f>
        <v/>
      </c>
      <c r="P240" s="36" t="str">
        <f aca="false">IF(OR(A240="",D240&lt;&gt;"未售-海外仓预退（HWC-YT）"),"",IF(L240=0,"仍未销售：需要调整申报，全额缴回预退税",IF(L240&lt;N(E240),"部分已售：需要调整申报，全额冲减后按已售部分重报",IF(N240="","全部已售：填入实际应退税额后判断",IF(O240=0,"全部已售、无差异：无需调整申报","全部已售、有差异：需要调整申报")))))</f>
        <v/>
      </c>
      <c r="Q240" s="41"/>
      <c r="R240" s="44"/>
      <c r="S240" s="36" t="str">
        <f aca="false">IF(A240="","",IF(D240="","请选择申报方式",IF(D240&lt;&gt;"未售-海外仓预退（HWC-YT）","不涉及核算",IF(Q240&lt;&gt;"","已核算",IF(J240="","待税务办结",IF(K240&lt;0,"已逾期：税务将追回预退税",IF(K240&lt;=60,"临近截止（60天内）","待核算")))))))</f>
        <v/>
      </c>
      <c r="T240" s="30" t="str">
        <f aca="false">IF(ISNUMBER(C240),DATE(YEAR(C240)+1,4,30),"")</f>
        <v/>
      </c>
      <c r="U240" s="43"/>
    </row>
    <row r="241" customFormat="false" ht="21.75" hidden="false" customHeight="true" outlineLevel="0" collapsed="false">
      <c r="A241" s="44"/>
      <c r="B241" s="36" t="str">
        <f aca="false">IF(A241="","",IFERROR(INDEX(①出口报关!$I$4:$I$303,MATCH(A241,①出口报关!$A$4:$A$303,0)),"编号不存在"))</f>
        <v/>
      </c>
      <c r="C241" s="30" t="str">
        <f aca="false">IF(A241="","",IFERROR(IF(INDEX(①出口报关!$D$4:$D$303,MATCH(A241,①出口报关!$A$4:$A$303,0))=0,"",INDEX(①出口报关!$D$4:$D$303,MATCH(A241,①出口报关!$A$4:$A$303,0))),"编号不存在"))</f>
        <v/>
      </c>
      <c r="D241" s="43"/>
      <c r="E241" s="45"/>
      <c r="F241" s="41"/>
      <c r="G241" s="48"/>
      <c r="H241" s="46"/>
      <c r="I241" s="41"/>
      <c r="J241" s="30" t="str">
        <f aca="false">IF(AND(D241="未售-海外仓预退（HWC-YT）",ISNUMBER(I241)),DATE(YEAR(I241)+1,4,30),"")</f>
        <v/>
      </c>
      <c r="K241" s="51" t="str">
        <f aca="true">IF(J241="","",IF(Q241&lt;&gt;"","",J241-TODAY()))</f>
        <v/>
      </c>
      <c r="L241" s="31" t="str">
        <f aca="false">IF(OR(A241="",D241&lt;&gt;"未售-海外仓预退（HWC-YT）"),"",MIN(N(E241),MAX(0,SUMIFS(②销售核销!$I$4:$I$603,②销售核销!$E$4:$E$603,A241)-SUMIFS($E$4:$E$303,$A$4:$A$303,A241,$D$4:$D$303,"已售-按现行规定申报"))))</f>
        <v/>
      </c>
      <c r="M241" s="34" t="str">
        <f aca="false">IF(OR(L241="",N(E241)=0,H241=""),"",ROUND(H241/E241*L241,2))</f>
        <v/>
      </c>
      <c r="N241" s="46"/>
      <c r="O241" s="34" t="str">
        <f aca="false">IF(OR(N241="",H241=""),"",ROUND(N241-H241,2))</f>
        <v/>
      </c>
      <c r="P241" s="36" t="str">
        <f aca="false">IF(OR(A241="",D241&lt;&gt;"未售-海外仓预退（HWC-YT）"),"",IF(L241=0,"仍未销售：需要调整申报，全额缴回预退税",IF(L241&lt;N(E241),"部分已售：需要调整申报，全额冲减后按已售部分重报",IF(N241="","全部已售：填入实际应退税额后判断",IF(O241=0,"全部已售、无差异：无需调整申报","全部已售、有差异：需要调整申报")))))</f>
        <v/>
      </c>
      <c r="Q241" s="41"/>
      <c r="R241" s="44"/>
      <c r="S241" s="36" t="str">
        <f aca="false">IF(A241="","",IF(D241="","请选择申报方式",IF(D241&lt;&gt;"未售-海外仓预退（HWC-YT）","不涉及核算",IF(Q241&lt;&gt;"","已核算",IF(J241="","待税务办结",IF(K241&lt;0,"已逾期：税务将追回预退税",IF(K241&lt;=60,"临近截止（60天内）","待核算")))))))</f>
        <v/>
      </c>
      <c r="T241" s="30" t="str">
        <f aca="false">IF(ISNUMBER(C241),DATE(YEAR(C241)+1,4,30),"")</f>
        <v/>
      </c>
      <c r="U241" s="43"/>
    </row>
    <row r="242" customFormat="false" ht="21.75" hidden="false" customHeight="true" outlineLevel="0" collapsed="false">
      <c r="A242" s="44"/>
      <c r="B242" s="36" t="str">
        <f aca="false">IF(A242="","",IFERROR(INDEX(①出口报关!$I$4:$I$303,MATCH(A242,①出口报关!$A$4:$A$303,0)),"编号不存在"))</f>
        <v/>
      </c>
      <c r="C242" s="30" t="str">
        <f aca="false">IF(A242="","",IFERROR(IF(INDEX(①出口报关!$D$4:$D$303,MATCH(A242,①出口报关!$A$4:$A$303,0))=0,"",INDEX(①出口报关!$D$4:$D$303,MATCH(A242,①出口报关!$A$4:$A$303,0))),"编号不存在"))</f>
        <v/>
      </c>
      <c r="D242" s="43"/>
      <c r="E242" s="45"/>
      <c r="F242" s="41"/>
      <c r="G242" s="48"/>
      <c r="H242" s="46"/>
      <c r="I242" s="41"/>
      <c r="J242" s="30" t="str">
        <f aca="false">IF(AND(D242="未售-海外仓预退（HWC-YT）",ISNUMBER(I242)),DATE(YEAR(I242)+1,4,30),"")</f>
        <v/>
      </c>
      <c r="K242" s="51" t="str">
        <f aca="true">IF(J242="","",IF(Q242&lt;&gt;"","",J242-TODAY()))</f>
        <v/>
      </c>
      <c r="L242" s="31" t="str">
        <f aca="false">IF(OR(A242="",D242&lt;&gt;"未售-海外仓预退（HWC-YT）"),"",MIN(N(E242),MAX(0,SUMIFS(②销售核销!$I$4:$I$603,②销售核销!$E$4:$E$603,A242)-SUMIFS($E$4:$E$303,$A$4:$A$303,A242,$D$4:$D$303,"已售-按现行规定申报"))))</f>
        <v/>
      </c>
      <c r="M242" s="34" t="str">
        <f aca="false">IF(OR(L242="",N(E242)=0,H242=""),"",ROUND(H242/E242*L242,2))</f>
        <v/>
      </c>
      <c r="N242" s="46"/>
      <c r="O242" s="34" t="str">
        <f aca="false">IF(OR(N242="",H242=""),"",ROUND(N242-H242,2))</f>
        <v/>
      </c>
      <c r="P242" s="36" t="str">
        <f aca="false">IF(OR(A242="",D242&lt;&gt;"未售-海外仓预退（HWC-YT）"),"",IF(L242=0,"仍未销售：需要调整申报，全额缴回预退税",IF(L242&lt;N(E242),"部分已售：需要调整申报，全额冲减后按已售部分重报",IF(N242="","全部已售：填入实际应退税额后判断",IF(O242=0,"全部已售、无差异：无需调整申报","全部已售、有差异：需要调整申报")))))</f>
        <v/>
      </c>
      <c r="Q242" s="41"/>
      <c r="R242" s="44"/>
      <c r="S242" s="36" t="str">
        <f aca="false">IF(A242="","",IF(D242="","请选择申报方式",IF(D242&lt;&gt;"未售-海外仓预退（HWC-YT）","不涉及核算",IF(Q242&lt;&gt;"","已核算",IF(J242="","待税务办结",IF(K242&lt;0,"已逾期：税务将追回预退税",IF(K242&lt;=60,"临近截止（60天内）","待核算")))))))</f>
        <v/>
      </c>
      <c r="T242" s="30" t="str">
        <f aca="false">IF(ISNUMBER(C242),DATE(YEAR(C242)+1,4,30),"")</f>
        <v/>
      </c>
      <c r="U242" s="43"/>
    </row>
    <row r="243" customFormat="false" ht="21.75" hidden="false" customHeight="true" outlineLevel="0" collapsed="false">
      <c r="A243" s="44"/>
      <c r="B243" s="36" t="str">
        <f aca="false">IF(A243="","",IFERROR(INDEX(①出口报关!$I$4:$I$303,MATCH(A243,①出口报关!$A$4:$A$303,0)),"编号不存在"))</f>
        <v/>
      </c>
      <c r="C243" s="30" t="str">
        <f aca="false">IF(A243="","",IFERROR(IF(INDEX(①出口报关!$D$4:$D$303,MATCH(A243,①出口报关!$A$4:$A$303,0))=0,"",INDEX(①出口报关!$D$4:$D$303,MATCH(A243,①出口报关!$A$4:$A$303,0))),"编号不存在"))</f>
        <v/>
      </c>
      <c r="D243" s="43"/>
      <c r="E243" s="45"/>
      <c r="F243" s="41"/>
      <c r="G243" s="48"/>
      <c r="H243" s="46"/>
      <c r="I243" s="41"/>
      <c r="J243" s="30" t="str">
        <f aca="false">IF(AND(D243="未售-海外仓预退（HWC-YT）",ISNUMBER(I243)),DATE(YEAR(I243)+1,4,30),"")</f>
        <v/>
      </c>
      <c r="K243" s="51" t="str">
        <f aca="true">IF(J243="","",IF(Q243&lt;&gt;"","",J243-TODAY()))</f>
        <v/>
      </c>
      <c r="L243" s="31" t="str">
        <f aca="false">IF(OR(A243="",D243&lt;&gt;"未售-海外仓预退（HWC-YT）"),"",MIN(N(E243),MAX(0,SUMIFS(②销售核销!$I$4:$I$603,②销售核销!$E$4:$E$603,A243)-SUMIFS($E$4:$E$303,$A$4:$A$303,A243,$D$4:$D$303,"已售-按现行规定申报"))))</f>
        <v/>
      </c>
      <c r="M243" s="34" t="str">
        <f aca="false">IF(OR(L243="",N(E243)=0,H243=""),"",ROUND(H243/E243*L243,2))</f>
        <v/>
      </c>
      <c r="N243" s="46"/>
      <c r="O243" s="34" t="str">
        <f aca="false">IF(OR(N243="",H243=""),"",ROUND(N243-H243,2))</f>
        <v/>
      </c>
      <c r="P243" s="36" t="str">
        <f aca="false">IF(OR(A243="",D243&lt;&gt;"未售-海外仓预退（HWC-YT）"),"",IF(L243=0,"仍未销售：需要调整申报，全额缴回预退税",IF(L243&lt;N(E243),"部分已售：需要调整申报，全额冲减后按已售部分重报",IF(N243="","全部已售：填入实际应退税额后判断",IF(O243=0,"全部已售、无差异：无需调整申报","全部已售、有差异：需要调整申报")))))</f>
        <v/>
      </c>
      <c r="Q243" s="41"/>
      <c r="R243" s="44"/>
      <c r="S243" s="36" t="str">
        <f aca="false">IF(A243="","",IF(D243="","请选择申报方式",IF(D243&lt;&gt;"未售-海外仓预退（HWC-YT）","不涉及核算",IF(Q243&lt;&gt;"","已核算",IF(J243="","待税务办结",IF(K243&lt;0,"已逾期：税务将追回预退税",IF(K243&lt;=60,"临近截止（60天内）","待核算")))))))</f>
        <v/>
      </c>
      <c r="T243" s="30" t="str">
        <f aca="false">IF(ISNUMBER(C243),DATE(YEAR(C243)+1,4,30),"")</f>
        <v/>
      </c>
      <c r="U243" s="43"/>
    </row>
    <row r="244" customFormat="false" ht="21.75" hidden="false" customHeight="true" outlineLevel="0" collapsed="false">
      <c r="A244" s="44"/>
      <c r="B244" s="36" t="str">
        <f aca="false">IF(A244="","",IFERROR(INDEX(①出口报关!$I$4:$I$303,MATCH(A244,①出口报关!$A$4:$A$303,0)),"编号不存在"))</f>
        <v/>
      </c>
      <c r="C244" s="30" t="str">
        <f aca="false">IF(A244="","",IFERROR(IF(INDEX(①出口报关!$D$4:$D$303,MATCH(A244,①出口报关!$A$4:$A$303,0))=0,"",INDEX(①出口报关!$D$4:$D$303,MATCH(A244,①出口报关!$A$4:$A$303,0))),"编号不存在"))</f>
        <v/>
      </c>
      <c r="D244" s="43"/>
      <c r="E244" s="45"/>
      <c r="F244" s="41"/>
      <c r="G244" s="48"/>
      <c r="H244" s="46"/>
      <c r="I244" s="41"/>
      <c r="J244" s="30" t="str">
        <f aca="false">IF(AND(D244="未售-海外仓预退（HWC-YT）",ISNUMBER(I244)),DATE(YEAR(I244)+1,4,30),"")</f>
        <v/>
      </c>
      <c r="K244" s="51" t="str">
        <f aca="true">IF(J244="","",IF(Q244&lt;&gt;"","",J244-TODAY()))</f>
        <v/>
      </c>
      <c r="L244" s="31" t="str">
        <f aca="false">IF(OR(A244="",D244&lt;&gt;"未售-海外仓预退（HWC-YT）"),"",MIN(N(E244),MAX(0,SUMIFS(②销售核销!$I$4:$I$603,②销售核销!$E$4:$E$603,A244)-SUMIFS($E$4:$E$303,$A$4:$A$303,A244,$D$4:$D$303,"已售-按现行规定申报"))))</f>
        <v/>
      </c>
      <c r="M244" s="34" t="str">
        <f aca="false">IF(OR(L244="",N(E244)=0,H244=""),"",ROUND(H244/E244*L244,2))</f>
        <v/>
      </c>
      <c r="N244" s="46"/>
      <c r="O244" s="34" t="str">
        <f aca="false">IF(OR(N244="",H244=""),"",ROUND(N244-H244,2))</f>
        <v/>
      </c>
      <c r="P244" s="36" t="str">
        <f aca="false">IF(OR(A244="",D244&lt;&gt;"未售-海外仓预退（HWC-YT）"),"",IF(L244=0,"仍未销售：需要调整申报，全额缴回预退税",IF(L244&lt;N(E244),"部分已售：需要调整申报，全额冲减后按已售部分重报",IF(N244="","全部已售：填入实际应退税额后判断",IF(O244=0,"全部已售、无差异：无需调整申报","全部已售、有差异：需要调整申报")))))</f>
        <v/>
      </c>
      <c r="Q244" s="41"/>
      <c r="R244" s="44"/>
      <c r="S244" s="36" t="str">
        <f aca="false">IF(A244="","",IF(D244="","请选择申报方式",IF(D244&lt;&gt;"未售-海外仓预退（HWC-YT）","不涉及核算",IF(Q244&lt;&gt;"","已核算",IF(J244="","待税务办结",IF(K244&lt;0,"已逾期：税务将追回预退税",IF(K244&lt;=60,"临近截止（60天内）","待核算")))))))</f>
        <v/>
      </c>
      <c r="T244" s="30" t="str">
        <f aca="false">IF(ISNUMBER(C244),DATE(YEAR(C244)+1,4,30),"")</f>
        <v/>
      </c>
      <c r="U244" s="43"/>
    </row>
    <row r="245" customFormat="false" ht="21.75" hidden="false" customHeight="true" outlineLevel="0" collapsed="false">
      <c r="A245" s="44"/>
      <c r="B245" s="36" t="str">
        <f aca="false">IF(A245="","",IFERROR(INDEX(①出口报关!$I$4:$I$303,MATCH(A245,①出口报关!$A$4:$A$303,0)),"编号不存在"))</f>
        <v/>
      </c>
      <c r="C245" s="30" t="str">
        <f aca="false">IF(A245="","",IFERROR(IF(INDEX(①出口报关!$D$4:$D$303,MATCH(A245,①出口报关!$A$4:$A$303,0))=0,"",INDEX(①出口报关!$D$4:$D$303,MATCH(A245,①出口报关!$A$4:$A$303,0))),"编号不存在"))</f>
        <v/>
      </c>
      <c r="D245" s="43"/>
      <c r="E245" s="45"/>
      <c r="F245" s="41"/>
      <c r="G245" s="48"/>
      <c r="H245" s="46"/>
      <c r="I245" s="41"/>
      <c r="J245" s="30" t="str">
        <f aca="false">IF(AND(D245="未售-海外仓预退（HWC-YT）",ISNUMBER(I245)),DATE(YEAR(I245)+1,4,30),"")</f>
        <v/>
      </c>
      <c r="K245" s="51" t="str">
        <f aca="true">IF(J245="","",IF(Q245&lt;&gt;"","",J245-TODAY()))</f>
        <v/>
      </c>
      <c r="L245" s="31" t="str">
        <f aca="false">IF(OR(A245="",D245&lt;&gt;"未售-海外仓预退（HWC-YT）"),"",MIN(N(E245),MAX(0,SUMIFS(②销售核销!$I$4:$I$603,②销售核销!$E$4:$E$603,A245)-SUMIFS($E$4:$E$303,$A$4:$A$303,A245,$D$4:$D$303,"已售-按现行规定申报"))))</f>
        <v/>
      </c>
      <c r="M245" s="34" t="str">
        <f aca="false">IF(OR(L245="",N(E245)=0,H245=""),"",ROUND(H245/E245*L245,2))</f>
        <v/>
      </c>
      <c r="N245" s="46"/>
      <c r="O245" s="34" t="str">
        <f aca="false">IF(OR(N245="",H245=""),"",ROUND(N245-H245,2))</f>
        <v/>
      </c>
      <c r="P245" s="36" t="str">
        <f aca="false">IF(OR(A245="",D245&lt;&gt;"未售-海外仓预退（HWC-YT）"),"",IF(L245=0,"仍未销售：需要调整申报，全额缴回预退税",IF(L245&lt;N(E245),"部分已售：需要调整申报，全额冲减后按已售部分重报",IF(N245="","全部已售：填入实际应退税额后判断",IF(O245=0,"全部已售、无差异：无需调整申报","全部已售、有差异：需要调整申报")))))</f>
        <v/>
      </c>
      <c r="Q245" s="41"/>
      <c r="R245" s="44"/>
      <c r="S245" s="36" t="str">
        <f aca="false">IF(A245="","",IF(D245="","请选择申报方式",IF(D245&lt;&gt;"未售-海外仓预退（HWC-YT）","不涉及核算",IF(Q245&lt;&gt;"","已核算",IF(J245="","待税务办结",IF(K245&lt;0,"已逾期：税务将追回预退税",IF(K245&lt;=60,"临近截止（60天内）","待核算")))))))</f>
        <v/>
      </c>
      <c r="T245" s="30" t="str">
        <f aca="false">IF(ISNUMBER(C245),DATE(YEAR(C245)+1,4,30),"")</f>
        <v/>
      </c>
      <c r="U245" s="43"/>
    </row>
    <row r="246" customFormat="false" ht="21.75" hidden="false" customHeight="true" outlineLevel="0" collapsed="false">
      <c r="A246" s="44"/>
      <c r="B246" s="36" t="str">
        <f aca="false">IF(A246="","",IFERROR(INDEX(①出口报关!$I$4:$I$303,MATCH(A246,①出口报关!$A$4:$A$303,0)),"编号不存在"))</f>
        <v/>
      </c>
      <c r="C246" s="30" t="str">
        <f aca="false">IF(A246="","",IFERROR(IF(INDEX(①出口报关!$D$4:$D$303,MATCH(A246,①出口报关!$A$4:$A$303,0))=0,"",INDEX(①出口报关!$D$4:$D$303,MATCH(A246,①出口报关!$A$4:$A$303,0))),"编号不存在"))</f>
        <v/>
      </c>
      <c r="D246" s="43"/>
      <c r="E246" s="45"/>
      <c r="F246" s="41"/>
      <c r="G246" s="48"/>
      <c r="H246" s="46"/>
      <c r="I246" s="41"/>
      <c r="J246" s="30" t="str">
        <f aca="false">IF(AND(D246="未售-海外仓预退（HWC-YT）",ISNUMBER(I246)),DATE(YEAR(I246)+1,4,30),"")</f>
        <v/>
      </c>
      <c r="K246" s="51" t="str">
        <f aca="true">IF(J246="","",IF(Q246&lt;&gt;"","",J246-TODAY()))</f>
        <v/>
      </c>
      <c r="L246" s="31" t="str">
        <f aca="false">IF(OR(A246="",D246&lt;&gt;"未售-海外仓预退（HWC-YT）"),"",MIN(N(E246),MAX(0,SUMIFS(②销售核销!$I$4:$I$603,②销售核销!$E$4:$E$603,A246)-SUMIFS($E$4:$E$303,$A$4:$A$303,A246,$D$4:$D$303,"已售-按现行规定申报"))))</f>
        <v/>
      </c>
      <c r="M246" s="34" t="str">
        <f aca="false">IF(OR(L246="",N(E246)=0,H246=""),"",ROUND(H246/E246*L246,2))</f>
        <v/>
      </c>
      <c r="N246" s="46"/>
      <c r="O246" s="34" t="str">
        <f aca="false">IF(OR(N246="",H246=""),"",ROUND(N246-H246,2))</f>
        <v/>
      </c>
      <c r="P246" s="36" t="str">
        <f aca="false">IF(OR(A246="",D246&lt;&gt;"未售-海外仓预退（HWC-YT）"),"",IF(L246=0,"仍未销售：需要调整申报，全额缴回预退税",IF(L246&lt;N(E246),"部分已售：需要调整申报，全额冲减后按已售部分重报",IF(N246="","全部已售：填入实际应退税额后判断",IF(O246=0,"全部已售、无差异：无需调整申报","全部已售、有差异：需要调整申报")))))</f>
        <v/>
      </c>
      <c r="Q246" s="41"/>
      <c r="R246" s="44"/>
      <c r="S246" s="36" t="str">
        <f aca="false">IF(A246="","",IF(D246="","请选择申报方式",IF(D246&lt;&gt;"未售-海外仓预退（HWC-YT）","不涉及核算",IF(Q246&lt;&gt;"","已核算",IF(J246="","待税务办结",IF(K246&lt;0,"已逾期：税务将追回预退税",IF(K246&lt;=60,"临近截止（60天内）","待核算")))))))</f>
        <v/>
      </c>
      <c r="T246" s="30" t="str">
        <f aca="false">IF(ISNUMBER(C246),DATE(YEAR(C246)+1,4,30),"")</f>
        <v/>
      </c>
      <c r="U246" s="43"/>
    </row>
    <row r="247" customFormat="false" ht="21.75" hidden="false" customHeight="true" outlineLevel="0" collapsed="false">
      <c r="A247" s="44"/>
      <c r="B247" s="36" t="str">
        <f aca="false">IF(A247="","",IFERROR(INDEX(①出口报关!$I$4:$I$303,MATCH(A247,①出口报关!$A$4:$A$303,0)),"编号不存在"))</f>
        <v/>
      </c>
      <c r="C247" s="30" t="str">
        <f aca="false">IF(A247="","",IFERROR(IF(INDEX(①出口报关!$D$4:$D$303,MATCH(A247,①出口报关!$A$4:$A$303,0))=0,"",INDEX(①出口报关!$D$4:$D$303,MATCH(A247,①出口报关!$A$4:$A$303,0))),"编号不存在"))</f>
        <v/>
      </c>
      <c r="D247" s="43"/>
      <c r="E247" s="45"/>
      <c r="F247" s="41"/>
      <c r="G247" s="48"/>
      <c r="H247" s="46"/>
      <c r="I247" s="41"/>
      <c r="J247" s="30" t="str">
        <f aca="false">IF(AND(D247="未售-海外仓预退（HWC-YT）",ISNUMBER(I247)),DATE(YEAR(I247)+1,4,30),"")</f>
        <v/>
      </c>
      <c r="K247" s="51" t="str">
        <f aca="true">IF(J247="","",IF(Q247&lt;&gt;"","",J247-TODAY()))</f>
        <v/>
      </c>
      <c r="L247" s="31" t="str">
        <f aca="false">IF(OR(A247="",D247&lt;&gt;"未售-海外仓预退（HWC-YT）"),"",MIN(N(E247),MAX(0,SUMIFS(②销售核销!$I$4:$I$603,②销售核销!$E$4:$E$603,A247)-SUMIFS($E$4:$E$303,$A$4:$A$303,A247,$D$4:$D$303,"已售-按现行规定申报"))))</f>
        <v/>
      </c>
      <c r="M247" s="34" t="str">
        <f aca="false">IF(OR(L247="",N(E247)=0,H247=""),"",ROUND(H247/E247*L247,2))</f>
        <v/>
      </c>
      <c r="N247" s="46"/>
      <c r="O247" s="34" t="str">
        <f aca="false">IF(OR(N247="",H247=""),"",ROUND(N247-H247,2))</f>
        <v/>
      </c>
      <c r="P247" s="36" t="str">
        <f aca="false">IF(OR(A247="",D247&lt;&gt;"未售-海外仓预退（HWC-YT）"),"",IF(L247=0,"仍未销售：需要调整申报，全额缴回预退税",IF(L247&lt;N(E247),"部分已售：需要调整申报，全额冲减后按已售部分重报",IF(N247="","全部已售：填入实际应退税额后判断",IF(O247=0,"全部已售、无差异：无需调整申报","全部已售、有差异：需要调整申报")))))</f>
        <v/>
      </c>
      <c r="Q247" s="41"/>
      <c r="R247" s="44"/>
      <c r="S247" s="36" t="str">
        <f aca="false">IF(A247="","",IF(D247="","请选择申报方式",IF(D247&lt;&gt;"未售-海外仓预退（HWC-YT）","不涉及核算",IF(Q247&lt;&gt;"","已核算",IF(J247="","待税务办结",IF(K247&lt;0,"已逾期：税务将追回预退税",IF(K247&lt;=60,"临近截止（60天内）","待核算")))))))</f>
        <v/>
      </c>
      <c r="T247" s="30" t="str">
        <f aca="false">IF(ISNUMBER(C247),DATE(YEAR(C247)+1,4,30),"")</f>
        <v/>
      </c>
      <c r="U247" s="43"/>
    </row>
    <row r="248" customFormat="false" ht="21.75" hidden="false" customHeight="true" outlineLevel="0" collapsed="false">
      <c r="A248" s="44"/>
      <c r="B248" s="36" t="str">
        <f aca="false">IF(A248="","",IFERROR(INDEX(①出口报关!$I$4:$I$303,MATCH(A248,①出口报关!$A$4:$A$303,0)),"编号不存在"))</f>
        <v/>
      </c>
      <c r="C248" s="30" t="str">
        <f aca="false">IF(A248="","",IFERROR(IF(INDEX(①出口报关!$D$4:$D$303,MATCH(A248,①出口报关!$A$4:$A$303,0))=0,"",INDEX(①出口报关!$D$4:$D$303,MATCH(A248,①出口报关!$A$4:$A$303,0))),"编号不存在"))</f>
        <v/>
      </c>
      <c r="D248" s="43"/>
      <c r="E248" s="45"/>
      <c r="F248" s="41"/>
      <c r="G248" s="48"/>
      <c r="H248" s="46"/>
      <c r="I248" s="41"/>
      <c r="J248" s="30" t="str">
        <f aca="false">IF(AND(D248="未售-海外仓预退（HWC-YT）",ISNUMBER(I248)),DATE(YEAR(I248)+1,4,30),"")</f>
        <v/>
      </c>
      <c r="K248" s="51" t="str">
        <f aca="true">IF(J248="","",IF(Q248&lt;&gt;"","",J248-TODAY()))</f>
        <v/>
      </c>
      <c r="L248" s="31" t="str">
        <f aca="false">IF(OR(A248="",D248&lt;&gt;"未售-海外仓预退（HWC-YT）"),"",MIN(N(E248),MAX(0,SUMIFS(②销售核销!$I$4:$I$603,②销售核销!$E$4:$E$603,A248)-SUMIFS($E$4:$E$303,$A$4:$A$303,A248,$D$4:$D$303,"已售-按现行规定申报"))))</f>
        <v/>
      </c>
      <c r="M248" s="34" t="str">
        <f aca="false">IF(OR(L248="",N(E248)=0,H248=""),"",ROUND(H248/E248*L248,2))</f>
        <v/>
      </c>
      <c r="N248" s="46"/>
      <c r="O248" s="34" t="str">
        <f aca="false">IF(OR(N248="",H248=""),"",ROUND(N248-H248,2))</f>
        <v/>
      </c>
      <c r="P248" s="36" t="str">
        <f aca="false">IF(OR(A248="",D248&lt;&gt;"未售-海外仓预退（HWC-YT）"),"",IF(L248=0,"仍未销售：需要调整申报，全额缴回预退税",IF(L248&lt;N(E248),"部分已售：需要调整申报，全额冲减后按已售部分重报",IF(N248="","全部已售：填入实际应退税额后判断",IF(O248=0,"全部已售、无差异：无需调整申报","全部已售、有差异：需要调整申报")))))</f>
        <v/>
      </c>
      <c r="Q248" s="41"/>
      <c r="R248" s="44"/>
      <c r="S248" s="36" t="str">
        <f aca="false">IF(A248="","",IF(D248="","请选择申报方式",IF(D248&lt;&gt;"未售-海外仓预退（HWC-YT）","不涉及核算",IF(Q248&lt;&gt;"","已核算",IF(J248="","待税务办结",IF(K248&lt;0,"已逾期：税务将追回预退税",IF(K248&lt;=60,"临近截止（60天内）","待核算")))))))</f>
        <v/>
      </c>
      <c r="T248" s="30" t="str">
        <f aca="false">IF(ISNUMBER(C248),DATE(YEAR(C248)+1,4,30),"")</f>
        <v/>
      </c>
      <c r="U248" s="43"/>
    </row>
    <row r="249" customFormat="false" ht="21.75" hidden="false" customHeight="true" outlineLevel="0" collapsed="false">
      <c r="A249" s="44"/>
      <c r="B249" s="36" t="str">
        <f aca="false">IF(A249="","",IFERROR(INDEX(①出口报关!$I$4:$I$303,MATCH(A249,①出口报关!$A$4:$A$303,0)),"编号不存在"))</f>
        <v/>
      </c>
      <c r="C249" s="30" t="str">
        <f aca="false">IF(A249="","",IFERROR(IF(INDEX(①出口报关!$D$4:$D$303,MATCH(A249,①出口报关!$A$4:$A$303,0))=0,"",INDEX(①出口报关!$D$4:$D$303,MATCH(A249,①出口报关!$A$4:$A$303,0))),"编号不存在"))</f>
        <v/>
      </c>
      <c r="D249" s="43"/>
      <c r="E249" s="45"/>
      <c r="F249" s="41"/>
      <c r="G249" s="48"/>
      <c r="H249" s="46"/>
      <c r="I249" s="41"/>
      <c r="J249" s="30" t="str">
        <f aca="false">IF(AND(D249="未售-海外仓预退（HWC-YT）",ISNUMBER(I249)),DATE(YEAR(I249)+1,4,30),"")</f>
        <v/>
      </c>
      <c r="K249" s="51" t="str">
        <f aca="true">IF(J249="","",IF(Q249&lt;&gt;"","",J249-TODAY()))</f>
        <v/>
      </c>
      <c r="L249" s="31" t="str">
        <f aca="false">IF(OR(A249="",D249&lt;&gt;"未售-海外仓预退（HWC-YT）"),"",MIN(N(E249),MAX(0,SUMIFS(②销售核销!$I$4:$I$603,②销售核销!$E$4:$E$603,A249)-SUMIFS($E$4:$E$303,$A$4:$A$303,A249,$D$4:$D$303,"已售-按现行规定申报"))))</f>
        <v/>
      </c>
      <c r="M249" s="34" t="str">
        <f aca="false">IF(OR(L249="",N(E249)=0,H249=""),"",ROUND(H249/E249*L249,2))</f>
        <v/>
      </c>
      <c r="N249" s="46"/>
      <c r="O249" s="34" t="str">
        <f aca="false">IF(OR(N249="",H249=""),"",ROUND(N249-H249,2))</f>
        <v/>
      </c>
      <c r="P249" s="36" t="str">
        <f aca="false">IF(OR(A249="",D249&lt;&gt;"未售-海外仓预退（HWC-YT）"),"",IF(L249=0,"仍未销售：需要调整申报，全额缴回预退税",IF(L249&lt;N(E249),"部分已售：需要调整申报，全额冲减后按已售部分重报",IF(N249="","全部已售：填入实际应退税额后判断",IF(O249=0,"全部已售、无差异：无需调整申报","全部已售、有差异：需要调整申报")))))</f>
        <v/>
      </c>
      <c r="Q249" s="41"/>
      <c r="R249" s="44"/>
      <c r="S249" s="36" t="str">
        <f aca="false">IF(A249="","",IF(D249="","请选择申报方式",IF(D249&lt;&gt;"未售-海外仓预退（HWC-YT）","不涉及核算",IF(Q249&lt;&gt;"","已核算",IF(J249="","待税务办结",IF(K249&lt;0,"已逾期：税务将追回预退税",IF(K249&lt;=60,"临近截止（60天内）","待核算")))))))</f>
        <v/>
      </c>
      <c r="T249" s="30" t="str">
        <f aca="false">IF(ISNUMBER(C249),DATE(YEAR(C249)+1,4,30),"")</f>
        <v/>
      </c>
      <c r="U249" s="43"/>
    </row>
    <row r="250" customFormat="false" ht="21.75" hidden="false" customHeight="true" outlineLevel="0" collapsed="false">
      <c r="A250" s="44"/>
      <c r="B250" s="36" t="str">
        <f aca="false">IF(A250="","",IFERROR(INDEX(①出口报关!$I$4:$I$303,MATCH(A250,①出口报关!$A$4:$A$303,0)),"编号不存在"))</f>
        <v/>
      </c>
      <c r="C250" s="30" t="str">
        <f aca="false">IF(A250="","",IFERROR(IF(INDEX(①出口报关!$D$4:$D$303,MATCH(A250,①出口报关!$A$4:$A$303,0))=0,"",INDEX(①出口报关!$D$4:$D$303,MATCH(A250,①出口报关!$A$4:$A$303,0))),"编号不存在"))</f>
        <v/>
      </c>
      <c r="D250" s="43"/>
      <c r="E250" s="45"/>
      <c r="F250" s="41"/>
      <c r="G250" s="48"/>
      <c r="H250" s="46"/>
      <c r="I250" s="41"/>
      <c r="J250" s="30" t="str">
        <f aca="false">IF(AND(D250="未售-海外仓预退（HWC-YT）",ISNUMBER(I250)),DATE(YEAR(I250)+1,4,30),"")</f>
        <v/>
      </c>
      <c r="K250" s="51" t="str">
        <f aca="true">IF(J250="","",IF(Q250&lt;&gt;"","",J250-TODAY()))</f>
        <v/>
      </c>
      <c r="L250" s="31" t="str">
        <f aca="false">IF(OR(A250="",D250&lt;&gt;"未售-海外仓预退（HWC-YT）"),"",MIN(N(E250),MAX(0,SUMIFS(②销售核销!$I$4:$I$603,②销售核销!$E$4:$E$603,A250)-SUMIFS($E$4:$E$303,$A$4:$A$303,A250,$D$4:$D$303,"已售-按现行规定申报"))))</f>
        <v/>
      </c>
      <c r="M250" s="34" t="str">
        <f aca="false">IF(OR(L250="",N(E250)=0,H250=""),"",ROUND(H250/E250*L250,2))</f>
        <v/>
      </c>
      <c r="N250" s="46"/>
      <c r="O250" s="34" t="str">
        <f aca="false">IF(OR(N250="",H250=""),"",ROUND(N250-H250,2))</f>
        <v/>
      </c>
      <c r="P250" s="36" t="str">
        <f aca="false">IF(OR(A250="",D250&lt;&gt;"未售-海外仓预退（HWC-YT）"),"",IF(L250=0,"仍未销售：需要调整申报，全额缴回预退税",IF(L250&lt;N(E250),"部分已售：需要调整申报，全额冲减后按已售部分重报",IF(N250="","全部已售：填入实际应退税额后判断",IF(O250=0,"全部已售、无差异：无需调整申报","全部已售、有差异：需要调整申报")))))</f>
        <v/>
      </c>
      <c r="Q250" s="41"/>
      <c r="R250" s="44"/>
      <c r="S250" s="36" t="str">
        <f aca="false">IF(A250="","",IF(D250="","请选择申报方式",IF(D250&lt;&gt;"未售-海外仓预退（HWC-YT）","不涉及核算",IF(Q250&lt;&gt;"","已核算",IF(J250="","待税务办结",IF(K250&lt;0,"已逾期：税务将追回预退税",IF(K250&lt;=60,"临近截止（60天内）","待核算")))))))</f>
        <v/>
      </c>
      <c r="T250" s="30" t="str">
        <f aca="false">IF(ISNUMBER(C250),DATE(YEAR(C250)+1,4,30),"")</f>
        <v/>
      </c>
      <c r="U250" s="43"/>
    </row>
    <row r="251" customFormat="false" ht="21.75" hidden="false" customHeight="true" outlineLevel="0" collapsed="false">
      <c r="A251" s="44"/>
      <c r="B251" s="36" t="str">
        <f aca="false">IF(A251="","",IFERROR(INDEX(①出口报关!$I$4:$I$303,MATCH(A251,①出口报关!$A$4:$A$303,0)),"编号不存在"))</f>
        <v/>
      </c>
      <c r="C251" s="30" t="str">
        <f aca="false">IF(A251="","",IFERROR(IF(INDEX(①出口报关!$D$4:$D$303,MATCH(A251,①出口报关!$A$4:$A$303,0))=0,"",INDEX(①出口报关!$D$4:$D$303,MATCH(A251,①出口报关!$A$4:$A$303,0))),"编号不存在"))</f>
        <v/>
      </c>
      <c r="D251" s="43"/>
      <c r="E251" s="45"/>
      <c r="F251" s="41"/>
      <c r="G251" s="48"/>
      <c r="H251" s="46"/>
      <c r="I251" s="41"/>
      <c r="J251" s="30" t="str">
        <f aca="false">IF(AND(D251="未售-海外仓预退（HWC-YT）",ISNUMBER(I251)),DATE(YEAR(I251)+1,4,30),"")</f>
        <v/>
      </c>
      <c r="K251" s="51" t="str">
        <f aca="true">IF(J251="","",IF(Q251&lt;&gt;"","",J251-TODAY()))</f>
        <v/>
      </c>
      <c r="L251" s="31" t="str">
        <f aca="false">IF(OR(A251="",D251&lt;&gt;"未售-海外仓预退（HWC-YT）"),"",MIN(N(E251),MAX(0,SUMIFS(②销售核销!$I$4:$I$603,②销售核销!$E$4:$E$603,A251)-SUMIFS($E$4:$E$303,$A$4:$A$303,A251,$D$4:$D$303,"已售-按现行规定申报"))))</f>
        <v/>
      </c>
      <c r="M251" s="34" t="str">
        <f aca="false">IF(OR(L251="",N(E251)=0,H251=""),"",ROUND(H251/E251*L251,2))</f>
        <v/>
      </c>
      <c r="N251" s="46"/>
      <c r="O251" s="34" t="str">
        <f aca="false">IF(OR(N251="",H251=""),"",ROUND(N251-H251,2))</f>
        <v/>
      </c>
      <c r="P251" s="36" t="str">
        <f aca="false">IF(OR(A251="",D251&lt;&gt;"未售-海外仓预退（HWC-YT）"),"",IF(L251=0,"仍未销售：需要调整申报，全额缴回预退税",IF(L251&lt;N(E251),"部分已售：需要调整申报，全额冲减后按已售部分重报",IF(N251="","全部已售：填入实际应退税额后判断",IF(O251=0,"全部已售、无差异：无需调整申报","全部已售、有差异：需要调整申报")))))</f>
        <v/>
      </c>
      <c r="Q251" s="41"/>
      <c r="R251" s="44"/>
      <c r="S251" s="36" t="str">
        <f aca="false">IF(A251="","",IF(D251="","请选择申报方式",IF(D251&lt;&gt;"未售-海外仓预退（HWC-YT）","不涉及核算",IF(Q251&lt;&gt;"","已核算",IF(J251="","待税务办结",IF(K251&lt;0,"已逾期：税务将追回预退税",IF(K251&lt;=60,"临近截止（60天内）","待核算")))))))</f>
        <v/>
      </c>
      <c r="T251" s="30" t="str">
        <f aca="false">IF(ISNUMBER(C251),DATE(YEAR(C251)+1,4,30),"")</f>
        <v/>
      </c>
      <c r="U251" s="43"/>
    </row>
    <row r="252" customFormat="false" ht="21.75" hidden="false" customHeight="true" outlineLevel="0" collapsed="false">
      <c r="A252" s="44"/>
      <c r="B252" s="36" t="str">
        <f aca="false">IF(A252="","",IFERROR(INDEX(①出口报关!$I$4:$I$303,MATCH(A252,①出口报关!$A$4:$A$303,0)),"编号不存在"))</f>
        <v/>
      </c>
      <c r="C252" s="30" t="str">
        <f aca="false">IF(A252="","",IFERROR(IF(INDEX(①出口报关!$D$4:$D$303,MATCH(A252,①出口报关!$A$4:$A$303,0))=0,"",INDEX(①出口报关!$D$4:$D$303,MATCH(A252,①出口报关!$A$4:$A$303,0))),"编号不存在"))</f>
        <v/>
      </c>
      <c r="D252" s="43"/>
      <c r="E252" s="45"/>
      <c r="F252" s="41"/>
      <c r="G252" s="48"/>
      <c r="H252" s="46"/>
      <c r="I252" s="41"/>
      <c r="J252" s="30" t="str">
        <f aca="false">IF(AND(D252="未售-海外仓预退（HWC-YT）",ISNUMBER(I252)),DATE(YEAR(I252)+1,4,30),"")</f>
        <v/>
      </c>
      <c r="K252" s="51" t="str">
        <f aca="true">IF(J252="","",IF(Q252&lt;&gt;"","",J252-TODAY()))</f>
        <v/>
      </c>
      <c r="L252" s="31" t="str">
        <f aca="false">IF(OR(A252="",D252&lt;&gt;"未售-海外仓预退（HWC-YT）"),"",MIN(N(E252),MAX(0,SUMIFS(②销售核销!$I$4:$I$603,②销售核销!$E$4:$E$603,A252)-SUMIFS($E$4:$E$303,$A$4:$A$303,A252,$D$4:$D$303,"已售-按现行规定申报"))))</f>
        <v/>
      </c>
      <c r="M252" s="34" t="str">
        <f aca="false">IF(OR(L252="",N(E252)=0,H252=""),"",ROUND(H252/E252*L252,2))</f>
        <v/>
      </c>
      <c r="N252" s="46"/>
      <c r="O252" s="34" t="str">
        <f aca="false">IF(OR(N252="",H252=""),"",ROUND(N252-H252,2))</f>
        <v/>
      </c>
      <c r="P252" s="36" t="str">
        <f aca="false">IF(OR(A252="",D252&lt;&gt;"未售-海外仓预退（HWC-YT）"),"",IF(L252=0,"仍未销售：需要调整申报，全额缴回预退税",IF(L252&lt;N(E252),"部分已售：需要调整申报，全额冲减后按已售部分重报",IF(N252="","全部已售：填入实际应退税额后判断",IF(O252=0,"全部已售、无差异：无需调整申报","全部已售、有差异：需要调整申报")))))</f>
        <v/>
      </c>
      <c r="Q252" s="41"/>
      <c r="R252" s="44"/>
      <c r="S252" s="36" t="str">
        <f aca="false">IF(A252="","",IF(D252="","请选择申报方式",IF(D252&lt;&gt;"未售-海外仓预退（HWC-YT）","不涉及核算",IF(Q252&lt;&gt;"","已核算",IF(J252="","待税务办结",IF(K252&lt;0,"已逾期：税务将追回预退税",IF(K252&lt;=60,"临近截止（60天内）","待核算")))))))</f>
        <v/>
      </c>
      <c r="T252" s="30" t="str">
        <f aca="false">IF(ISNUMBER(C252),DATE(YEAR(C252)+1,4,30),"")</f>
        <v/>
      </c>
      <c r="U252" s="43"/>
    </row>
    <row r="253" customFormat="false" ht="21.75" hidden="false" customHeight="true" outlineLevel="0" collapsed="false">
      <c r="A253" s="44"/>
      <c r="B253" s="36" t="str">
        <f aca="false">IF(A253="","",IFERROR(INDEX(①出口报关!$I$4:$I$303,MATCH(A253,①出口报关!$A$4:$A$303,0)),"编号不存在"))</f>
        <v/>
      </c>
      <c r="C253" s="30" t="str">
        <f aca="false">IF(A253="","",IFERROR(IF(INDEX(①出口报关!$D$4:$D$303,MATCH(A253,①出口报关!$A$4:$A$303,0))=0,"",INDEX(①出口报关!$D$4:$D$303,MATCH(A253,①出口报关!$A$4:$A$303,0))),"编号不存在"))</f>
        <v/>
      </c>
      <c r="D253" s="43"/>
      <c r="E253" s="45"/>
      <c r="F253" s="41"/>
      <c r="G253" s="48"/>
      <c r="H253" s="46"/>
      <c r="I253" s="41"/>
      <c r="J253" s="30" t="str">
        <f aca="false">IF(AND(D253="未售-海外仓预退（HWC-YT）",ISNUMBER(I253)),DATE(YEAR(I253)+1,4,30),"")</f>
        <v/>
      </c>
      <c r="K253" s="51" t="str">
        <f aca="true">IF(J253="","",IF(Q253&lt;&gt;"","",J253-TODAY()))</f>
        <v/>
      </c>
      <c r="L253" s="31" t="str">
        <f aca="false">IF(OR(A253="",D253&lt;&gt;"未售-海外仓预退（HWC-YT）"),"",MIN(N(E253),MAX(0,SUMIFS(②销售核销!$I$4:$I$603,②销售核销!$E$4:$E$603,A253)-SUMIFS($E$4:$E$303,$A$4:$A$303,A253,$D$4:$D$303,"已售-按现行规定申报"))))</f>
        <v/>
      </c>
      <c r="M253" s="34" t="str">
        <f aca="false">IF(OR(L253="",N(E253)=0,H253=""),"",ROUND(H253/E253*L253,2))</f>
        <v/>
      </c>
      <c r="N253" s="46"/>
      <c r="O253" s="34" t="str">
        <f aca="false">IF(OR(N253="",H253=""),"",ROUND(N253-H253,2))</f>
        <v/>
      </c>
      <c r="P253" s="36" t="str">
        <f aca="false">IF(OR(A253="",D253&lt;&gt;"未售-海外仓预退（HWC-YT）"),"",IF(L253=0,"仍未销售：需要调整申报，全额缴回预退税",IF(L253&lt;N(E253),"部分已售：需要调整申报，全额冲减后按已售部分重报",IF(N253="","全部已售：填入实际应退税额后判断",IF(O253=0,"全部已售、无差异：无需调整申报","全部已售、有差异：需要调整申报")))))</f>
        <v/>
      </c>
      <c r="Q253" s="41"/>
      <c r="R253" s="44"/>
      <c r="S253" s="36" t="str">
        <f aca="false">IF(A253="","",IF(D253="","请选择申报方式",IF(D253&lt;&gt;"未售-海外仓预退（HWC-YT）","不涉及核算",IF(Q253&lt;&gt;"","已核算",IF(J253="","待税务办结",IF(K253&lt;0,"已逾期：税务将追回预退税",IF(K253&lt;=60,"临近截止（60天内）","待核算")))))))</f>
        <v/>
      </c>
      <c r="T253" s="30" t="str">
        <f aca="false">IF(ISNUMBER(C253),DATE(YEAR(C253)+1,4,30),"")</f>
        <v/>
      </c>
      <c r="U253" s="43"/>
    </row>
    <row r="254" customFormat="false" ht="21.75" hidden="false" customHeight="true" outlineLevel="0" collapsed="false">
      <c r="A254" s="44"/>
      <c r="B254" s="36" t="str">
        <f aca="false">IF(A254="","",IFERROR(INDEX(①出口报关!$I$4:$I$303,MATCH(A254,①出口报关!$A$4:$A$303,0)),"编号不存在"))</f>
        <v/>
      </c>
      <c r="C254" s="30" t="str">
        <f aca="false">IF(A254="","",IFERROR(IF(INDEX(①出口报关!$D$4:$D$303,MATCH(A254,①出口报关!$A$4:$A$303,0))=0,"",INDEX(①出口报关!$D$4:$D$303,MATCH(A254,①出口报关!$A$4:$A$303,0))),"编号不存在"))</f>
        <v/>
      </c>
      <c r="D254" s="43"/>
      <c r="E254" s="45"/>
      <c r="F254" s="41"/>
      <c r="G254" s="48"/>
      <c r="H254" s="46"/>
      <c r="I254" s="41"/>
      <c r="J254" s="30" t="str">
        <f aca="false">IF(AND(D254="未售-海外仓预退（HWC-YT）",ISNUMBER(I254)),DATE(YEAR(I254)+1,4,30),"")</f>
        <v/>
      </c>
      <c r="K254" s="51" t="str">
        <f aca="true">IF(J254="","",IF(Q254&lt;&gt;"","",J254-TODAY()))</f>
        <v/>
      </c>
      <c r="L254" s="31" t="str">
        <f aca="false">IF(OR(A254="",D254&lt;&gt;"未售-海外仓预退（HWC-YT）"),"",MIN(N(E254),MAX(0,SUMIFS(②销售核销!$I$4:$I$603,②销售核销!$E$4:$E$603,A254)-SUMIFS($E$4:$E$303,$A$4:$A$303,A254,$D$4:$D$303,"已售-按现行规定申报"))))</f>
        <v/>
      </c>
      <c r="M254" s="34" t="str">
        <f aca="false">IF(OR(L254="",N(E254)=0,H254=""),"",ROUND(H254/E254*L254,2))</f>
        <v/>
      </c>
      <c r="N254" s="46"/>
      <c r="O254" s="34" t="str">
        <f aca="false">IF(OR(N254="",H254=""),"",ROUND(N254-H254,2))</f>
        <v/>
      </c>
      <c r="P254" s="36" t="str">
        <f aca="false">IF(OR(A254="",D254&lt;&gt;"未售-海外仓预退（HWC-YT）"),"",IF(L254=0,"仍未销售：需要调整申报，全额缴回预退税",IF(L254&lt;N(E254),"部分已售：需要调整申报，全额冲减后按已售部分重报",IF(N254="","全部已售：填入实际应退税额后判断",IF(O254=0,"全部已售、无差异：无需调整申报","全部已售、有差异：需要调整申报")))))</f>
        <v/>
      </c>
      <c r="Q254" s="41"/>
      <c r="R254" s="44"/>
      <c r="S254" s="36" t="str">
        <f aca="false">IF(A254="","",IF(D254="","请选择申报方式",IF(D254&lt;&gt;"未售-海外仓预退（HWC-YT）","不涉及核算",IF(Q254&lt;&gt;"","已核算",IF(J254="","待税务办结",IF(K254&lt;0,"已逾期：税务将追回预退税",IF(K254&lt;=60,"临近截止（60天内）","待核算")))))))</f>
        <v/>
      </c>
      <c r="T254" s="30" t="str">
        <f aca="false">IF(ISNUMBER(C254),DATE(YEAR(C254)+1,4,30),"")</f>
        <v/>
      </c>
      <c r="U254" s="43"/>
    </row>
    <row r="255" customFormat="false" ht="21.75" hidden="false" customHeight="true" outlineLevel="0" collapsed="false">
      <c r="A255" s="44"/>
      <c r="B255" s="36" t="str">
        <f aca="false">IF(A255="","",IFERROR(INDEX(①出口报关!$I$4:$I$303,MATCH(A255,①出口报关!$A$4:$A$303,0)),"编号不存在"))</f>
        <v/>
      </c>
      <c r="C255" s="30" t="str">
        <f aca="false">IF(A255="","",IFERROR(IF(INDEX(①出口报关!$D$4:$D$303,MATCH(A255,①出口报关!$A$4:$A$303,0))=0,"",INDEX(①出口报关!$D$4:$D$303,MATCH(A255,①出口报关!$A$4:$A$303,0))),"编号不存在"))</f>
        <v/>
      </c>
      <c r="D255" s="43"/>
      <c r="E255" s="45"/>
      <c r="F255" s="41"/>
      <c r="G255" s="48"/>
      <c r="H255" s="46"/>
      <c r="I255" s="41"/>
      <c r="J255" s="30" t="str">
        <f aca="false">IF(AND(D255="未售-海外仓预退（HWC-YT）",ISNUMBER(I255)),DATE(YEAR(I255)+1,4,30),"")</f>
        <v/>
      </c>
      <c r="K255" s="51" t="str">
        <f aca="true">IF(J255="","",IF(Q255&lt;&gt;"","",J255-TODAY()))</f>
        <v/>
      </c>
      <c r="L255" s="31" t="str">
        <f aca="false">IF(OR(A255="",D255&lt;&gt;"未售-海外仓预退（HWC-YT）"),"",MIN(N(E255),MAX(0,SUMIFS(②销售核销!$I$4:$I$603,②销售核销!$E$4:$E$603,A255)-SUMIFS($E$4:$E$303,$A$4:$A$303,A255,$D$4:$D$303,"已售-按现行规定申报"))))</f>
        <v/>
      </c>
      <c r="M255" s="34" t="str">
        <f aca="false">IF(OR(L255="",N(E255)=0,H255=""),"",ROUND(H255/E255*L255,2))</f>
        <v/>
      </c>
      <c r="N255" s="46"/>
      <c r="O255" s="34" t="str">
        <f aca="false">IF(OR(N255="",H255=""),"",ROUND(N255-H255,2))</f>
        <v/>
      </c>
      <c r="P255" s="36" t="str">
        <f aca="false">IF(OR(A255="",D255&lt;&gt;"未售-海外仓预退（HWC-YT）"),"",IF(L255=0,"仍未销售：需要调整申报，全额缴回预退税",IF(L255&lt;N(E255),"部分已售：需要调整申报，全额冲减后按已售部分重报",IF(N255="","全部已售：填入实际应退税额后判断",IF(O255=0,"全部已售、无差异：无需调整申报","全部已售、有差异：需要调整申报")))))</f>
        <v/>
      </c>
      <c r="Q255" s="41"/>
      <c r="R255" s="44"/>
      <c r="S255" s="36" t="str">
        <f aca="false">IF(A255="","",IF(D255="","请选择申报方式",IF(D255&lt;&gt;"未售-海外仓预退（HWC-YT）","不涉及核算",IF(Q255&lt;&gt;"","已核算",IF(J255="","待税务办结",IF(K255&lt;0,"已逾期：税务将追回预退税",IF(K255&lt;=60,"临近截止（60天内）","待核算")))))))</f>
        <v/>
      </c>
      <c r="T255" s="30" t="str">
        <f aca="false">IF(ISNUMBER(C255),DATE(YEAR(C255)+1,4,30),"")</f>
        <v/>
      </c>
      <c r="U255" s="43"/>
    </row>
    <row r="256" customFormat="false" ht="21.75" hidden="false" customHeight="true" outlineLevel="0" collapsed="false">
      <c r="A256" s="44"/>
      <c r="B256" s="36" t="str">
        <f aca="false">IF(A256="","",IFERROR(INDEX(①出口报关!$I$4:$I$303,MATCH(A256,①出口报关!$A$4:$A$303,0)),"编号不存在"))</f>
        <v/>
      </c>
      <c r="C256" s="30" t="str">
        <f aca="false">IF(A256="","",IFERROR(IF(INDEX(①出口报关!$D$4:$D$303,MATCH(A256,①出口报关!$A$4:$A$303,0))=0,"",INDEX(①出口报关!$D$4:$D$303,MATCH(A256,①出口报关!$A$4:$A$303,0))),"编号不存在"))</f>
        <v/>
      </c>
      <c r="D256" s="43"/>
      <c r="E256" s="45"/>
      <c r="F256" s="41"/>
      <c r="G256" s="48"/>
      <c r="H256" s="46"/>
      <c r="I256" s="41"/>
      <c r="J256" s="30" t="str">
        <f aca="false">IF(AND(D256="未售-海外仓预退（HWC-YT）",ISNUMBER(I256)),DATE(YEAR(I256)+1,4,30),"")</f>
        <v/>
      </c>
      <c r="K256" s="51" t="str">
        <f aca="true">IF(J256="","",IF(Q256&lt;&gt;"","",J256-TODAY()))</f>
        <v/>
      </c>
      <c r="L256" s="31" t="str">
        <f aca="false">IF(OR(A256="",D256&lt;&gt;"未售-海外仓预退（HWC-YT）"),"",MIN(N(E256),MAX(0,SUMIFS(②销售核销!$I$4:$I$603,②销售核销!$E$4:$E$603,A256)-SUMIFS($E$4:$E$303,$A$4:$A$303,A256,$D$4:$D$303,"已售-按现行规定申报"))))</f>
        <v/>
      </c>
      <c r="M256" s="34" t="str">
        <f aca="false">IF(OR(L256="",N(E256)=0,H256=""),"",ROUND(H256/E256*L256,2))</f>
        <v/>
      </c>
      <c r="N256" s="46"/>
      <c r="O256" s="34" t="str">
        <f aca="false">IF(OR(N256="",H256=""),"",ROUND(N256-H256,2))</f>
        <v/>
      </c>
      <c r="P256" s="36" t="str">
        <f aca="false">IF(OR(A256="",D256&lt;&gt;"未售-海外仓预退（HWC-YT）"),"",IF(L256=0,"仍未销售：需要调整申报，全额缴回预退税",IF(L256&lt;N(E256),"部分已售：需要调整申报，全额冲减后按已售部分重报",IF(N256="","全部已售：填入实际应退税额后判断",IF(O256=0,"全部已售、无差异：无需调整申报","全部已售、有差异：需要调整申报")))))</f>
        <v/>
      </c>
      <c r="Q256" s="41"/>
      <c r="R256" s="44"/>
      <c r="S256" s="36" t="str">
        <f aca="false">IF(A256="","",IF(D256="","请选择申报方式",IF(D256&lt;&gt;"未售-海外仓预退（HWC-YT）","不涉及核算",IF(Q256&lt;&gt;"","已核算",IF(J256="","待税务办结",IF(K256&lt;0,"已逾期：税务将追回预退税",IF(K256&lt;=60,"临近截止（60天内）","待核算")))))))</f>
        <v/>
      </c>
      <c r="T256" s="30" t="str">
        <f aca="false">IF(ISNUMBER(C256),DATE(YEAR(C256)+1,4,30),"")</f>
        <v/>
      </c>
      <c r="U256" s="43"/>
    </row>
    <row r="257" customFormat="false" ht="21.75" hidden="false" customHeight="true" outlineLevel="0" collapsed="false">
      <c r="A257" s="44"/>
      <c r="B257" s="36" t="str">
        <f aca="false">IF(A257="","",IFERROR(INDEX(①出口报关!$I$4:$I$303,MATCH(A257,①出口报关!$A$4:$A$303,0)),"编号不存在"))</f>
        <v/>
      </c>
      <c r="C257" s="30" t="str">
        <f aca="false">IF(A257="","",IFERROR(IF(INDEX(①出口报关!$D$4:$D$303,MATCH(A257,①出口报关!$A$4:$A$303,0))=0,"",INDEX(①出口报关!$D$4:$D$303,MATCH(A257,①出口报关!$A$4:$A$303,0))),"编号不存在"))</f>
        <v/>
      </c>
      <c r="D257" s="43"/>
      <c r="E257" s="45"/>
      <c r="F257" s="41"/>
      <c r="G257" s="48"/>
      <c r="H257" s="46"/>
      <c r="I257" s="41"/>
      <c r="J257" s="30" t="str">
        <f aca="false">IF(AND(D257="未售-海外仓预退（HWC-YT）",ISNUMBER(I257)),DATE(YEAR(I257)+1,4,30),"")</f>
        <v/>
      </c>
      <c r="K257" s="51" t="str">
        <f aca="true">IF(J257="","",IF(Q257&lt;&gt;"","",J257-TODAY()))</f>
        <v/>
      </c>
      <c r="L257" s="31" t="str">
        <f aca="false">IF(OR(A257="",D257&lt;&gt;"未售-海外仓预退（HWC-YT）"),"",MIN(N(E257),MAX(0,SUMIFS(②销售核销!$I$4:$I$603,②销售核销!$E$4:$E$603,A257)-SUMIFS($E$4:$E$303,$A$4:$A$303,A257,$D$4:$D$303,"已售-按现行规定申报"))))</f>
        <v/>
      </c>
      <c r="M257" s="34" t="str">
        <f aca="false">IF(OR(L257="",N(E257)=0,H257=""),"",ROUND(H257/E257*L257,2))</f>
        <v/>
      </c>
      <c r="N257" s="46"/>
      <c r="O257" s="34" t="str">
        <f aca="false">IF(OR(N257="",H257=""),"",ROUND(N257-H257,2))</f>
        <v/>
      </c>
      <c r="P257" s="36" t="str">
        <f aca="false">IF(OR(A257="",D257&lt;&gt;"未售-海外仓预退（HWC-YT）"),"",IF(L257=0,"仍未销售：需要调整申报，全额缴回预退税",IF(L257&lt;N(E257),"部分已售：需要调整申报，全额冲减后按已售部分重报",IF(N257="","全部已售：填入实际应退税额后判断",IF(O257=0,"全部已售、无差异：无需调整申报","全部已售、有差异：需要调整申报")))))</f>
        <v/>
      </c>
      <c r="Q257" s="41"/>
      <c r="R257" s="44"/>
      <c r="S257" s="36" t="str">
        <f aca="false">IF(A257="","",IF(D257="","请选择申报方式",IF(D257&lt;&gt;"未售-海外仓预退（HWC-YT）","不涉及核算",IF(Q257&lt;&gt;"","已核算",IF(J257="","待税务办结",IF(K257&lt;0,"已逾期：税务将追回预退税",IF(K257&lt;=60,"临近截止（60天内）","待核算")))))))</f>
        <v/>
      </c>
      <c r="T257" s="30" t="str">
        <f aca="false">IF(ISNUMBER(C257),DATE(YEAR(C257)+1,4,30),"")</f>
        <v/>
      </c>
      <c r="U257" s="43"/>
    </row>
    <row r="258" customFormat="false" ht="21.75" hidden="false" customHeight="true" outlineLevel="0" collapsed="false">
      <c r="A258" s="44"/>
      <c r="B258" s="36" t="str">
        <f aca="false">IF(A258="","",IFERROR(INDEX(①出口报关!$I$4:$I$303,MATCH(A258,①出口报关!$A$4:$A$303,0)),"编号不存在"))</f>
        <v/>
      </c>
      <c r="C258" s="30" t="str">
        <f aca="false">IF(A258="","",IFERROR(IF(INDEX(①出口报关!$D$4:$D$303,MATCH(A258,①出口报关!$A$4:$A$303,0))=0,"",INDEX(①出口报关!$D$4:$D$303,MATCH(A258,①出口报关!$A$4:$A$303,0))),"编号不存在"))</f>
        <v/>
      </c>
      <c r="D258" s="43"/>
      <c r="E258" s="45"/>
      <c r="F258" s="41"/>
      <c r="G258" s="48"/>
      <c r="H258" s="46"/>
      <c r="I258" s="41"/>
      <c r="J258" s="30" t="str">
        <f aca="false">IF(AND(D258="未售-海外仓预退（HWC-YT）",ISNUMBER(I258)),DATE(YEAR(I258)+1,4,30),"")</f>
        <v/>
      </c>
      <c r="K258" s="51" t="str">
        <f aca="true">IF(J258="","",IF(Q258&lt;&gt;"","",J258-TODAY()))</f>
        <v/>
      </c>
      <c r="L258" s="31" t="str">
        <f aca="false">IF(OR(A258="",D258&lt;&gt;"未售-海外仓预退（HWC-YT）"),"",MIN(N(E258),MAX(0,SUMIFS(②销售核销!$I$4:$I$603,②销售核销!$E$4:$E$603,A258)-SUMIFS($E$4:$E$303,$A$4:$A$303,A258,$D$4:$D$303,"已售-按现行规定申报"))))</f>
        <v/>
      </c>
      <c r="M258" s="34" t="str">
        <f aca="false">IF(OR(L258="",N(E258)=0,H258=""),"",ROUND(H258/E258*L258,2))</f>
        <v/>
      </c>
      <c r="N258" s="46"/>
      <c r="O258" s="34" t="str">
        <f aca="false">IF(OR(N258="",H258=""),"",ROUND(N258-H258,2))</f>
        <v/>
      </c>
      <c r="P258" s="36" t="str">
        <f aca="false">IF(OR(A258="",D258&lt;&gt;"未售-海外仓预退（HWC-YT）"),"",IF(L258=0,"仍未销售：需要调整申报，全额缴回预退税",IF(L258&lt;N(E258),"部分已售：需要调整申报，全额冲减后按已售部分重报",IF(N258="","全部已售：填入实际应退税额后判断",IF(O258=0,"全部已售、无差异：无需调整申报","全部已售、有差异：需要调整申报")))))</f>
        <v/>
      </c>
      <c r="Q258" s="41"/>
      <c r="R258" s="44"/>
      <c r="S258" s="36" t="str">
        <f aca="false">IF(A258="","",IF(D258="","请选择申报方式",IF(D258&lt;&gt;"未售-海外仓预退（HWC-YT）","不涉及核算",IF(Q258&lt;&gt;"","已核算",IF(J258="","待税务办结",IF(K258&lt;0,"已逾期：税务将追回预退税",IF(K258&lt;=60,"临近截止（60天内）","待核算")))))))</f>
        <v/>
      </c>
      <c r="T258" s="30" t="str">
        <f aca="false">IF(ISNUMBER(C258),DATE(YEAR(C258)+1,4,30),"")</f>
        <v/>
      </c>
      <c r="U258" s="43"/>
    </row>
    <row r="259" customFormat="false" ht="21.75" hidden="false" customHeight="true" outlineLevel="0" collapsed="false">
      <c r="A259" s="44"/>
      <c r="B259" s="36" t="str">
        <f aca="false">IF(A259="","",IFERROR(INDEX(①出口报关!$I$4:$I$303,MATCH(A259,①出口报关!$A$4:$A$303,0)),"编号不存在"))</f>
        <v/>
      </c>
      <c r="C259" s="30" t="str">
        <f aca="false">IF(A259="","",IFERROR(IF(INDEX(①出口报关!$D$4:$D$303,MATCH(A259,①出口报关!$A$4:$A$303,0))=0,"",INDEX(①出口报关!$D$4:$D$303,MATCH(A259,①出口报关!$A$4:$A$303,0))),"编号不存在"))</f>
        <v/>
      </c>
      <c r="D259" s="43"/>
      <c r="E259" s="45"/>
      <c r="F259" s="41"/>
      <c r="G259" s="48"/>
      <c r="H259" s="46"/>
      <c r="I259" s="41"/>
      <c r="J259" s="30" t="str">
        <f aca="false">IF(AND(D259="未售-海外仓预退（HWC-YT）",ISNUMBER(I259)),DATE(YEAR(I259)+1,4,30),"")</f>
        <v/>
      </c>
      <c r="K259" s="51" t="str">
        <f aca="true">IF(J259="","",IF(Q259&lt;&gt;"","",J259-TODAY()))</f>
        <v/>
      </c>
      <c r="L259" s="31" t="str">
        <f aca="false">IF(OR(A259="",D259&lt;&gt;"未售-海外仓预退（HWC-YT）"),"",MIN(N(E259),MAX(0,SUMIFS(②销售核销!$I$4:$I$603,②销售核销!$E$4:$E$603,A259)-SUMIFS($E$4:$E$303,$A$4:$A$303,A259,$D$4:$D$303,"已售-按现行规定申报"))))</f>
        <v/>
      </c>
      <c r="M259" s="34" t="str">
        <f aca="false">IF(OR(L259="",N(E259)=0,H259=""),"",ROUND(H259/E259*L259,2))</f>
        <v/>
      </c>
      <c r="N259" s="46"/>
      <c r="O259" s="34" t="str">
        <f aca="false">IF(OR(N259="",H259=""),"",ROUND(N259-H259,2))</f>
        <v/>
      </c>
      <c r="P259" s="36" t="str">
        <f aca="false">IF(OR(A259="",D259&lt;&gt;"未售-海外仓预退（HWC-YT）"),"",IF(L259=0,"仍未销售：需要调整申报，全额缴回预退税",IF(L259&lt;N(E259),"部分已售：需要调整申报，全额冲减后按已售部分重报",IF(N259="","全部已售：填入实际应退税额后判断",IF(O259=0,"全部已售、无差异：无需调整申报","全部已售、有差异：需要调整申报")))))</f>
        <v/>
      </c>
      <c r="Q259" s="41"/>
      <c r="R259" s="44"/>
      <c r="S259" s="36" t="str">
        <f aca="false">IF(A259="","",IF(D259="","请选择申报方式",IF(D259&lt;&gt;"未售-海外仓预退（HWC-YT）","不涉及核算",IF(Q259&lt;&gt;"","已核算",IF(J259="","待税务办结",IF(K259&lt;0,"已逾期：税务将追回预退税",IF(K259&lt;=60,"临近截止（60天内）","待核算")))))))</f>
        <v/>
      </c>
      <c r="T259" s="30" t="str">
        <f aca="false">IF(ISNUMBER(C259),DATE(YEAR(C259)+1,4,30),"")</f>
        <v/>
      </c>
      <c r="U259" s="43"/>
    </row>
    <row r="260" customFormat="false" ht="21.75" hidden="false" customHeight="true" outlineLevel="0" collapsed="false">
      <c r="A260" s="44"/>
      <c r="B260" s="36" t="str">
        <f aca="false">IF(A260="","",IFERROR(INDEX(①出口报关!$I$4:$I$303,MATCH(A260,①出口报关!$A$4:$A$303,0)),"编号不存在"))</f>
        <v/>
      </c>
      <c r="C260" s="30" t="str">
        <f aca="false">IF(A260="","",IFERROR(IF(INDEX(①出口报关!$D$4:$D$303,MATCH(A260,①出口报关!$A$4:$A$303,0))=0,"",INDEX(①出口报关!$D$4:$D$303,MATCH(A260,①出口报关!$A$4:$A$303,0))),"编号不存在"))</f>
        <v/>
      </c>
      <c r="D260" s="43"/>
      <c r="E260" s="45"/>
      <c r="F260" s="41"/>
      <c r="G260" s="48"/>
      <c r="H260" s="46"/>
      <c r="I260" s="41"/>
      <c r="J260" s="30" t="str">
        <f aca="false">IF(AND(D260="未售-海外仓预退（HWC-YT）",ISNUMBER(I260)),DATE(YEAR(I260)+1,4,30),"")</f>
        <v/>
      </c>
      <c r="K260" s="51" t="str">
        <f aca="true">IF(J260="","",IF(Q260&lt;&gt;"","",J260-TODAY()))</f>
        <v/>
      </c>
      <c r="L260" s="31" t="str">
        <f aca="false">IF(OR(A260="",D260&lt;&gt;"未售-海外仓预退（HWC-YT）"),"",MIN(N(E260),MAX(0,SUMIFS(②销售核销!$I$4:$I$603,②销售核销!$E$4:$E$603,A260)-SUMIFS($E$4:$E$303,$A$4:$A$303,A260,$D$4:$D$303,"已售-按现行规定申报"))))</f>
        <v/>
      </c>
      <c r="M260" s="34" t="str">
        <f aca="false">IF(OR(L260="",N(E260)=0,H260=""),"",ROUND(H260/E260*L260,2))</f>
        <v/>
      </c>
      <c r="N260" s="46"/>
      <c r="O260" s="34" t="str">
        <f aca="false">IF(OR(N260="",H260=""),"",ROUND(N260-H260,2))</f>
        <v/>
      </c>
      <c r="P260" s="36" t="str">
        <f aca="false">IF(OR(A260="",D260&lt;&gt;"未售-海外仓预退（HWC-YT）"),"",IF(L260=0,"仍未销售：需要调整申报，全额缴回预退税",IF(L260&lt;N(E260),"部分已售：需要调整申报，全额冲减后按已售部分重报",IF(N260="","全部已售：填入实际应退税额后判断",IF(O260=0,"全部已售、无差异：无需调整申报","全部已售、有差异：需要调整申报")))))</f>
        <v/>
      </c>
      <c r="Q260" s="41"/>
      <c r="R260" s="44"/>
      <c r="S260" s="36" t="str">
        <f aca="false">IF(A260="","",IF(D260="","请选择申报方式",IF(D260&lt;&gt;"未售-海外仓预退（HWC-YT）","不涉及核算",IF(Q260&lt;&gt;"","已核算",IF(J260="","待税务办结",IF(K260&lt;0,"已逾期：税务将追回预退税",IF(K260&lt;=60,"临近截止（60天内）","待核算")))))))</f>
        <v/>
      </c>
      <c r="T260" s="30" t="str">
        <f aca="false">IF(ISNUMBER(C260),DATE(YEAR(C260)+1,4,30),"")</f>
        <v/>
      </c>
      <c r="U260" s="43"/>
    </row>
    <row r="261" customFormat="false" ht="21.75" hidden="false" customHeight="true" outlineLevel="0" collapsed="false">
      <c r="A261" s="44"/>
      <c r="B261" s="36" t="str">
        <f aca="false">IF(A261="","",IFERROR(INDEX(①出口报关!$I$4:$I$303,MATCH(A261,①出口报关!$A$4:$A$303,0)),"编号不存在"))</f>
        <v/>
      </c>
      <c r="C261" s="30" t="str">
        <f aca="false">IF(A261="","",IFERROR(IF(INDEX(①出口报关!$D$4:$D$303,MATCH(A261,①出口报关!$A$4:$A$303,0))=0,"",INDEX(①出口报关!$D$4:$D$303,MATCH(A261,①出口报关!$A$4:$A$303,0))),"编号不存在"))</f>
        <v/>
      </c>
      <c r="D261" s="43"/>
      <c r="E261" s="45"/>
      <c r="F261" s="41"/>
      <c r="G261" s="48"/>
      <c r="H261" s="46"/>
      <c r="I261" s="41"/>
      <c r="J261" s="30" t="str">
        <f aca="false">IF(AND(D261="未售-海外仓预退（HWC-YT）",ISNUMBER(I261)),DATE(YEAR(I261)+1,4,30),"")</f>
        <v/>
      </c>
      <c r="K261" s="51" t="str">
        <f aca="true">IF(J261="","",IF(Q261&lt;&gt;"","",J261-TODAY()))</f>
        <v/>
      </c>
      <c r="L261" s="31" t="str">
        <f aca="false">IF(OR(A261="",D261&lt;&gt;"未售-海外仓预退（HWC-YT）"),"",MIN(N(E261),MAX(0,SUMIFS(②销售核销!$I$4:$I$603,②销售核销!$E$4:$E$603,A261)-SUMIFS($E$4:$E$303,$A$4:$A$303,A261,$D$4:$D$303,"已售-按现行规定申报"))))</f>
        <v/>
      </c>
      <c r="M261" s="34" t="str">
        <f aca="false">IF(OR(L261="",N(E261)=0,H261=""),"",ROUND(H261/E261*L261,2))</f>
        <v/>
      </c>
      <c r="N261" s="46"/>
      <c r="O261" s="34" t="str">
        <f aca="false">IF(OR(N261="",H261=""),"",ROUND(N261-H261,2))</f>
        <v/>
      </c>
      <c r="P261" s="36" t="str">
        <f aca="false">IF(OR(A261="",D261&lt;&gt;"未售-海外仓预退（HWC-YT）"),"",IF(L261=0,"仍未销售：需要调整申报，全额缴回预退税",IF(L261&lt;N(E261),"部分已售：需要调整申报，全额冲减后按已售部分重报",IF(N261="","全部已售：填入实际应退税额后判断",IF(O261=0,"全部已售、无差异：无需调整申报","全部已售、有差异：需要调整申报")))))</f>
        <v/>
      </c>
      <c r="Q261" s="41"/>
      <c r="R261" s="44"/>
      <c r="S261" s="36" t="str">
        <f aca="false">IF(A261="","",IF(D261="","请选择申报方式",IF(D261&lt;&gt;"未售-海外仓预退（HWC-YT）","不涉及核算",IF(Q261&lt;&gt;"","已核算",IF(J261="","待税务办结",IF(K261&lt;0,"已逾期：税务将追回预退税",IF(K261&lt;=60,"临近截止（60天内）","待核算")))))))</f>
        <v/>
      </c>
      <c r="T261" s="30" t="str">
        <f aca="false">IF(ISNUMBER(C261),DATE(YEAR(C261)+1,4,30),"")</f>
        <v/>
      </c>
      <c r="U261" s="43"/>
    </row>
    <row r="262" customFormat="false" ht="21.75" hidden="false" customHeight="true" outlineLevel="0" collapsed="false">
      <c r="A262" s="44"/>
      <c r="B262" s="36" t="str">
        <f aca="false">IF(A262="","",IFERROR(INDEX(①出口报关!$I$4:$I$303,MATCH(A262,①出口报关!$A$4:$A$303,0)),"编号不存在"))</f>
        <v/>
      </c>
      <c r="C262" s="30" t="str">
        <f aca="false">IF(A262="","",IFERROR(IF(INDEX(①出口报关!$D$4:$D$303,MATCH(A262,①出口报关!$A$4:$A$303,0))=0,"",INDEX(①出口报关!$D$4:$D$303,MATCH(A262,①出口报关!$A$4:$A$303,0))),"编号不存在"))</f>
        <v/>
      </c>
      <c r="D262" s="43"/>
      <c r="E262" s="45"/>
      <c r="F262" s="41"/>
      <c r="G262" s="48"/>
      <c r="H262" s="46"/>
      <c r="I262" s="41"/>
      <c r="J262" s="30" t="str">
        <f aca="false">IF(AND(D262="未售-海外仓预退（HWC-YT）",ISNUMBER(I262)),DATE(YEAR(I262)+1,4,30),"")</f>
        <v/>
      </c>
      <c r="K262" s="51" t="str">
        <f aca="true">IF(J262="","",IF(Q262&lt;&gt;"","",J262-TODAY()))</f>
        <v/>
      </c>
      <c r="L262" s="31" t="str">
        <f aca="false">IF(OR(A262="",D262&lt;&gt;"未售-海外仓预退（HWC-YT）"),"",MIN(N(E262),MAX(0,SUMIFS(②销售核销!$I$4:$I$603,②销售核销!$E$4:$E$603,A262)-SUMIFS($E$4:$E$303,$A$4:$A$303,A262,$D$4:$D$303,"已售-按现行规定申报"))))</f>
        <v/>
      </c>
      <c r="M262" s="34" t="str">
        <f aca="false">IF(OR(L262="",N(E262)=0,H262=""),"",ROUND(H262/E262*L262,2))</f>
        <v/>
      </c>
      <c r="N262" s="46"/>
      <c r="O262" s="34" t="str">
        <f aca="false">IF(OR(N262="",H262=""),"",ROUND(N262-H262,2))</f>
        <v/>
      </c>
      <c r="P262" s="36" t="str">
        <f aca="false">IF(OR(A262="",D262&lt;&gt;"未售-海外仓预退（HWC-YT）"),"",IF(L262=0,"仍未销售：需要调整申报，全额缴回预退税",IF(L262&lt;N(E262),"部分已售：需要调整申报，全额冲减后按已售部分重报",IF(N262="","全部已售：填入实际应退税额后判断",IF(O262=0,"全部已售、无差异：无需调整申报","全部已售、有差异：需要调整申报")))))</f>
        <v/>
      </c>
      <c r="Q262" s="41"/>
      <c r="R262" s="44"/>
      <c r="S262" s="36" t="str">
        <f aca="false">IF(A262="","",IF(D262="","请选择申报方式",IF(D262&lt;&gt;"未售-海外仓预退（HWC-YT）","不涉及核算",IF(Q262&lt;&gt;"","已核算",IF(J262="","待税务办结",IF(K262&lt;0,"已逾期：税务将追回预退税",IF(K262&lt;=60,"临近截止（60天内）","待核算")))))))</f>
        <v/>
      </c>
      <c r="T262" s="30" t="str">
        <f aca="false">IF(ISNUMBER(C262),DATE(YEAR(C262)+1,4,30),"")</f>
        <v/>
      </c>
      <c r="U262" s="43"/>
    </row>
    <row r="263" customFormat="false" ht="21.75" hidden="false" customHeight="true" outlineLevel="0" collapsed="false">
      <c r="A263" s="44"/>
      <c r="B263" s="36" t="str">
        <f aca="false">IF(A263="","",IFERROR(INDEX(①出口报关!$I$4:$I$303,MATCH(A263,①出口报关!$A$4:$A$303,0)),"编号不存在"))</f>
        <v/>
      </c>
      <c r="C263" s="30" t="str">
        <f aca="false">IF(A263="","",IFERROR(IF(INDEX(①出口报关!$D$4:$D$303,MATCH(A263,①出口报关!$A$4:$A$303,0))=0,"",INDEX(①出口报关!$D$4:$D$303,MATCH(A263,①出口报关!$A$4:$A$303,0))),"编号不存在"))</f>
        <v/>
      </c>
      <c r="D263" s="43"/>
      <c r="E263" s="45"/>
      <c r="F263" s="41"/>
      <c r="G263" s="48"/>
      <c r="H263" s="46"/>
      <c r="I263" s="41"/>
      <c r="J263" s="30" t="str">
        <f aca="false">IF(AND(D263="未售-海外仓预退（HWC-YT）",ISNUMBER(I263)),DATE(YEAR(I263)+1,4,30),"")</f>
        <v/>
      </c>
      <c r="K263" s="51" t="str">
        <f aca="true">IF(J263="","",IF(Q263&lt;&gt;"","",J263-TODAY()))</f>
        <v/>
      </c>
      <c r="L263" s="31" t="str">
        <f aca="false">IF(OR(A263="",D263&lt;&gt;"未售-海外仓预退（HWC-YT）"),"",MIN(N(E263),MAX(0,SUMIFS(②销售核销!$I$4:$I$603,②销售核销!$E$4:$E$603,A263)-SUMIFS($E$4:$E$303,$A$4:$A$303,A263,$D$4:$D$303,"已售-按现行规定申报"))))</f>
        <v/>
      </c>
      <c r="M263" s="34" t="str">
        <f aca="false">IF(OR(L263="",N(E263)=0,H263=""),"",ROUND(H263/E263*L263,2))</f>
        <v/>
      </c>
      <c r="N263" s="46"/>
      <c r="O263" s="34" t="str">
        <f aca="false">IF(OR(N263="",H263=""),"",ROUND(N263-H263,2))</f>
        <v/>
      </c>
      <c r="P263" s="36" t="str">
        <f aca="false">IF(OR(A263="",D263&lt;&gt;"未售-海外仓预退（HWC-YT）"),"",IF(L263=0,"仍未销售：需要调整申报，全额缴回预退税",IF(L263&lt;N(E263),"部分已售：需要调整申报，全额冲减后按已售部分重报",IF(N263="","全部已售：填入实际应退税额后判断",IF(O263=0,"全部已售、无差异：无需调整申报","全部已售、有差异：需要调整申报")))))</f>
        <v/>
      </c>
      <c r="Q263" s="41"/>
      <c r="R263" s="44"/>
      <c r="S263" s="36" t="str">
        <f aca="false">IF(A263="","",IF(D263="","请选择申报方式",IF(D263&lt;&gt;"未售-海外仓预退（HWC-YT）","不涉及核算",IF(Q263&lt;&gt;"","已核算",IF(J263="","待税务办结",IF(K263&lt;0,"已逾期：税务将追回预退税",IF(K263&lt;=60,"临近截止（60天内）","待核算")))))))</f>
        <v/>
      </c>
      <c r="T263" s="30" t="str">
        <f aca="false">IF(ISNUMBER(C263),DATE(YEAR(C263)+1,4,30),"")</f>
        <v/>
      </c>
      <c r="U263" s="43"/>
    </row>
    <row r="264" customFormat="false" ht="21.75" hidden="false" customHeight="true" outlineLevel="0" collapsed="false">
      <c r="A264" s="44"/>
      <c r="B264" s="36" t="str">
        <f aca="false">IF(A264="","",IFERROR(INDEX(①出口报关!$I$4:$I$303,MATCH(A264,①出口报关!$A$4:$A$303,0)),"编号不存在"))</f>
        <v/>
      </c>
      <c r="C264" s="30" t="str">
        <f aca="false">IF(A264="","",IFERROR(IF(INDEX(①出口报关!$D$4:$D$303,MATCH(A264,①出口报关!$A$4:$A$303,0))=0,"",INDEX(①出口报关!$D$4:$D$303,MATCH(A264,①出口报关!$A$4:$A$303,0))),"编号不存在"))</f>
        <v/>
      </c>
      <c r="D264" s="43"/>
      <c r="E264" s="45"/>
      <c r="F264" s="41"/>
      <c r="G264" s="48"/>
      <c r="H264" s="46"/>
      <c r="I264" s="41"/>
      <c r="J264" s="30" t="str">
        <f aca="false">IF(AND(D264="未售-海外仓预退（HWC-YT）",ISNUMBER(I264)),DATE(YEAR(I264)+1,4,30),"")</f>
        <v/>
      </c>
      <c r="K264" s="51" t="str">
        <f aca="true">IF(J264="","",IF(Q264&lt;&gt;"","",J264-TODAY()))</f>
        <v/>
      </c>
      <c r="L264" s="31" t="str">
        <f aca="false">IF(OR(A264="",D264&lt;&gt;"未售-海外仓预退（HWC-YT）"),"",MIN(N(E264),MAX(0,SUMIFS(②销售核销!$I$4:$I$603,②销售核销!$E$4:$E$603,A264)-SUMIFS($E$4:$E$303,$A$4:$A$303,A264,$D$4:$D$303,"已售-按现行规定申报"))))</f>
        <v/>
      </c>
      <c r="M264" s="34" t="str">
        <f aca="false">IF(OR(L264="",N(E264)=0,H264=""),"",ROUND(H264/E264*L264,2))</f>
        <v/>
      </c>
      <c r="N264" s="46"/>
      <c r="O264" s="34" t="str">
        <f aca="false">IF(OR(N264="",H264=""),"",ROUND(N264-H264,2))</f>
        <v/>
      </c>
      <c r="P264" s="36" t="str">
        <f aca="false">IF(OR(A264="",D264&lt;&gt;"未售-海外仓预退（HWC-YT）"),"",IF(L264=0,"仍未销售：需要调整申报，全额缴回预退税",IF(L264&lt;N(E264),"部分已售：需要调整申报，全额冲减后按已售部分重报",IF(N264="","全部已售：填入实际应退税额后判断",IF(O264=0,"全部已售、无差异：无需调整申报","全部已售、有差异：需要调整申报")))))</f>
        <v/>
      </c>
      <c r="Q264" s="41"/>
      <c r="R264" s="44"/>
      <c r="S264" s="36" t="str">
        <f aca="false">IF(A264="","",IF(D264="","请选择申报方式",IF(D264&lt;&gt;"未售-海外仓预退（HWC-YT）","不涉及核算",IF(Q264&lt;&gt;"","已核算",IF(J264="","待税务办结",IF(K264&lt;0,"已逾期：税务将追回预退税",IF(K264&lt;=60,"临近截止（60天内）","待核算")))))))</f>
        <v/>
      </c>
      <c r="T264" s="30" t="str">
        <f aca="false">IF(ISNUMBER(C264),DATE(YEAR(C264)+1,4,30),"")</f>
        <v/>
      </c>
      <c r="U264" s="43"/>
    </row>
    <row r="265" customFormat="false" ht="21.75" hidden="false" customHeight="true" outlineLevel="0" collapsed="false">
      <c r="A265" s="44"/>
      <c r="B265" s="36" t="str">
        <f aca="false">IF(A265="","",IFERROR(INDEX(①出口报关!$I$4:$I$303,MATCH(A265,①出口报关!$A$4:$A$303,0)),"编号不存在"))</f>
        <v/>
      </c>
      <c r="C265" s="30" t="str">
        <f aca="false">IF(A265="","",IFERROR(IF(INDEX(①出口报关!$D$4:$D$303,MATCH(A265,①出口报关!$A$4:$A$303,0))=0,"",INDEX(①出口报关!$D$4:$D$303,MATCH(A265,①出口报关!$A$4:$A$303,0))),"编号不存在"))</f>
        <v/>
      </c>
      <c r="D265" s="43"/>
      <c r="E265" s="45"/>
      <c r="F265" s="41"/>
      <c r="G265" s="48"/>
      <c r="H265" s="46"/>
      <c r="I265" s="41"/>
      <c r="J265" s="30" t="str">
        <f aca="false">IF(AND(D265="未售-海外仓预退（HWC-YT）",ISNUMBER(I265)),DATE(YEAR(I265)+1,4,30),"")</f>
        <v/>
      </c>
      <c r="K265" s="51" t="str">
        <f aca="true">IF(J265="","",IF(Q265&lt;&gt;"","",J265-TODAY()))</f>
        <v/>
      </c>
      <c r="L265" s="31" t="str">
        <f aca="false">IF(OR(A265="",D265&lt;&gt;"未售-海外仓预退（HWC-YT）"),"",MIN(N(E265),MAX(0,SUMIFS(②销售核销!$I$4:$I$603,②销售核销!$E$4:$E$603,A265)-SUMIFS($E$4:$E$303,$A$4:$A$303,A265,$D$4:$D$303,"已售-按现行规定申报"))))</f>
        <v/>
      </c>
      <c r="M265" s="34" t="str">
        <f aca="false">IF(OR(L265="",N(E265)=0,H265=""),"",ROUND(H265/E265*L265,2))</f>
        <v/>
      </c>
      <c r="N265" s="46"/>
      <c r="O265" s="34" t="str">
        <f aca="false">IF(OR(N265="",H265=""),"",ROUND(N265-H265,2))</f>
        <v/>
      </c>
      <c r="P265" s="36" t="str">
        <f aca="false">IF(OR(A265="",D265&lt;&gt;"未售-海外仓预退（HWC-YT）"),"",IF(L265=0,"仍未销售：需要调整申报，全额缴回预退税",IF(L265&lt;N(E265),"部分已售：需要调整申报，全额冲减后按已售部分重报",IF(N265="","全部已售：填入实际应退税额后判断",IF(O265=0,"全部已售、无差异：无需调整申报","全部已售、有差异：需要调整申报")))))</f>
        <v/>
      </c>
      <c r="Q265" s="41"/>
      <c r="R265" s="44"/>
      <c r="S265" s="36" t="str">
        <f aca="false">IF(A265="","",IF(D265="","请选择申报方式",IF(D265&lt;&gt;"未售-海外仓预退（HWC-YT）","不涉及核算",IF(Q265&lt;&gt;"","已核算",IF(J265="","待税务办结",IF(K265&lt;0,"已逾期：税务将追回预退税",IF(K265&lt;=60,"临近截止（60天内）","待核算")))))))</f>
        <v/>
      </c>
      <c r="T265" s="30" t="str">
        <f aca="false">IF(ISNUMBER(C265),DATE(YEAR(C265)+1,4,30),"")</f>
        <v/>
      </c>
      <c r="U265" s="43"/>
    </row>
    <row r="266" customFormat="false" ht="21.75" hidden="false" customHeight="true" outlineLevel="0" collapsed="false">
      <c r="A266" s="44"/>
      <c r="B266" s="36" t="str">
        <f aca="false">IF(A266="","",IFERROR(INDEX(①出口报关!$I$4:$I$303,MATCH(A266,①出口报关!$A$4:$A$303,0)),"编号不存在"))</f>
        <v/>
      </c>
      <c r="C266" s="30" t="str">
        <f aca="false">IF(A266="","",IFERROR(IF(INDEX(①出口报关!$D$4:$D$303,MATCH(A266,①出口报关!$A$4:$A$303,0))=0,"",INDEX(①出口报关!$D$4:$D$303,MATCH(A266,①出口报关!$A$4:$A$303,0))),"编号不存在"))</f>
        <v/>
      </c>
      <c r="D266" s="43"/>
      <c r="E266" s="45"/>
      <c r="F266" s="41"/>
      <c r="G266" s="48"/>
      <c r="H266" s="46"/>
      <c r="I266" s="41"/>
      <c r="J266" s="30" t="str">
        <f aca="false">IF(AND(D266="未售-海外仓预退（HWC-YT）",ISNUMBER(I266)),DATE(YEAR(I266)+1,4,30),"")</f>
        <v/>
      </c>
      <c r="K266" s="51" t="str">
        <f aca="true">IF(J266="","",IF(Q266&lt;&gt;"","",J266-TODAY()))</f>
        <v/>
      </c>
      <c r="L266" s="31" t="str">
        <f aca="false">IF(OR(A266="",D266&lt;&gt;"未售-海外仓预退（HWC-YT）"),"",MIN(N(E266),MAX(0,SUMIFS(②销售核销!$I$4:$I$603,②销售核销!$E$4:$E$603,A266)-SUMIFS($E$4:$E$303,$A$4:$A$303,A266,$D$4:$D$303,"已售-按现行规定申报"))))</f>
        <v/>
      </c>
      <c r="M266" s="34" t="str">
        <f aca="false">IF(OR(L266="",N(E266)=0,H266=""),"",ROUND(H266/E266*L266,2))</f>
        <v/>
      </c>
      <c r="N266" s="46"/>
      <c r="O266" s="34" t="str">
        <f aca="false">IF(OR(N266="",H266=""),"",ROUND(N266-H266,2))</f>
        <v/>
      </c>
      <c r="P266" s="36" t="str">
        <f aca="false">IF(OR(A266="",D266&lt;&gt;"未售-海外仓预退（HWC-YT）"),"",IF(L266=0,"仍未销售：需要调整申报，全额缴回预退税",IF(L266&lt;N(E266),"部分已售：需要调整申报，全额冲减后按已售部分重报",IF(N266="","全部已售：填入实际应退税额后判断",IF(O266=0,"全部已售、无差异：无需调整申报","全部已售、有差异：需要调整申报")))))</f>
        <v/>
      </c>
      <c r="Q266" s="41"/>
      <c r="R266" s="44"/>
      <c r="S266" s="36" t="str">
        <f aca="false">IF(A266="","",IF(D266="","请选择申报方式",IF(D266&lt;&gt;"未售-海外仓预退（HWC-YT）","不涉及核算",IF(Q266&lt;&gt;"","已核算",IF(J266="","待税务办结",IF(K266&lt;0,"已逾期：税务将追回预退税",IF(K266&lt;=60,"临近截止（60天内）","待核算")))))))</f>
        <v/>
      </c>
      <c r="T266" s="30" t="str">
        <f aca="false">IF(ISNUMBER(C266),DATE(YEAR(C266)+1,4,30),"")</f>
        <v/>
      </c>
      <c r="U266" s="43"/>
    </row>
    <row r="267" customFormat="false" ht="21.75" hidden="false" customHeight="true" outlineLevel="0" collapsed="false">
      <c r="A267" s="44"/>
      <c r="B267" s="36" t="str">
        <f aca="false">IF(A267="","",IFERROR(INDEX(①出口报关!$I$4:$I$303,MATCH(A267,①出口报关!$A$4:$A$303,0)),"编号不存在"))</f>
        <v/>
      </c>
      <c r="C267" s="30" t="str">
        <f aca="false">IF(A267="","",IFERROR(IF(INDEX(①出口报关!$D$4:$D$303,MATCH(A267,①出口报关!$A$4:$A$303,0))=0,"",INDEX(①出口报关!$D$4:$D$303,MATCH(A267,①出口报关!$A$4:$A$303,0))),"编号不存在"))</f>
        <v/>
      </c>
      <c r="D267" s="43"/>
      <c r="E267" s="45"/>
      <c r="F267" s="41"/>
      <c r="G267" s="48"/>
      <c r="H267" s="46"/>
      <c r="I267" s="41"/>
      <c r="J267" s="30" t="str">
        <f aca="false">IF(AND(D267="未售-海外仓预退（HWC-YT）",ISNUMBER(I267)),DATE(YEAR(I267)+1,4,30),"")</f>
        <v/>
      </c>
      <c r="K267" s="51" t="str">
        <f aca="true">IF(J267="","",IF(Q267&lt;&gt;"","",J267-TODAY()))</f>
        <v/>
      </c>
      <c r="L267" s="31" t="str">
        <f aca="false">IF(OR(A267="",D267&lt;&gt;"未售-海外仓预退（HWC-YT）"),"",MIN(N(E267),MAX(0,SUMIFS(②销售核销!$I$4:$I$603,②销售核销!$E$4:$E$603,A267)-SUMIFS($E$4:$E$303,$A$4:$A$303,A267,$D$4:$D$303,"已售-按现行规定申报"))))</f>
        <v/>
      </c>
      <c r="M267" s="34" t="str">
        <f aca="false">IF(OR(L267="",N(E267)=0,H267=""),"",ROUND(H267/E267*L267,2))</f>
        <v/>
      </c>
      <c r="N267" s="46"/>
      <c r="O267" s="34" t="str">
        <f aca="false">IF(OR(N267="",H267=""),"",ROUND(N267-H267,2))</f>
        <v/>
      </c>
      <c r="P267" s="36" t="str">
        <f aca="false">IF(OR(A267="",D267&lt;&gt;"未售-海外仓预退（HWC-YT）"),"",IF(L267=0,"仍未销售：需要调整申报，全额缴回预退税",IF(L267&lt;N(E267),"部分已售：需要调整申报，全额冲减后按已售部分重报",IF(N267="","全部已售：填入实际应退税额后判断",IF(O267=0,"全部已售、无差异：无需调整申报","全部已售、有差异：需要调整申报")))))</f>
        <v/>
      </c>
      <c r="Q267" s="41"/>
      <c r="R267" s="44"/>
      <c r="S267" s="36" t="str">
        <f aca="false">IF(A267="","",IF(D267="","请选择申报方式",IF(D267&lt;&gt;"未售-海外仓预退（HWC-YT）","不涉及核算",IF(Q267&lt;&gt;"","已核算",IF(J267="","待税务办结",IF(K267&lt;0,"已逾期：税务将追回预退税",IF(K267&lt;=60,"临近截止（60天内）","待核算")))))))</f>
        <v/>
      </c>
      <c r="T267" s="30" t="str">
        <f aca="false">IF(ISNUMBER(C267),DATE(YEAR(C267)+1,4,30),"")</f>
        <v/>
      </c>
      <c r="U267" s="43"/>
    </row>
    <row r="268" customFormat="false" ht="21.75" hidden="false" customHeight="true" outlineLevel="0" collapsed="false">
      <c r="A268" s="44"/>
      <c r="B268" s="36" t="str">
        <f aca="false">IF(A268="","",IFERROR(INDEX(①出口报关!$I$4:$I$303,MATCH(A268,①出口报关!$A$4:$A$303,0)),"编号不存在"))</f>
        <v/>
      </c>
      <c r="C268" s="30" t="str">
        <f aca="false">IF(A268="","",IFERROR(IF(INDEX(①出口报关!$D$4:$D$303,MATCH(A268,①出口报关!$A$4:$A$303,0))=0,"",INDEX(①出口报关!$D$4:$D$303,MATCH(A268,①出口报关!$A$4:$A$303,0))),"编号不存在"))</f>
        <v/>
      </c>
      <c r="D268" s="43"/>
      <c r="E268" s="45"/>
      <c r="F268" s="41"/>
      <c r="G268" s="48"/>
      <c r="H268" s="46"/>
      <c r="I268" s="41"/>
      <c r="J268" s="30" t="str">
        <f aca="false">IF(AND(D268="未售-海外仓预退（HWC-YT）",ISNUMBER(I268)),DATE(YEAR(I268)+1,4,30),"")</f>
        <v/>
      </c>
      <c r="K268" s="51" t="str">
        <f aca="true">IF(J268="","",IF(Q268&lt;&gt;"","",J268-TODAY()))</f>
        <v/>
      </c>
      <c r="L268" s="31" t="str">
        <f aca="false">IF(OR(A268="",D268&lt;&gt;"未售-海外仓预退（HWC-YT）"),"",MIN(N(E268),MAX(0,SUMIFS(②销售核销!$I$4:$I$603,②销售核销!$E$4:$E$603,A268)-SUMIFS($E$4:$E$303,$A$4:$A$303,A268,$D$4:$D$303,"已售-按现行规定申报"))))</f>
        <v/>
      </c>
      <c r="M268" s="34" t="str">
        <f aca="false">IF(OR(L268="",N(E268)=0,H268=""),"",ROUND(H268/E268*L268,2))</f>
        <v/>
      </c>
      <c r="N268" s="46"/>
      <c r="O268" s="34" t="str">
        <f aca="false">IF(OR(N268="",H268=""),"",ROUND(N268-H268,2))</f>
        <v/>
      </c>
      <c r="P268" s="36" t="str">
        <f aca="false">IF(OR(A268="",D268&lt;&gt;"未售-海外仓预退（HWC-YT）"),"",IF(L268=0,"仍未销售：需要调整申报，全额缴回预退税",IF(L268&lt;N(E268),"部分已售：需要调整申报，全额冲减后按已售部分重报",IF(N268="","全部已售：填入实际应退税额后判断",IF(O268=0,"全部已售、无差异：无需调整申报","全部已售、有差异：需要调整申报")))))</f>
        <v/>
      </c>
      <c r="Q268" s="41"/>
      <c r="R268" s="44"/>
      <c r="S268" s="36" t="str">
        <f aca="false">IF(A268="","",IF(D268="","请选择申报方式",IF(D268&lt;&gt;"未售-海外仓预退（HWC-YT）","不涉及核算",IF(Q268&lt;&gt;"","已核算",IF(J268="","待税务办结",IF(K268&lt;0,"已逾期：税务将追回预退税",IF(K268&lt;=60,"临近截止（60天内）","待核算")))))))</f>
        <v/>
      </c>
      <c r="T268" s="30" t="str">
        <f aca="false">IF(ISNUMBER(C268),DATE(YEAR(C268)+1,4,30),"")</f>
        <v/>
      </c>
      <c r="U268" s="43"/>
    </row>
    <row r="269" customFormat="false" ht="21.75" hidden="false" customHeight="true" outlineLevel="0" collapsed="false">
      <c r="A269" s="44"/>
      <c r="B269" s="36" t="str">
        <f aca="false">IF(A269="","",IFERROR(INDEX(①出口报关!$I$4:$I$303,MATCH(A269,①出口报关!$A$4:$A$303,0)),"编号不存在"))</f>
        <v/>
      </c>
      <c r="C269" s="30" t="str">
        <f aca="false">IF(A269="","",IFERROR(IF(INDEX(①出口报关!$D$4:$D$303,MATCH(A269,①出口报关!$A$4:$A$303,0))=0,"",INDEX(①出口报关!$D$4:$D$303,MATCH(A269,①出口报关!$A$4:$A$303,0))),"编号不存在"))</f>
        <v/>
      </c>
      <c r="D269" s="43"/>
      <c r="E269" s="45"/>
      <c r="F269" s="41"/>
      <c r="G269" s="48"/>
      <c r="H269" s="46"/>
      <c r="I269" s="41"/>
      <c r="J269" s="30" t="str">
        <f aca="false">IF(AND(D269="未售-海外仓预退（HWC-YT）",ISNUMBER(I269)),DATE(YEAR(I269)+1,4,30),"")</f>
        <v/>
      </c>
      <c r="K269" s="51" t="str">
        <f aca="true">IF(J269="","",IF(Q269&lt;&gt;"","",J269-TODAY()))</f>
        <v/>
      </c>
      <c r="L269" s="31" t="str">
        <f aca="false">IF(OR(A269="",D269&lt;&gt;"未售-海外仓预退（HWC-YT）"),"",MIN(N(E269),MAX(0,SUMIFS(②销售核销!$I$4:$I$603,②销售核销!$E$4:$E$603,A269)-SUMIFS($E$4:$E$303,$A$4:$A$303,A269,$D$4:$D$303,"已售-按现行规定申报"))))</f>
        <v/>
      </c>
      <c r="M269" s="34" t="str">
        <f aca="false">IF(OR(L269="",N(E269)=0,H269=""),"",ROUND(H269/E269*L269,2))</f>
        <v/>
      </c>
      <c r="N269" s="46"/>
      <c r="O269" s="34" t="str">
        <f aca="false">IF(OR(N269="",H269=""),"",ROUND(N269-H269,2))</f>
        <v/>
      </c>
      <c r="P269" s="36" t="str">
        <f aca="false">IF(OR(A269="",D269&lt;&gt;"未售-海外仓预退（HWC-YT）"),"",IF(L269=0,"仍未销售：需要调整申报，全额缴回预退税",IF(L269&lt;N(E269),"部分已售：需要调整申报，全额冲减后按已售部分重报",IF(N269="","全部已售：填入实际应退税额后判断",IF(O269=0,"全部已售、无差异：无需调整申报","全部已售、有差异：需要调整申报")))))</f>
        <v/>
      </c>
      <c r="Q269" s="41"/>
      <c r="R269" s="44"/>
      <c r="S269" s="36" t="str">
        <f aca="false">IF(A269="","",IF(D269="","请选择申报方式",IF(D269&lt;&gt;"未售-海外仓预退（HWC-YT）","不涉及核算",IF(Q269&lt;&gt;"","已核算",IF(J269="","待税务办结",IF(K269&lt;0,"已逾期：税务将追回预退税",IF(K269&lt;=60,"临近截止（60天内）","待核算")))))))</f>
        <v/>
      </c>
      <c r="T269" s="30" t="str">
        <f aca="false">IF(ISNUMBER(C269),DATE(YEAR(C269)+1,4,30),"")</f>
        <v/>
      </c>
      <c r="U269" s="43"/>
    </row>
    <row r="270" customFormat="false" ht="21.75" hidden="false" customHeight="true" outlineLevel="0" collapsed="false">
      <c r="A270" s="44"/>
      <c r="B270" s="36" t="str">
        <f aca="false">IF(A270="","",IFERROR(INDEX(①出口报关!$I$4:$I$303,MATCH(A270,①出口报关!$A$4:$A$303,0)),"编号不存在"))</f>
        <v/>
      </c>
      <c r="C270" s="30" t="str">
        <f aca="false">IF(A270="","",IFERROR(IF(INDEX(①出口报关!$D$4:$D$303,MATCH(A270,①出口报关!$A$4:$A$303,0))=0,"",INDEX(①出口报关!$D$4:$D$303,MATCH(A270,①出口报关!$A$4:$A$303,0))),"编号不存在"))</f>
        <v/>
      </c>
      <c r="D270" s="43"/>
      <c r="E270" s="45"/>
      <c r="F270" s="41"/>
      <c r="G270" s="48"/>
      <c r="H270" s="46"/>
      <c r="I270" s="41"/>
      <c r="J270" s="30" t="str">
        <f aca="false">IF(AND(D270="未售-海外仓预退（HWC-YT）",ISNUMBER(I270)),DATE(YEAR(I270)+1,4,30),"")</f>
        <v/>
      </c>
      <c r="K270" s="51" t="str">
        <f aca="true">IF(J270="","",IF(Q270&lt;&gt;"","",J270-TODAY()))</f>
        <v/>
      </c>
      <c r="L270" s="31" t="str">
        <f aca="false">IF(OR(A270="",D270&lt;&gt;"未售-海外仓预退（HWC-YT）"),"",MIN(N(E270),MAX(0,SUMIFS(②销售核销!$I$4:$I$603,②销售核销!$E$4:$E$603,A270)-SUMIFS($E$4:$E$303,$A$4:$A$303,A270,$D$4:$D$303,"已售-按现行规定申报"))))</f>
        <v/>
      </c>
      <c r="M270" s="34" t="str">
        <f aca="false">IF(OR(L270="",N(E270)=0,H270=""),"",ROUND(H270/E270*L270,2))</f>
        <v/>
      </c>
      <c r="N270" s="46"/>
      <c r="O270" s="34" t="str">
        <f aca="false">IF(OR(N270="",H270=""),"",ROUND(N270-H270,2))</f>
        <v/>
      </c>
      <c r="P270" s="36" t="str">
        <f aca="false">IF(OR(A270="",D270&lt;&gt;"未售-海外仓预退（HWC-YT）"),"",IF(L270=0,"仍未销售：需要调整申报，全额缴回预退税",IF(L270&lt;N(E270),"部分已售：需要调整申报，全额冲减后按已售部分重报",IF(N270="","全部已售：填入实际应退税额后判断",IF(O270=0,"全部已售、无差异：无需调整申报","全部已售、有差异：需要调整申报")))))</f>
        <v/>
      </c>
      <c r="Q270" s="41"/>
      <c r="R270" s="44"/>
      <c r="S270" s="36" t="str">
        <f aca="false">IF(A270="","",IF(D270="","请选择申报方式",IF(D270&lt;&gt;"未售-海外仓预退（HWC-YT）","不涉及核算",IF(Q270&lt;&gt;"","已核算",IF(J270="","待税务办结",IF(K270&lt;0,"已逾期：税务将追回预退税",IF(K270&lt;=60,"临近截止（60天内）","待核算")))))))</f>
        <v/>
      </c>
      <c r="T270" s="30" t="str">
        <f aca="false">IF(ISNUMBER(C270),DATE(YEAR(C270)+1,4,30),"")</f>
        <v/>
      </c>
      <c r="U270" s="43"/>
    </row>
    <row r="271" customFormat="false" ht="21.75" hidden="false" customHeight="true" outlineLevel="0" collapsed="false">
      <c r="A271" s="44"/>
      <c r="B271" s="36" t="str">
        <f aca="false">IF(A271="","",IFERROR(INDEX(①出口报关!$I$4:$I$303,MATCH(A271,①出口报关!$A$4:$A$303,0)),"编号不存在"))</f>
        <v/>
      </c>
      <c r="C271" s="30" t="str">
        <f aca="false">IF(A271="","",IFERROR(IF(INDEX(①出口报关!$D$4:$D$303,MATCH(A271,①出口报关!$A$4:$A$303,0))=0,"",INDEX(①出口报关!$D$4:$D$303,MATCH(A271,①出口报关!$A$4:$A$303,0))),"编号不存在"))</f>
        <v/>
      </c>
      <c r="D271" s="43"/>
      <c r="E271" s="45"/>
      <c r="F271" s="41"/>
      <c r="G271" s="48"/>
      <c r="H271" s="46"/>
      <c r="I271" s="41"/>
      <c r="J271" s="30" t="str">
        <f aca="false">IF(AND(D271="未售-海外仓预退（HWC-YT）",ISNUMBER(I271)),DATE(YEAR(I271)+1,4,30),"")</f>
        <v/>
      </c>
      <c r="K271" s="51" t="str">
        <f aca="true">IF(J271="","",IF(Q271&lt;&gt;"","",J271-TODAY()))</f>
        <v/>
      </c>
      <c r="L271" s="31" t="str">
        <f aca="false">IF(OR(A271="",D271&lt;&gt;"未售-海外仓预退（HWC-YT）"),"",MIN(N(E271),MAX(0,SUMIFS(②销售核销!$I$4:$I$603,②销售核销!$E$4:$E$603,A271)-SUMIFS($E$4:$E$303,$A$4:$A$303,A271,$D$4:$D$303,"已售-按现行规定申报"))))</f>
        <v/>
      </c>
      <c r="M271" s="34" t="str">
        <f aca="false">IF(OR(L271="",N(E271)=0,H271=""),"",ROUND(H271/E271*L271,2))</f>
        <v/>
      </c>
      <c r="N271" s="46"/>
      <c r="O271" s="34" t="str">
        <f aca="false">IF(OR(N271="",H271=""),"",ROUND(N271-H271,2))</f>
        <v/>
      </c>
      <c r="P271" s="36" t="str">
        <f aca="false">IF(OR(A271="",D271&lt;&gt;"未售-海外仓预退（HWC-YT）"),"",IF(L271=0,"仍未销售：需要调整申报，全额缴回预退税",IF(L271&lt;N(E271),"部分已售：需要调整申报，全额冲减后按已售部分重报",IF(N271="","全部已售：填入实际应退税额后判断",IF(O271=0,"全部已售、无差异：无需调整申报","全部已售、有差异：需要调整申报")))))</f>
        <v/>
      </c>
      <c r="Q271" s="41"/>
      <c r="R271" s="44"/>
      <c r="S271" s="36" t="str">
        <f aca="false">IF(A271="","",IF(D271="","请选择申报方式",IF(D271&lt;&gt;"未售-海外仓预退（HWC-YT）","不涉及核算",IF(Q271&lt;&gt;"","已核算",IF(J271="","待税务办结",IF(K271&lt;0,"已逾期：税务将追回预退税",IF(K271&lt;=60,"临近截止（60天内）","待核算")))))))</f>
        <v/>
      </c>
      <c r="T271" s="30" t="str">
        <f aca="false">IF(ISNUMBER(C271),DATE(YEAR(C271)+1,4,30),"")</f>
        <v/>
      </c>
      <c r="U271" s="43"/>
    </row>
    <row r="272" customFormat="false" ht="21.75" hidden="false" customHeight="true" outlineLevel="0" collapsed="false">
      <c r="A272" s="44"/>
      <c r="B272" s="36" t="str">
        <f aca="false">IF(A272="","",IFERROR(INDEX(①出口报关!$I$4:$I$303,MATCH(A272,①出口报关!$A$4:$A$303,0)),"编号不存在"))</f>
        <v/>
      </c>
      <c r="C272" s="30" t="str">
        <f aca="false">IF(A272="","",IFERROR(IF(INDEX(①出口报关!$D$4:$D$303,MATCH(A272,①出口报关!$A$4:$A$303,0))=0,"",INDEX(①出口报关!$D$4:$D$303,MATCH(A272,①出口报关!$A$4:$A$303,0))),"编号不存在"))</f>
        <v/>
      </c>
      <c r="D272" s="43"/>
      <c r="E272" s="45"/>
      <c r="F272" s="41"/>
      <c r="G272" s="48"/>
      <c r="H272" s="46"/>
      <c r="I272" s="41"/>
      <c r="J272" s="30" t="str">
        <f aca="false">IF(AND(D272="未售-海外仓预退（HWC-YT）",ISNUMBER(I272)),DATE(YEAR(I272)+1,4,30),"")</f>
        <v/>
      </c>
      <c r="K272" s="51" t="str">
        <f aca="true">IF(J272="","",IF(Q272&lt;&gt;"","",J272-TODAY()))</f>
        <v/>
      </c>
      <c r="L272" s="31" t="str">
        <f aca="false">IF(OR(A272="",D272&lt;&gt;"未售-海外仓预退（HWC-YT）"),"",MIN(N(E272),MAX(0,SUMIFS(②销售核销!$I$4:$I$603,②销售核销!$E$4:$E$603,A272)-SUMIFS($E$4:$E$303,$A$4:$A$303,A272,$D$4:$D$303,"已售-按现行规定申报"))))</f>
        <v/>
      </c>
      <c r="M272" s="34" t="str">
        <f aca="false">IF(OR(L272="",N(E272)=0,H272=""),"",ROUND(H272/E272*L272,2))</f>
        <v/>
      </c>
      <c r="N272" s="46"/>
      <c r="O272" s="34" t="str">
        <f aca="false">IF(OR(N272="",H272=""),"",ROUND(N272-H272,2))</f>
        <v/>
      </c>
      <c r="P272" s="36" t="str">
        <f aca="false">IF(OR(A272="",D272&lt;&gt;"未售-海外仓预退（HWC-YT）"),"",IF(L272=0,"仍未销售：需要调整申报，全额缴回预退税",IF(L272&lt;N(E272),"部分已售：需要调整申报，全额冲减后按已售部分重报",IF(N272="","全部已售：填入实际应退税额后判断",IF(O272=0,"全部已售、无差异：无需调整申报","全部已售、有差异：需要调整申报")))))</f>
        <v/>
      </c>
      <c r="Q272" s="41"/>
      <c r="R272" s="44"/>
      <c r="S272" s="36" t="str">
        <f aca="false">IF(A272="","",IF(D272="","请选择申报方式",IF(D272&lt;&gt;"未售-海外仓预退（HWC-YT）","不涉及核算",IF(Q272&lt;&gt;"","已核算",IF(J272="","待税务办结",IF(K272&lt;0,"已逾期：税务将追回预退税",IF(K272&lt;=60,"临近截止（60天内）","待核算")))))))</f>
        <v/>
      </c>
      <c r="T272" s="30" t="str">
        <f aca="false">IF(ISNUMBER(C272),DATE(YEAR(C272)+1,4,30),"")</f>
        <v/>
      </c>
      <c r="U272" s="43"/>
    </row>
    <row r="273" customFormat="false" ht="21.75" hidden="false" customHeight="true" outlineLevel="0" collapsed="false">
      <c r="A273" s="44"/>
      <c r="B273" s="36" t="str">
        <f aca="false">IF(A273="","",IFERROR(INDEX(①出口报关!$I$4:$I$303,MATCH(A273,①出口报关!$A$4:$A$303,0)),"编号不存在"))</f>
        <v/>
      </c>
      <c r="C273" s="30" t="str">
        <f aca="false">IF(A273="","",IFERROR(IF(INDEX(①出口报关!$D$4:$D$303,MATCH(A273,①出口报关!$A$4:$A$303,0))=0,"",INDEX(①出口报关!$D$4:$D$303,MATCH(A273,①出口报关!$A$4:$A$303,0))),"编号不存在"))</f>
        <v/>
      </c>
      <c r="D273" s="43"/>
      <c r="E273" s="45"/>
      <c r="F273" s="41"/>
      <c r="G273" s="48"/>
      <c r="H273" s="46"/>
      <c r="I273" s="41"/>
      <c r="J273" s="30" t="str">
        <f aca="false">IF(AND(D273="未售-海外仓预退（HWC-YT）",ISNUMBER(I273)),DATE(YEAR(I273)+1,4,30),"")</f>
        <v/>
      </c>
      <c r="K273" s="51" t="str">
        <f aca="true">IF(J273="","",IF(Q273&lt;&gt;"","",J273-TODAY()))</f>
        <v/>
      </c>
      <c r="L273" s="31" t="str">
        <f aca="false">IF(OR(A273="",D273&lt;&gt;"未售-海外仓预退（HWC-YT）"),"",MIN(N(E273),MAX(0,SUMIFS(②销售核销!$I$4:$I$603,②销售核销!$E$4:$E$603,A273)-SUMIFS($E$4:$E$303,$A$4:$A$303,A273,$D$4:$D$303,"已售-按现行规定申报"))))</f>
        <v/>
      </c>
      <c r="M273" s="34" t="str">
        <f aca="false">IF(OR(L273="",N(E273)=0,H273=""),"",ROUND(H273/E273*L273,2))</f>
        <v/>
      </c>
      <c r="N273" s="46"/>
      <c r="O273" s="34" t="str">
        <f aca="false">IF(OR(N273="",H273=""),"",ROUND(N273-H273,2))</f>
        <v/>
      </c>
      <c r="P273" s="36" t="str">
        <f aca="false">IF(OR(A273="",D273&lt;&gt;"未售-海外仓预退（HWC-YT）"),"",IF(L273=0,"仍未销售：需要调整申报，全额缴回预退税",IF(L273&lt;N(E273),"部分已售：需要调整申报，全额冲减后按已售部分重报",IF(N273="","全部已售：填入实际应退税额后判断",IF(O273=0,"全部已售、无差异：无需调整申报","全部已售、有差异：需要调整申报")))))</f>
        <v/>
      </c>
      <c r="Q273" s="41"/>
      <c r="R273" s="44"/>
      <c r="S273" s="36" t="str">
        <f aca="false">IF(A273="","",IF(D273="","请选择申报方式",IF(D273&lt;&gt;"未售-海外仓预退（HWC-YT）","不涉及核算",IF(Q273&lt;&gt;"","已核算",IF(J273="","待税务办结",IF(K273&lt;0,"已逾期：税务将追回预退税",IF(K273&lt;=60,"临近截止（60天内）","待核算")))))))</f>
        <v/>
      </c>
      <c r="T273" s="30" t="str">
        <f aca="false">IF(ISNUMBER(C273),DATE(YEAR(C273)+1,4,30),"")</f>
        <v/>
      </c>
      <c r="U273" s="43"/>
    </row>
    <row r="274" customFormat="false" ht="21.75" hidden="false" customHeight="true" outlineLevel="0" collapsed="false">
      <c r="A274" s="44"/>
      <c r="B274" s="36" t="str">
        <f aca="false">IF(A274="","",IFERROR(INDEX(①出口报关!$I$4:$I$303,MATCH(A274,①出口报关!$A$4:$A$303,0)),"编号不存在"))</f>
        <v/>
      </c>
      <c r="C274" s="30" t="str">
        <f aca="false">IF(A274="","",IFERROR(IF(INDEX(①出口报关!$D$4:$D$303,MATCH(A274,①出口报关!$A$4:$A$303,0))=0,"",INDEX(①出口报关!$D$4:$D$303,MATCH(A274,①出口报关!$A$4:$A$303,0))),"编号不存在"))</f>
        <v/>
      </c>
      <c r="D274" s="43"/>
      <c r="E274" s="45"/>
      <c r="F274" s="41"/>
      <c r="G274" s="48"/>
      <c r="H274" s="46"/>
      <c r="I274" s="41"/>
      <c r="J274" s="30" t="str">
        <f aca="false">IF(AND(D274="未售-海外仓预退（HWC-YT）",ISNUMBER(I274)),DATE(YEAR(I274)+1,4,30),"")</f>
        <v/>
      </c>
      <c r="K274" s="51" t="str">
        <f aca="true">IF(J274="","",IF(Q274&lt;&gt;"","",J274-TODAY()))</f>
        <v/>
      </c>
      <c r="L274" s="31" t="str">
        <f aca="false">IF(OR(A274="",D274&lt;&gt;"未售-海外仓预退（HWC-YT）"),"",MIN(N(E274),MAX(0,SUMIFS(②销售核销!$I$4:$I$603,②销售核销!$E$4:$E$603,A274)-SUMIFS($E$4:$E$303,$A$4:$A$303,A274,$D$4:$D$303,"已售-按现行规定申报"))))</f>
        <v/>
      </c>
      <c r="M274" s="34" t="str">
        <f aca="false">IF(OR(L274="",N(E274)=0,H274=""),"",ROUND(H274/E274*L274,2))</f>
        <v/>
      </c>
      <c r="N274" s="46"/>
      <c r="O274" s="34" t="str">
        <f aca="false">IF(OR(N274="",H274=""),"",ROUND(N274-H274,2))</f>
        <v/>
      </c>
      <c r="P274" s="36" t="str">
        <f aca="false">IF(OR(A274="",D274&lt;&gt;"未售-海外仓预退（HWC-YT）"),"",IF(L274=0,"仍未销售：需要调整申报，全额缴回预退税",IF(L274&lt;N(E274),"部分已售：需要调整申报，全额冲减后按已售部分重报",IF(N274="","全部已售：填入实际应退税额后判断",IF(O274=0,"全部已售、无差异：无需调整申报","全部已售、有差异：需要调整申报")))))</f>
        <v/>
      </c>
      <c r="Q274" s="41"/>
      <c r="R274" s="44"/>
      <c r="S274" s="36" t="str">
        <f aca="false">IF(A274="","",IF(D274="","请选择申报方式",IF(D274&lt;&gt;"未售-海外仓预退（HWC-YT）","不涉及核算",IF(Q274&lt;&gt;"","已核算",IF(J274="","待税务办结",IF(K274&lt;0,"已逾期：税务将追回预退税",IF(K274&lt;=60,"临近截止（60天内）","待核算")))))))</f>
        <v/>
      </c>
      <c r="T274" s="30" t="str">
        <f aca="false">IF(ISNUMBER(C274),DATE(YEAR(C274)+1,4,30),"")</f>
        <v/>
      </c>
      <c r="U274" s="43"/>
    </row>
    <row r="275" customFormat="false" ht="21.75" hidden="false" customHeight="true" outlineLevel="0" collapsed="false">
      <c r="A275" s="44"/>
      <c r="B275" s="36" t="str">
        <f aca="false">IF(A275="","",IFERROR(INDEX(①出口报关!$I$4:$I$303,MATCH(A275,①出口报关!$A$4:$A$303,0)),"编号不存在"))</f>
        <v/>
      </c>
      <c r="C275" s="30" t="str">
        <f aca="false">IF(A275="","",IFERROR(IF(INDEX(①出口报关!$D$4:$D$303,MATCH(A275,①出口报关!$A$4:$A$303,0))=0,"",INDEX(①出口报关!$D$4:$D$303,MATCH(A275,①出口报关!$A$4:$A$303,0))),"编号不存在"))</f>
        <v/>
      </c>
      <c r="D275" s="43"/>
      <c r="E275" s="45"/>
      <c r="F275" s="41"/>
      <c r="G275" s="48"/>
      <c r="H275" s="46"/>
      <c r="I275" s="41"/>
      <c r="J275" s="30" t="str">
        <f aca="false">IF(AND(D275="未售-海外仓预退（HWC-YT）",ISNUMBER(I275)),DATE(YEAR(I275)+1,4,30),"")</f>
        <v/>
      </c>
      <c r="K275" s="51" t="str">
        <f aca="true">IF(J275="","",IF(Q275&lt;&gt;"","",J275-TODAY()))</f>
        <v/>
      </c>
      <c r="L275" s="31" t="str">
        <f aca="false">IF(OR(A275="",D275&lt;&gt;"未售-海外仓预退（HWC-YT）"),"",MIN(N(E275),MAX(0,SUMIFS(②销售核销!$I$4:$I$603,②销售核销!$E$4:$E$603,A275)-SUMIFS($E$4:$E$303,$A$4:$A$303,A275,$D$4:$D$303,"已售-按现行规定申报"))))</f>
        <v/>
      </c>
      <c r="M275" s="34" t="str">
        <f aca="false">IF(OR(L275="",N(E275)=0,H275=""),"",ROUND(H275/E275*L275,2))</f>
        <v/>
      </c>
      <c r="N275" s="46"/>
      <c r="O275" s="34" t="str">
        <f aca="false">IF(OR(N275="",H275=""),"",ROUND(N275-H275,2))</f>
        <v/>
      </c>
      <c r="P275" s="36" t="str">
        <f aca="false">IF(OR(A275="",D275&lt;&gt;"未售-海外仓预退（HWC-YT）"),"",IF(L275=0,"仍未销售：需要调整申报，全额缴回预退税",IF(L275&lt;N(E275),"部分已售：需要调整申报，全额冲减后按已售部分重报",IF(N275="","全部已售：填入实际应退税额后判断",IF(O275=0,"全部已售、无差异：无需调整申报","全部已售、有差异：需要调整申报")))))</f>
        <v/>
      </c>
      <c r="Q275" s="41"/>
      <c r="R275" s="44"/>
      <c r="S275" s="36" t="str">
        <f aca="false">IF(A275="","",IF(D275="","请选择申报方式",IF(D275&lt;&gt;"未售-海外仓预退（HWC-YT）","不涉及核算",IF(Q275&lt;&gt;"","已核算",IF(J275="","待税务办结",IF(K275&lt;0,"已逾期：税务将追回预退税",IF(K275&lt;=60,"临近截止（60天内）","待核算")))))))</f>
        <v/>
      </c>
      <c r="T275" s="30" t="str">
        <f aca="false">IF(ISNUMBER(C275),DATE(YEAR(C275)+1,4,30),"")</f>
        <v/>
      </c>
      <c r="U275" s="43"/>
    </row>
    <row r="276" customFormat="false" ht="21.75" hidden="false" customHeight="true" outlineLevel="0" collapsed="false">
      <c r="A276" s="44"/>
      <c r="B276" s="36" t="str">
        <f aca="false">IF(A276="","",IFERROR(INDEX(①出口报关!$I$4:$I$303,MATCH(A276,①出口报关!$A$4:$A$303,0)),"编号不存在"))</f>
        <v/>
      </c>
      <c r="C276" s="30" t="str">
        <f aca="false">IF(A276="","",IFERROR(IF(INDEX(①出口报关!$D$4:$D$303,MATCH(A276,①出口报关!$A$4:$A$303,0))=0,"",INDEX(①出口报关!$D$4:$D$303,MATCH(A276,①出口报关!$A$4:$A$303,0))),"编号不存在"))</f>
        <v/>
      </c>
      <c r="D276" s="43"/>
      <c r="E276" s="45"/>
      <c r="F276" s="41"/>
      <c r="G276" s="48"/>
      <c r="H276" s="46"/>
      <c r="I276" s="41"/>
      <c r="J276" s="30" t="str">
        <f aca="false">IF(AND(D276="未售-海外仓预退（HWC-YT）",ISNUMBER(I276)),DATE(YEAR(I276)+1,4,30),"")</f>
        <v/>
      </c>
      <c r="K276" s="51" t="str">
        <f aca="true">IF(J276="","",IF(Q276&lt;&gt;"","",J276-TODAY()))</f>
        <v/>
      </c>
      <c r="L276" s="31" t="str">
        <f aca="false">IF(OR(A276="",D276&lt;&gt;"未售-海外仓预退（HWC-YT）"),"",MIN(N(E276),MAX(0,SUMIFS(②销售核销!$I$4:$I$603,②销售核销!$E$4:$E$603,A276)-SUMIFS($E$4:$E$303,$A$4:$A$303,A276,$D$4:$D$303,"已售-按现行规定申报"))))</f>
        <v/>
      </c>
      <c r="M276" s="34" t="str">
        <f aca="false">IF(OR(L276="",N(E276)=0,H276=""),"",ROUND(H276/E276*L276,2))</f>
        <v/>
      </c>
      <c r="N276" s="46"/>
      <c r="O276" s="34" t="str">
        <f aca="false">IF(OR(N276="",H276=""),"",ROUND(N276-H276,2))</f>
        <v/>
      </c>
      <c r="P276" s="36" t="str">
        <f aca="false">IF(OR(A276="",D276&lt;&gt;"未售-海外仓预退（HWC-YT）"),"",IF(L276=0,"仍未销售：需要调整申报，全额缴回预退税",IF(L276&lt;N(E276),"部分已售：需要调整申报，全额冲减后按已售部分重报",IF(N276="","全部已售：填入实际应退税额后判断",IF(O276=0,"全部已售、无差异：无需调整申报","全部已售、有差异：需要调整申报")))))</f>
        <v/>
      </c>
      <c r="Q276" s="41"/>
      <c r="R276" s="44"/>
      <c r="S276" s="36" t="str">
        <f aca="false">IF(A276="","",IF(D276="","请选择申报方式",IF(D276&lt;&gt;"未售-海外仓预退（HWC-YT）","不涉及核算",IF(Q276&lt;&gt;"","已核算",IF(J276="","待税务办结",IF(K276&lt;0,"已逾期：税务将追回预退税",IF(K276&lt;=60,"临近截止（60天内）","待核算")))))))</f>
        <v/>
      </c>
      <c r="T276" s="30" t="str">
        <f aca="false">IF(ISNUMBER(C276),DATE(YEAR(C276)+1,4,30),"")</f>
        <v/>
      </c>
      <c r="U276" s="43"/>
    </row>
    <row r="277" customFormat="false" ht="21.75" hidden="false" customHeight="true" outlineLevel="0" collapsed="false">
      <c r="A277" s="44"/>
      <c r="B277" s="36" t="str">
        <f aca="false">IF(A277="","",IFERROR(INDEX(①出口报关!$I$4:$I$303,MATCH(A277,①出口报关!$A$4:$A$303,0)),"编号不存在"))</f>
        <v/>
      </c>
      <c r="C277" s="30" t="str">
        <f aca="false">IF(A277="","",IFERROR(IF(INDEX(①出口报关!$D$4:$D$303,MATCH(A277,①出口报关!$A$4:$A$303,0))=0,"",INDEX(①出口报关!$D$4:$D$303,MATCH(A277,①出口报关!$A$4:$A$303,0))),"编号不存在"))</f>
        <v/>
      </c>
      <c r="D277" s="43"/>
      <c r="E277" s="45"/>
      <c r="F277" s="41"/>
      <c r="G277" s="48"/>
      <c r="H277" s="46"/>
      <c r="I277" s="41"/>
      <c r="J277" s="30" t="str">
        <f aca="false">IF(AND(D277="未售-海外仓预退（HWC-YT）",ISNUMBER(I277)),DATE(YEAR(I277)+1,4,30),"")</f>
        <v/>
      </c>
      <c r="K277" s="51" t="str">
        <f aca="true">IF(J277="","",IF(Q277&lt;&gt;"","",J277-TODAY()))</f>
        <v/>
      </c>
      <c r="L277" s="31" t="str">
        <f aca="false">IF(OR(A277="",D277&lt;&gt;"未售-海外仓预退（HWC-YT）"),"",MIN(N(E277),MAX(0,SUMIFS(②销售核销!$I$4:$I$603,②销售核销!$E$4:$E$603,A277)-SUMIFS($E$4:$E$303,$A$4:$A$303,A277,$D$4:$D$303,"已售-按现行规定申报"))))</f>
        <v/>
      </c>
      <c r="M277" s="34" t="str">
        <f aca="false">IF(OR(L277="",N(E277)=0,H277=""),"",ROUND(H277/E277*L277,2))</f>
        <v/>
      </c>
      <c r="N277" s="46"/>
      <c r="O277" s="34" t="str">
        <f aca="false">IF(OR(N277="",H277=""),"",ROUND(N277-H277,2))</f>
        <v/>
      </c>
      <c r="P277" s="36" t="str">
        <f aca="false">IF(OR(A277="",D277&lt;&gt;"未售-海外仓预退（HWC-YT）"),"",IF(L277=0,"仍未销售：需要调整申报，全额缴回预退税",IF(L277&lt;N(E277),"部分已售：需要调整申报，全额冲减后按已售部分重报",IF(N277="","全部已售：填入实际应退税额后判断",IF(O277=0,"全部已售、无差异：无需调整申报","全部已售、有差异：需要调整申报")))))</f>
        <v/>
      </c>
      <c r="Q277" s="41"/>
      <c r="R277" s="44"/>
      <c r="S277" s="36" t="str">
        <f aca="false">IF(A277="","",IF(D277="","请选择申报方式",IF(D277&lt;&gt;"未售-海外仓预退（HWC-YT）","不涉及核算",IF(Q277&lt;&gt;"","已核算",IF(J277="","待税务办结",IF(K277&lt;0,"已逾期：税务将追回预退税",IF(K277&lt;=60,"临近截止（60天内）","待核算")))))))</f>
        <v/>
      </c>
      <c r="T277" s="30" t="str">
        <f aca="false">IF(ISNUMBER(C277),DATE(YEAR(C277)+1,4,30),"")</f>
        <v/>
      </c>
      <c r="U277" s="43"/>
    </row>
    <row r="278" customFormat="false" ht="21.75" hidden="false" customHeight="true" outlineLevel="0" collapsed="false">
      <c r="A278" s="44"/>
      <c r="B278" s="36" t="str">
        <f aca="false">IF(A278="","",IFERROR(INDEX(①出口报关!$I$4:$I$303,MATCH(A278,①出口报关!$A$4:$A$303,0)),"编号不存在"))</f>
        <v/>
      </c>
      <c r="C278" s="30" t="str">
        <f aca="false">IF(A278="","",IFERROR(IF(INDEX(①出口报关!$D$4:$D$303,MATCH(A278,①出口报关!$A$4:$A$303,0))=0,"",INDEX(①出口报关!$D$4:$D$303,MATCH(A278,①出口报关!$A$4:$A$303,0))),"编号不存在"))</f>
        <v/>
      </c>
      <c r="D278" s="43"/>
      <c r="E278" s="45"/>
      <c r="F278" s="41"/>
      <c r="G278" s="48"/>
      <c r="H278" s="46"/>
      <c r="I278" s="41"/>
      <c r="J278" s="30" t="str">
        <f aca="false">IF(AND(D278="未售-海外仓预退（HWC-YT）",ISNUMBER(I278)),DATE(YEAR(I278)+1,4,30),"")</f>
        <v/>
      </c>
      <c r="K278" s="51" t="str">
        <f aca="true">IF(J278="","",IF(Q278&lt;&gt;"","",J278-TODAY()))</f>
        <v/>
      </c>
      <c r="L278" s="31" t="str">
        <f aca="false">IF(OR(A278="",D278&lt;&gt;"未售-海外仓预退（HWC-YT）"),"",MIN(N(E278),MAX(0,SUMIFS(②销售核销!$I$4:$I$603,②销售核销!$E$4:$E$603,A278)-SUMIFS($E$4:$E$303,$A$4:$A$303,A278,$D$4:$D$303,"已售-按现行规定申报"))))</f>
        <v/>
      </c>
      <c r="M278" s="34" t="str">
        <f aca="false">IF(OR(L278="",N(E278)=0,H278=""),"",ROUND(H278/E278*L278,2))</f>
        <v/>
      </c>
      <c r="N278" s="46"/>
      <c r="O278" s="34" t="str">
        <f aca="false">IF(OR(N278="",H278=""),"",ROUND(N278-H278,2))</f>
        <v/>
      </c>
      <c r="P278" s="36" t="str">
        <f aca="false">IF(OR(A278="",D278&lt;&gt;"未售-海外仓预退（HWC-YT）"),"",IF(L278=0,"仍未销售：需要调整申报，全额缴回预退税",IF(L278&lt;N(E278),"部分已售：需要调整申报，全额冲减后按已售部分重报",IF(N278="","全部已售：填入实际应退税额后判断",IF(O278=0,"全部已售、无差异：无需调整申报","全部已售、有差异：需要调整申报")))))</f>
        <v/>
      </c>
      <c r="Q278" s="41"/>
      <c r="R278" s="44"/>
      <c r="S278" s="36" t="str">
        <f aca="false">IF(A278="","",IF(D278="","请选择申报方式",IF(D278&lt;&gt;"未售-海外仓预退（HWC-YT）","不涉及核算",IF(Q278&lt;&gt;"","已核算",IF(J278="","待税务办结",IF(K278&lt;0,"已逾期：税务将追回预退税",IF(K278&lt;=60,"临近截止（60天内）","待核算")))))))</f>
        <v/>
      </c>
      <c r="T278" s="30" t="str">
        <f aca="false">IF(ISNUMBER(C278),DATE(YEAR(C278)+1,4,30),"")</f>
        <v/>
      </c>
      <c r="U278" s="43"/>
    </row>
    <row r="279" customFormat="false" ht="21.75" hidden="false" customHeight="true" outlineLevel="0" collapsed="false">
      <c r="A279" s="44"/>
      <c r="B279" s="36" t="str">
        <f aca="false">IF(A279="","",IFERROR(INDEX(①出口报关!$I$4:$I$303,MATCH(A279,①出口报关!$A$4:$A$303,0)),"编号不存在"))</f>
        <v/>
      </c>
      <c r="C279" s="30" t="str">
        <f aca="false">IF(A279="","",IFERROR(IF(INDEX(①出口报关!$D$4:$D$303,MATCH(A279,①出口报关!$A$4:$A$303,0))=0,"",INDEX(①出口报关!$D$4:$D$303,MATCH(A279,①出口报关!$A$4:$A$303,0))),"编号不存在"))</f>
        <v/>
      </c>
      <c r="D279" s="43"/>
      <c r="E279" s="45"/>
      <c r="F279" s="41"/>
      <c r="G279" s="48"/>
      <c r="H279" s="46"/>
      <c r="I279" s="41"/>
      <c r="J279" s="30" t="str">
        <f aca="false">IF(AND(D279="未售-海外仓预退（HWC-YT）",ISNUMBER(I279)),DATE(YEAR(I279)+1,4,30),"")</f>
        <v/>
      </c>
      <c r="K279" s="51" t="str">
        <f aca="true">IF(J279="","",IF(Q279&lt;&gt;"","",J279-TODAY()))</f>
        <v/>
      </c>
      <c r="L279" s="31" t="str">
        <f aca="false">IF(OR(A279="",D279&lt;&gt;"未售-海外仓预退（HWC-YT）"),"",MIN(N(E279),MAX(0,SUMIFS(②销售核销!$I$4:$I$603,②销售核销!$E$4:$E$603,A279)-SUMIFS($E$4:$E$303,$A$4:$A$303,A279,$D$4:$D$303,"已售-按现行规定申报"))))</f>
        <v/>
      </c>
      <c r="M279" s="34" t="str">
        <f aca="false">IF(OR(L279="",N(E279)=0,H279=""),"",ROUND(H279/E279*L279,2))</f>
        <v/>
      </c>
      <c r="N279" s="46"/>
      <c r="O279" s="34" t="str">
        <f aca="false">IF(OR(N279="",H279=""),"",ROUND(N279-H279,2))</f>
        <v/>
      </c>
      <c r="P279" s="36" t="str">
        <f aca="false">IF(OR(A279="",D279&lt;&gt;"未售-海外仓预退（HWC-YT）"),"",IF(L279=0,"仍未销售：需要调整申报，全额缴回预退税",IF(L279&lt;N(E279),"部分已售：需要调整申报，全额冲减后按已售部分重报",IF(N279="","全部已售：填入实际应退税额后判断",IF(O279=0,"全部已售、无差异：无需调整申报","全部已售、有差异：需要调整申报")))))</f>
        <v/>
      </c>
      <c r="Q279" s="41"/>
      <c r="R279" s="44"/>
      <c r="S279" s="36" t="str">
        <f aca="false">IF(A279="","",IF(D279="","请选择申报方式",IF(D279&lt;&gt;"未售-海外仓预退（HWC-YT）","不涉及核算",IF(Q279&lt;&gt;"","已核算",IF(J279="","待税务办结",IF(K279&lt;0,"已逾期：税务将追回预退税",IF(K279&lt;=60,"临近截止（60天内）","待核算")))))))</f>
        <v/>
      </c>
      <c r="T279" s="30" t="str">
        <f aca="false">IF(ISNUMBER(C279),DATE(YEAR(C279)+1,4,30),"")</f>
        <v/>
      </c>
      <c r="U279" s="43"/>
    </row>
    <row r="280" customFormat="false" ht="21.75" hidden="false" customHeight="true" outlineLevel="0" collapsed="false">
      <c r="A280" s="44"/>
      <c r="B280" s="36" t="str">
        <f aca="false">IF(A280="","",IFERROR(INDEX(①出口报关!$I$4:$I$303,MATCH(A280,①出口报关!$A$4:$A$303,0)),"编号不存在"))</f>
        <v/>
      </c>
      <c r="C280" s="30" t="str">
        <f aca="false">IF(A280="","",IFERROR(IF(INDEX(①出口报关!$D$4:$D$303,MATCH(A280,①出口报关!$A$4:$A$303,0))=0,"",INDEX(①出口报关!$D$4:$D$303,MATCH(A280,①出口报关!$A$4:$A$303,0))),"编号不存在"))</f>
        <v/>
      </c>
      <c r="D280" s="43"/>
      <c r="E280" s="45"/>
      <c r="F280" s="41"/>
      <c r="G280" s="48"/>
      <c r="H280" s="46"/>
      <c r="I280" s="41"/>
      <c r="J280" s="30" t="str">
        <f aca="false">IF(AND(D280="未售-海外仓预退（HWC-YT）",ISNUMBER(I280)),DATE(YEAR(I280)+1,4,30),"")</f>
        <v/>
      </c>
      <c r="K280" s="51" t="str">
        <f aca="true">IF(J280="","",IF(Q280&lt;&gt;"","",J280-TODAY()))</f>
        <v/>
      </c>
      <c r="L280" s="31" t="str">
        <f aca="false">IF(OR(A280="",D280&lt;&gt;"未售-海外仓预退（HWC-YT）"),"",MIN(N(E280),MAX(0,SUMIFS(②销售核销!$I$4:$I$603,②销售核销!$E$4:$E$603,A280)-SUMIFS($E$4:$E$303,$A$4:$A$303,A280,$D$4:$D$303,"已售-按现行规定申报"))))</f>
        <v/>
      </c>
      <c r="M280" s="34" t="str">
        <f aca="false">IF(OR(L280="",N(E280)=0,H280=""),"",ROUND(H280/E280*L280,2))</f>
        <v/>
      </c>
      <c r="N280" s="46"/>
      <c r="O280" s="34" t="str">
        <f aca="false">IF(OR(N280="",H280=""),"",ROUND(N280-H280,2))</f>
        <v/>
      </c>
      <c r="P280" s="36" t="str">
        <f aca="false">IF(OR(A280="",D280&lt;&gt;"未售-海外仓预退（HWC-YT）"),"",IF(L280=0,"仍未销售：需要调整申报，全额缴回预退税",IF(L280&lt;N(E280),"部分已售：需要调整申报，全额冲减后按已售部分重报",IF(N280="","全部已售：填入实际应退税额后判断",IF(O280=0,"全部已售、无差异：无需调整申报","全部已售、有差异：需要调整申报")))))</f>
        <v/>
      </c>
      <c r="Q280" s="41"/>
      <c r="R280" s="44"/>
      <c r="S280" s="36" t="str">
        <f aca="false">IF(A280="","",IF(D280="","请选择申报方式",IF(D280&lt;&gt;"未售-海外仓预退（HWC-YT）","不涉及核算",IF(Q280&lt;&gt;"","已核算",IF(J280="","待税务办结",IF(K280&lt;0,"已逾期：税务将追回预退税",IF(K280&lt;=60,"临近截止（60天内）","待核算")))))))</f>
        <v/>
      </c>
      <c r="T280" s="30" t="str">
        <f aca="false">IF(ISNUMBER(C280),DATE(YEAR(C280)+1,4,30),"")</f>
        <v/>
      </c>
      <c r="U280" s="43"/>
    </row>
    <row r="281" customFormat="false" ht="21.75" hidden="false" customHeight="true" outlineLevel="0" collapsed="false">
      <c r="A281" s="44"/>
      <c r="B281" s="36" t="str">
        <f aca="false">IF(A281="","",IFERROR(INDEX(①出口报关!$I$4:$I$303,MATCH(A281,①出口报关!$A$4:$A$303,0)),"编号不存在"))</f>
        <v/>
      </c>
      <c r="C281" s="30" t="str">
        <f aca="false">IF(A281="","",IFERROR(IF(INDEX(①出口报关!$D$4:$D$303,MATCH(A281,①出口报关!$A$4:$A$303,0))=0,"",INDEX(①出口报关!$D$4:$D$303,MATCH(A281,①出口报关!$A$4:$A$303,0))),"编号不存在"))</f>
        <v/>
      </c>
      <c r="D281" s="43"/>
      <c r="E281" s="45"/>
      <c r="F281" s="41"/>
      <c r="G281" s="48"/>
      <c r="H281" s="46"/>
      <c r="I281" s="41"/>
      <c r="J281" s="30" t="str">
        <f aca="false">IF(AND(D281="未售-海外仓预退（HWC-YT）",ISNUMBER(I281)),DATE(YEAR(I281)+1,4,30),"")</f>
        <v/>
      </c>
      <c r="K281" s="51" t="str">
        <f aca="true">IF(J281="","",IF(Q281&lt;&gt;"","",J281-TODAY()))</f>
        <v/>
      </c>
      <c r="L281" s="31" t="str">
        <f aca="false">IF(OR(A281="",D281&lt;&gt;"未售-海外仓预退（HWC-YT）"),"",MIN(N(E281),MAX(0,SUMIFS(②销售核销!$I$4:$I$603,②销售核销!$E$4:$E$603,A281)-SUMIFS($E$4:$E$303,$A$4:$A$303,A281,$D$4:$D$303,"已售-按现行规定申报"))))</f>
        <v/>
      </c>
      <c r="M281" s="34" t="str">
        <f aca="false">IF(OR(L281="",N(E281)=0,H281=""),"",ROUND(H281/E281*L281,2))</f>
        <v/>
      </c>
      <c r="N281" s="46"/>
      <c r="O281" s="34" t="str">
        <f aca="false">IF(OR(N281="",H281=""),"",ROUND(N281-H281,2))</f>
        <v/>
      </c>
      <c r="P281" s="36" t="str">
        <f aca="false">IF(OR(A281="",D281&lt;&gt;"未售-海外仓预退（HWC-YT）"),"",IF(L281=0,"仍未销售：需要调整申报，全额缴回预退税",IF(L281&lt;N(E281),"部分已售：需要调整申报，全额冲减后按已售部分重报",IF(N281="","全部已售：填入实际应退税额后判断",IF(O281=0,"全部已售、无差异：无需调整申报","全部已售、有差异：需要调整申报")))))</f>
        <v/>
      </c>
      <c r="Q281" s="41"/>
      <c r="R281" s="44"/>
      <c r="S281" s="36" t="str">
        <f aca="false">IF(A281="","",IF(D281="","请选择申报方式",IF(D281&lt;&gt;"未售-海外仓预退（HWC-YT）","不涉及核算",IF(Q281&lt;&gt;"","已核算",IF(J281="","待税务办结",IF(K281&lt;0,"已逾期：税务将追回预退税",IF(K281&lt;=60,"临近截止（60天内）","待核算")))))))</f>
        <v/>
      </c>
      <c r="T281" s="30" t="str">
        <f aca="false">IF(ISNUMBER(C281),DATE(YEAR(C281)+1,4,30),"")</f>
        <v/>
      </c>
      <c r="U281" s="43"/>
    </row>
    <row r="282" customFormat="false" ht="21.75" hidden="false" customHeight="true" outlineLevel="0" collapsed="false">
      <c r="A282" s="44"/>
      <c r="B282" s="36" t="str">
        <f aca="false">IF(A282="","",IFERROR(INDEX(①出口报关!$I$4:$I$303,MATCH(A282,①出口报关!$A$4:$A$303,0)),"编号不存在"))</f>
        <v/>
      </c>
      <c r="C282" s="30" t="str">
        <f aca="false">IF(A282="","",IFERROR(IF(INDEX(①出口报关!$D$4:$D$303,MATCH(A282,①出口报关!$A$4:$A$303,0))=0,"",INDEX(①出口报关!$D$4:$D$303,MATCH(A282,①出口报关!$A$4:$A$303,0))),"编号不存在"))</f>
        <v/>
      </c>
      <c r="D282" s="43"/>
      <c r="E282" s="45"/>
      <c r="F282" s="41"/>
      <c r="G282" s="48"/>
      <c r="H282" s="46"/>
      <c r="I282" s="41"/>
      <c r="J282" s="30" t="str">
        <f aca="false">IF(AND(D282="未售-海外仓预退（HWC-YT）",ISNUMBER(I282)),DATE(YEAR(I282)+1,4,30),"")</f>
        <v/>
      </c>
      <c r="K282" s="51" t="str">
        <f aca="true">IF(J282="","",IF(Q282&lt;&gt;"","",J282-TODAY()))</f>
        <v/>
      </c>
      <c r="L282" s="31" t="str">
        <f aca="false">IF(OR(A282="",D282&lt;&gt;"未售-海外仓预退（HWC-YT）"),"",MIN(N(E282),MAX(0,SUMIFS(②销售核销!$I$4:$I$603,②销售核销!$E$4:$E$603,A282)-SUMIFS($E$4:$E$303,$A$4:$A$303,A282,$D$4:$D$303,"已售-按现行规定申报"))))</f>
        <v/>
      </c>
      <c r="M282" s="34" t="str">
        <f aca="false">IF(OR(L282="",N(E282)=0,H282=""),"",ROUND(H282/E282*L282,2))</f>
        <v/>
      </c>
      <c r="N282" s="46"/>
      <c r="O282" s="34" t="str">
        <f aca="false">IF(OR(N282="",H282=""),"",ROUND(N282-H282,2))</f>
        <v/>
      </c>
      <c r="P282" s="36" t="str">
        <f aca="false">IF(OR(A282="",D282&lt;&gt;"未售-海外仓预退（HWC-YT）"),"",IF(L282=0,"仍未销售：需要调整申报，全额缴回预退税",IF(L282&lt;N(E282),"部分已售：需要调整申报，全额冲减后按已售部分重报",IF(N282="","全部已售：填入实际应退税额后判断",IF(O282=0,"全部已售、无差异：无需调整申报","全部已售、有差异：需要调整申报")))))</f>
        <v/>
      </c>
      <c r="Q282" s="41"/>
      <c r="R282" s="44"/>
      <c r="S282" s="36" t="str">
        <f aca="false">IF(A282="","",IF(D282="","请选择申报方式",IF(D282&lt;&gt;"未售-海外仓预退（HWC-YT）","不涉及核算",IF(Q282&lt;&gt;"","已核算",IF(J282="","待税务办结",IF(K282&lt;0,"已逾期：税务将追回预退税",IF(K282&lt;=60,"临近截止（60天内）","待核算")))))))</f>
        <v/>
      </c>
      <c r="T282" s="30" t="str">
        <f aca="false">IF(ISNUMBER(C282),DATE(YEAR(C282)+1,4,30),"")</f>
        <v/>
      </c>
      <c r="U282" s="43"/>
    </row>
    <row r="283" customFormat="false" ht="21.75" hidden="false" customHeight="true" outlineLevel="0" collapsed="false">
      <c r="A283" s="44"/>
      <c r="B283" s="36" t="str">
        <f aca="false">IF(A283="","",IFERROR(INDEX(①出口报关!$I$4:$I$303,MATCH(A283,①出口报关!$A$4:$A$303,0)),"编号不存在"))</f>
        <v/>
      </c>
      <c r="C283" s="30" t="str">
        <f aca="false">IF(A283="","",IFERROR(IF(INDEX(①出口报关!$D$4:$D$303,MATCH(A283,①出口报关!$A$4:$A$303,0))=0,"",INDEX(①出口报关!$D$4:$D$303,MATCH(A283,①出口报关!$A$4:$A$303,0))),"编号不存在"))</f>
        <v/>
      </c>
      <c r="D283" s="43"/>
      <c r="E283" s="45"/>
      <c r="F283" s="41"/>
      <c r="G283" s="48"/>
      <c r="H283" s="46"/>
      <c r="I283" s="41"/>
      <c r="J283" s="30" t="str">
        <f aca="false">IF(AND(D283="未售-海外仓预退（HWC-YT）",ISNUMBER(I283)),DATE(YEAR(I283)+1,4,30),"")</f>
        <v/>
      </c>
      <c r="K283" s="51" t="str">
        <f aca="true">IF(J283="","",IF(Q283&lt;&gt;"","",J283-TODAY()))</f>
        <v/>
      </c>
      <c r="L283" s="31" t="str">
        <f aca="false">IF(OR(A283="",D283&lt;&gt;"未售-海外仓预退（HWC-YT）"),"",MIN(N(E283),MAX(0,SUMIFS(②销售核销!$I$4:$I$603,②销售核销!$E$4:$E$603,A283)-SUMIFS($E$4:$E$303,$A$4:$A$303,A283,$D$4:$D$303,"已售-按现行规定申报"))))</f>
        <v/>
      </c>
      <c r="M283" s="34" t="str">
        <f aca="false">IF(OR(L283="",N(E283)=0,H283=""),"",ROUND(H283/E283*L283,2))</f>
        <v/>
      </c>
      <c r="N283" s="46"/>
      <c r="O283" s="34" t="str">
        <f aca="false">IF(OR(N283="",H283=""),"",ROUND(N283-H283,2))</f>
        <v/>
      </c>
      <c r="P283" s="36" t="str">
        <f aca="false">IF(OR(A283="",D283&lt;&gt;"未售-海外仓预退（HWC-YT）"),"",IF(L283=0,"仍未销售：需要调整申报，全额缴回预退税",IF(L283&lt;N(E283),"部分已售：需要调整申报，全额冲减后按已售部分重报",IF(N283="","全部已售：填入实际应退税额后判断",IF(O283=0,"全部已售、无差异：无需调整申报","全部已售、有差异：需要调整申报")))))</f>
        <v/>
      </c>
      <c r="Q283" s="41"/>
      <c r="R283" s="44"/>
      <c r="S283" s="36" t="str">
        <f aca="false">IF(A283="","",IF(D283="","请选择申报方式",IF(D283&lt;&gt;"未售-海外仓预退（HWC-YT）","不涉及核算",IF(Q283&lt;&gt;"","已核算",IF(J283="","待税务办结",IF(K283&lt;0,"已逾期：税务将追回预退税",IF(K283&lt;=60,"临近截止（60天内）","待核算")))))))</f>
        <v/>
      </c>
      <c r="T283" s="30" t="str">
        <f aca="false">IF(ISNUMBER(C283),DATE(YEAR(C283)+1,4,30),"")</f>
        <v/>
      </c>
      <c r="U283" s="43"/>
    </row>
    <row r="284" customFormat="false" ht="21.75" hidden="false" customHeight="true" outlineLevel="0" collapsed="false">
      <c r="A284" s="44"/>
      <c r="B284" s="36" t="str">
        <f aca="false">IF(A284="","",IFERROR(INDEX(①出口报关!$I$4:$I$303,MATCH(A284,①出口报关!$A$4:$A$303,0)),"编号不存在"))</f>
        <v/>
      </c>
      <c r="C284" s="30" t="str">
        <f aca="false">IF(A284="","",IFERROR(IF(INDEX(①出口报关!$D$4:$D$303,MATCH(A284,①出口报关!$A$4:$A$303,0))=0,"",INDEX(①出口报关!$D$4:$D$303,MATCH(A284,①出口报关!$A$4:$A$303,0))),"编号不存在"))</f>
        <v/>
      </c>
      <c r="D284" s="43"/>
      <c r="E284" s="45"/>
      <c r="F284" s="41"/>
      <c r="G284" s="48"/>
      <c r="H284" s="46"/>
      <c r="I284" s="41"/>
      <c r="J284" s="30" t="str">
        <f aca="false">IF(AND(D284="未售-海外仓预退（HWC-YT）",ISNUMBER(I284)),DATE(YEAR(I284)+1,4,30),"")</f>
        <v/>
      </c>
      <c r="K284" s="51" t="str">
        <f aca="true">IF(J284="","",IF(Q284&lt;&gt;"","",J284-TODAY()))</f>
        <v/>
      </c>
      <c r="L284" s="31" t="str">
        <f aca="false">IF(OR(A284="",D284&lt;&gt;"未售-海外仓预退（HWC-YT）"),"",MIN(N(E284),MAX(0,SUMIFS(②销售核销!$I$4:$I$603,②销售核销!$E$4:$E$603,A284)-SUMIFS($E$4:$E$303,$A$4:$A$303,A284,$D$4:$D$303,"已售-按现行规定申报"))))</f>
        <v/>
      </c>
      <c r="M284" s="34" t="str">
        <f aca="false">IF(OR(L284="",N(E284)=0,H284=""),"",ROUND(H284/E284*L284,2))</f>
        <v/>
      </c>
      <c r="N284" s="46"/>
      <c r="O284" s="34" t="str">
        <f aca="false">IF(OR(N284="",H284=""),"",ROUND(N284-H284,2))</f>
        <v/>
      </c>
      <c r="P284" s="36" t="str">
        <f aca="false">IF(OR(A284="",D284&lt;&gt;"未售-海外仓预退（HWC-YT）"),"",IF(L284=0,"仍未销售：需要调整申报，全额缴回预退税",IF(L284&lt;N(E284),"部分已售：需要调整申报，全额冲减后按已售部分重报",IF(N284="","全部已售：填入实际应退税额后判断",IF(O284=0,"全部已售、无差异：无需调整申报","全部已售、有差异：需要调整申报")))))</f>
        <v/>
      </c>
      <c r="Q284" s="41"/>
      <c r="R284" s="44"/>
      <c r="S284" s="36" t="str">
        <f aca="false">IF(A284="","",IF(D284="","请选择申报方式",IF(D284&lt;&gt;"未售-海外仓预退（HWC-YT）","不涉及核算",IF(Q284&lt;&gt;"","已核算",IF(J284="","待税务办结",IF(K284&lt;0,"已逾期：税务将追回预退税",IF(K284&lt;=60,"临近截止（60天内）","待核算")))))))</f>
        <v/>
      </c>
      <c r="T284" s="30" t="str">
        <f aca="false">IF(ISNUMBER(C284),DATE(YEAR(C284)+1,4,30),"")</f>
        <v/>
      </c>
      <c r="U284" s="43"/>
    </row>
    <row r="285" customFormat="false" ht="21.75" hidden="false" customHeight="true" outlineLevel="0" collapsed="false">
      <c r="A285" s="44"/>
      <c r="B285" s="36" t="str">
        <f aca="false">IF(A285="","",IFERROR(INDEX(①出口报关!$I$4:$I$303,MATCH(A285,①出口报关!$A$4:$A$303,0)),"编号不存在"))</f>
        <v/>
      </c>
      <c r="C285" s="30" t="str">
        <f aca="false">IF(A285="","",IFERROR(IF(INDEX(①出口报关!$D$4:$D$303,MATCH(A285,①出口报关!$A$4:$A$303,0))=0,"",INDEX(①出口报关!$D$4:$D$303,MATCH(A285,①出口报关!$A$4:$A$303,0))),"编号不存在"))</f>
        <v/>
      </c>
      <c r="D285" s="43"/>
      <c r="E285" s="45"/>
      <c r="F285" s="41"/>
      <c r="G285" s="48"/>
      <c r="H285" s="46"/>
      <c r="I285" s="41"/>
      <c r="J285" s="30" t="str">
        <f aca="false">IF(AND(D285="未售-海外仓预退（HWC-YT）",ISNUMBER(I285)),DATE(YEAR(I285)+1,4,30),"")</f>
        <v/>
      </c>
      <c r="K285" s="51" t="str">
        <f aca="true">IF(J285="","",IF(Q285&lt;&gt;"","",J285-TODAY()))</f>
        <v/>
      </c>
      <c r="L285" s="31" t="str">
        <f aca="false">IF(OR(A285="",D285&lt;&gt;"未售-海外仓预退（HWC-YT）"),"",MIN(N(E285),MAX(0,SUMIFS(②销售核销!$I$4:$I$603,②销售核销!$E$4:$E$603,A285)-SUMIFS($E$4:$E$303,$A$4:$A$303,A285,$D$4:$D$303,"已售-按现行规定申报"))))</f>
        <v/>
      </c>
      <c r="M285" s="34" t="str">
        <f aca="false">IF(OR(L285="",N(E285)=0,H285=""),"",ROUND(H285/E285*L285,2))</f>
        <v/>
      </c>
      <c r="N285" s="46"/>
      <c r="O285" s="34" t="str">
        <f aca="false">IF(OR(N285="",H285=""),"",ROUND(N285-H285,2))</f>
        <v/>
      </c>
      <c r="P285" s="36" t="str">
        <f aca="false">IF(OR(A285="",D285&lt;&gt;"未售-海外仓预退（HWC-YT）"),"",IF(L285=0,"仍未销售：需要调整申报，全额缴回预退税",IF(L285&lt;N(E285),"部分已售：需要调整申报，全额冲减后按已售部分重报",IF(N285="","全部已售：填入实际应退税额后判断",IF(O285=0,"全部已售、无差异：无需调整申报","全部已售、有差异：需要调整申报")))))</f>
        <v/>
      </c>
      <c r="Q285" s="41"/>
      <c r="R285" s="44"/>
      <c r="S285" s="36" t="str">
        <f aca="false">IF(A285="","",IF(D285="","请选择申报方式",IF(D285&lt;&gt;"未售-海外仓预退（HWC-YT）","不涉及核算",IF(Q285&lt;&gt;"","已核算",IF(J285="","待税务办结",IF(K285&lt;0,"已逾期：税务将追回预退税",IF(K285&lt;=60,"临近截止（60天内）","待核算")))))))</f>
        <v/>
      </c>
      <c r="T285" s="30" t="str">
        <f aca="false">IF(ISNUMBER(C285),DATE(YEAR(C285)+1,4,30),"")</f>
        <v/>
      </c>
      <c r="U285" s="43"/>
    </row>
    <row r="286" customFormat="false" ht="21.75" hidden="false" customHeight="true" outlineLevel="0" collapsed="false">
      <c r="A286" s="44"/>
      <c r="B286" s="36" t="str">
        <f aca="false">IF(A286="","",IFERROR(INDEX(①出口报关!$I$4:$I$303,MATCH(A286,①出口报关!$A$4:$A$303,0)),"编号不存在"))</f>
        <v/>
      </c>
      <c r="C286" s="30" t="str">
        <f aca="false">IF(A286="","",IFERROR(IF(INDEX(①出口报关!$D$4:$D$303,MATCH(A286,①出口报关!$A$4:$A$303,0))=0,"",INDEX(①出口报关!$D$4:$D$303,MATCH(A286,①出口报关!$A$4:$A$303,0))),"编号不存在"))</f>
        <v/>
      </c>
      <c r="D286" s="43"/>
      <c r="E286" s="45"/>
      <c r="F286" s="41"/>
      <c r="G286" s="48"/>
      <c r="H286" s="46"/>
      <c r="I286" s="41"/>
      <c r="J286" s="30" t="str">
        <f aca="false">IF(AND(D286="未售-海外仓预退（HWC-YT）",ISNUMBER(I286)),DATE(YEAR(I286)+1,4,30),"")</f>
        <v/>
      </c>
      <c r="K286" s="51" t="str">
        <f aca="true">IF(J286="","",IF(Q286&lt;&gt;"","",J286-TODAY()))</f>
        <v/>
      </c>
      <c r="L286" s="31" t="str">
        <f aca="false">IF(OR(A286="",D286&lt;&gt;"未售-海外仓预退（HWC-YT）"),"",MIN(N(E286),MAX(0,SUMIFS(②销售核销!$I$4:$I$603,②销售核销!$E$4:$E$603,A286)-SUMIFS($E$4:$E$303,$A$4:$A$303,A286,$D$4:$D$303,"已售-按现行规定申报"))))</f>
        <v/>
      </c>
      <c r="M286" s="34" t="str">
        <f aca="false">IF(OR(L286="",N(E286)=0,H286=""),"",ROUND(H286/E286*L286,2))</f>
        <v/>
      </c>
      <c r="N286" s="46"/>
      <c r="O286" s="34" t="str">
        <f aca="false">IF(OR(N286="",H286=""),"",ROUND(N286-H286,2))</f>
        <v/>
      </c>
      <c r="P286" s="36" t="str">
        <f aca="false">IF(OR(A286="",D286&lt;&gt;"未售-海外仓预退（HWC-YT）"),"",IF(L286=0,"仍未销售：需要调整申报，全额缴回预退税",IF(L286&lt;N(E286),"部分已售：需要调整申报，全额冲减后按已售部分重报",IF(N286="","全部已售：填入实际应退税额后判断",IF(O286=0,"全部已售、无差异：无需调整申报","全部已售、有差异：需要调整申报")))))</f>
        <v/>
      </c>
      <c r="Q286" s="41"/>
      <c r="R286" s="44"/>
      <c r="S286" s="36" t="str">
        <f aca="false">IF(A286="","",IF(D286="","请选择申报方式",IF(D286&lt;&gt;"未售-海外仓预退（HWC-YT）","不涉及核算",IF(Q286&lt;&gt;"","已核算",IF(J286="","待税务办结",IF(K286&lt;0,"已逾期：税务将追回预退税",IF(K286&lt;=60,"临近截止（60天内）","待核算")))))))</f>
        <v/>
      </c>
      <c r="T286" s="30" t="str">
        <f aca="false">IF(ISNUMBER(C286),DATE(YEAR(C286)+1,4,30),"")</f>
        <v/>
      </c>
      <c r="U286" s="43"/>
    </row>
    <row r="287" customFormat="false" ht="21.75" hidden="false" customHeight="true" outlineLevel="0" collapsed="false">
      <c r="A287" s="44"/>
      <c r="B287" s="36" t="str">
        <f aca="false">IF(A287="","",IFERROR(INDEX(①出口报关!$I$4:$I$303,MATCH(A287,①出口报关!$A$4:$A$303,0)),"编号不存在"))</f>
        <v/>
      </c>
      <c r="C287" s="30" t="str">
        <f aca="false">IF(A287="","",IFERROR(IF(INDEX(①出口报关!$D$4:$D$303,MATCH(A287,①出口报关!$A$4:$A$303,0))=0,"",INDEX(①出口报关!$D$4:$D$303,MATCH(A287,①出口报关!$A$4:$A$303,0))),"编号不存在"))</f>
        <v/>
      </c>
      <c r="D287" s="43"/>
      <c r="E287" s="45"/>
      <c r="F287" s="41"/>
      <c r="G287" s="48"/>
      <c r="H287" s="46"/>
      <c r="I287" s="41"/>
      <c r="J287" s="30" t="str">
        <f aca="false">IF(AND(D287="未售-海外仓预退（HWC-YT）",ISNUMBER(I287)),DATE(YEAR(I287)+1,4,30),"")</f>
        <v/>
      </c>
      <c r="K287" s="51" t="str">
        <f aca="true">IF(J287="","",IF(Q287&lt;&gt;"","",J287-TODAY()))</f>
        <v/>
      </c>
      <c r="L287" s="31" t="str">
        <f aca="false">IF(OR(A287="",D287&lt;&gt;"未售-海外仓预退（HWC-YT）"),"",MIN(N(E287),MAX(0,SUMIFS(②销售核销!$I$4:$I$603,②销售核销!$E$4:$E$603,A287)-SUMIFS($E$4:$E$303,$A$4:$A$303,A287,$D$4:$D$303,"已售-按现行规定申报"))))</f>
        <v/>
      </c>
      <c r="M287" s="34" t="str">
        <f aca="false">IF(OR(L287="",N(E287)=0,H287=""),"",ROUND(H287/E287*L287,2))</f>
        <v/>
      </c>
      <c r="N287" s="46"/>
      <c r="O287" s="34" t="str">
        <f aca="false">IF(OR(N287="",H287=""),"",ROUND(N287-H287,2))</f>
        <v/>
      </c>
      <c r="P287" s="36" t="str">
        <f aca="false">IF(OR(A287="",D287&lt;&gt;"未售-海外仓预退（HWC-YT）"),"",IF(L287=0,"仍未销售：需要调整申报，全额缴回预退税",IF(L287&lt;N(E287),"部分已售：需要调整申报，全额冲减后按已售部分重报",IF(N287="","全部已售：填入实际应退税额后判断",IF(O287=0,"全部已售、无差异：无需调整申报","全部已售、有差异：需要调整申报")))))</f>
        <v/>
      </c>
      <c r="Q287" s="41"/>
      <c r="R287" s="44"/>
      <c r="S287" s="36" t="str">
        <f aca="false">IF(A287="","",IF(D287="","请选择申报方式",IF(D287&lt;&gt;"未售-海外仓预退（HWC-YT）","不涉及核算",IF(Q287&lt;&gt;"","已核算",IF(J287="","待税务办结",IF(K287&lt;0,"已逾期：税务将追回预退税",IF(K287&lt;=60,"临近截止（60天内）","待核算")))))))</f>
        <v/>
      </c>
      <c r="T287" s="30" t="str">
        <f aca="false">IF(ISNUMBER(C287),DATE(YEAR(C287)+1,4,30),"")</f>
        <v/>
      </c>
      <c r="U287" s="43"/>
    </row>
    <row r="288" customFormat="false" ht="21.75" hidden="false" customHeight="true" outlineLevel="0" collapsed="false">
      <c r="A288" s="44"/>
      <c r="B288" s="36" t="str">
        <f aca="false">IF(A288="","",IFERROR(INDEX(①出口报关!$I$4:$I$303,MATCH(A288,①出口报关!$A$4:$A$303,0)),"编号不存在"))</f>
        <v/>
      </c>
      <c r="C288" s="30" t="str">
        <f aca="false">IF(A288="","",IFERROR(IF(INDEX(①出口报关!$D$4:$D$303,MATCH(A288,①出口报关!$A$4:$A$303,0))=0,"",INDEX(①出口报关!$D$4:$D$303,MATCH(A288,①出口报关!$A$4:$A$303,0))),"编号不存在"))</f>
        <v/>
      </c>
      <c r="D288" s="43"/>
      <c r="E288" s="45"/>
      <c r="F288" s="41"/>
      <c r="G288" s="48"/>
      <c r="H288" s="46"/>
      <c r="I288" s="41"/>
      <c r="J288" s="30" t="str">
        <f aca="false">IF(AND(D288="未售-海外仓预退（HWC-YT）",ISNUMBER(I288)),DATE(YEAR(I288)+1,4,30),"")</f>
        <v/>
      </c>
      <c r="K288" s="51" t="str">
        <f aca="true">IF(J288="","",IF(Q288&lt;&gt;"","",J288-TODAY()))</f>
        <v/>
      </c>
      <c r="L288" s="31" t="str">
        <f aca="false">IF(OR(A288="",D288&lt;&gt;"未售-海外仓预退（HWC-YT）"),"",MIN(N(E288),MAX(0,SUMIFS(②销售核销!$I$4:$I$603,②销售核销!$E$4:$E$603,A288)-SUMIFS($E$4:$E$303,$A$4:$A$303,A288,$D$4:$D$303,"已售-按现行规定申报"))))</f>
        <v/>
      </c>
      <c r="M288" s="34" t="str">
        <f aca="false">IF(OR(L288="",N(E288)=0,H288=""),"",ROUND(H288/E288*L288,2))</f>
        <v/>
      </c>
      <c r="N288" s="46"/>
      <c r="O288" s="34" t="str">
        <f aca="false">IF(OR(N288="",H288=""),"",ROUND(N288-H288,2))</f>
        <v/>
      </c>
      <c r="P288" s="36" t="str">
        <f aca="false">IF(OR(A288="",D288&lt;&gt;"未售-海外仓预退（HWC-YT）"),"",IF(L288=0,"仍未销售：需要调整申报，全额缴回预退税",IF(L288&lt;N(E288),"部分已售：需要调整申报，全额冲减后按已售部分重报",IF(N288="","全部已售：填入实际应退税额后判断",IF(O288=0,"全部已售、无差异：无需调整申报","全部已售、有差异：需要调整申报")))))</f>
        <v/>
      </c>
      <c r="Q288" s="41"/>
      <c r="R288" s="44"/>
      <c r="S288" s="36" t="str">
        <f aca="false">IF(A288="","",IF(D288="","请选择申报方式",IF(D288&lt;&gt;"未售-海外仓预退（HWC-YT）","不涉及核算",IF(Q288&lt;&gt;"","已核算",IF(J288="","待税务办结",IF(K288&lt;0,"已逾期：税务将追回预退税",IF(K288&lt;=60,"临近截止（60天内）","待核算")))))))</f>
        <v/>
      </c>
      <c r="T288" s="30" t="str">
        <f aca="false">IF(ISNUMBER(C288),DATE(YEAR(C288)+1,4,30),"")</f>
        <v/>
      </c>
      <c r="U288" s="43"/>
    </row>
    <row r="289" customFormat="false" ht="21.75" hidden="false" customHeight="true" outlineLevel="0" collapsed="false">
      <c r="A289" s="44"/>
      <c r="B289" s="36" t="str">
        <f aca="false">IF(A289="","",IFERROR(INDEX(①出口报关!$I$4:$I$303,MATCH(A289,①出口报关!$A$4:$A$303,0)),"编号不存在"))</f>
        <v/>
      </c>
      <c r="C289" s="30" t="str">
        <f aca="false">IF(A289="","",IFERROR(IF(INDEX(①出口报关!$D$4:$D$303,MATCH(A289,①出口报关!$A$4:$A$303,0))=0,"",INDEX(①出口报关!$D$4:$D$303,MATCH(A289,①出口报关!$A$4:$A$303,0))),"编号不存在"))</f>
        <v/>
      </c>
      <c r="D289" s="43"/>
      <c r="E289" s="45"/>
      <c r="F289" s="41"/>
      <c r="G289" s="48"/>
      <c r="H289" s="46"/>
      <c r="I289" s="41"/>
      <c r="J289" s="30" t="str">
        <f aca="false">IF(AND(D289="未售-海外仓预退（HWC-YT）",ISNUMBER(I289)),DATE(YEAR(I289)+1,4,30),"")</f>
        <v/>
      </c>
      <c r="K289" s="51" t="str">
        <f aca="true">IF(J289="","",IF(Q289&lt;&gt;"","",J289-TODAY()))</f>
        <v/>
      </c>
      <c r="L289" s="31" t="str">
        <f aca="false">IF(OR(A289="",D289&lt;&gt;"未售-海外仓预退（HWC-YT）"),"",MIN(N(E289),MAX(0,SUMIFS(②销售核销!$I$4:$I$603,②销售核销!$E$4:$E$603,A289)-SUMIFS($E$4:$E$303,$A$4:$A$303,A289,$D$4:$D$303,"已售-按现行规定申报"))))</f>
        <v/>
      </c>
      <c r="M289" s="34" t="str">
        <f aca="false">IF(OR(L289="",N(E289)=0,H289=""),"",ROUND(H289/E289*L289,2))</f>
        <v/>
      </c>
      <c r="N289" s="46"/>
      <c r="O289" s="34" t="str">
        <f aca="false">IF(OR(N289="",H289=""),"",ROUND(N289-H289,2))</f>
        <v/>
      </c>
      <c r="P289" s="36" t="str">
        <f aca="false">IF(OR(A289="",D289&lt;&gt;"未售-海外仓预退（HWC-YT）"),"",IF(L289=0,"仍未销售：需要调整申报，全额缴回预退税",IF(L289&lt;N(E289),"部分已售：需要调整申报，全额冲减后按已售部分重报",IF(N289="","全部已售：填入实际应退税额后判断",IF(O289=0,"全部已售、无差异：无需调整申报","全部已售、有差异：需要调整申报")))))</f>
        <v/>
      </c>
      <c r="Q289" s="41"/>
      <c r="R289" s="44"/>
      <c r="S289" s="36" t="str">
        <f aca="false">IF(A289="","",IF(D289="","请选择申报方式",IF(D289&lt;&gt;"未售-海外仓预退（HWC-YT）","不涉及核算",IF(Q289&lt;&gt;"","已核算",IF(J289="","待税务办结",IF(K289&lt;0,"已逾期：税务将追回预退税",IF(K289&lt;=60,"临近截止（60天内）","待核算")))))))</f>
        <v/>
      </c>
      <c r="T289" s="30" t="str">
        <f aca="false">IF(ISNUMBER(C289),DATE(YEAR(C289)+1,4,30),"")</f>
        <v/>
      </c>
      <c r="U289" s="43"/>
    </row>
    <row r="290" customFormat="false" ht="21.75" hidden="false" customHeight="true" outlineLevel="0" collapsed="false">
      <c r="A290" s="44"/>
      <c r="B290" s="36" t="str">
        <f aca="false">IF(A290="","",IFERROR(INDEX(①出口报关!$I$4:$I$303,MATCH(A290,①出口报关!$A$4:$A$303,0)),"编号不存在"))</f>
        <v/>
      </c>
      <c r="C290" s="30" t="str">
        <f aca="false">IF(A290="","",IFERROR(IF(INDEX(①出口报关!$D$4:$D$303,MATCH(A290,①出口报关!$A$4:$A$303,0))=0,"",INDEX(①出口报关!$D$4:$D$303,MATCH(A290,①出口报关!$A$4:$A$303,0))),"编号不存在"))</f>
        <v/>
      </c>
      <c r="D290" s="43"/>
      <c r="E290" s="45"/>
      <c r="F290" s="41"/>
      <c r="G290" s="48"/>
      <c r="H290" s="46"/>
      <c r="I290" s="41"/>
      <c r="J290" s="30" t="str">
        <f aca="false">IF(AND(D290="未售-海外仓预退（HWC-YT）",ISNUMBER(I290)),DATE(YEAR(I290)+1,4,30),"")</f>
        <v/>
      </c>
      <c r="K290" s="51" t="str">
        <f aca="true">IF(J290="","",IF(Q290&lt;&gt;"","",J290-TODAY()))</f>
        <v/>
      </c>
      <c r="L290" s="31" t="str">
        <f aca="false">IF(OR(A290="",D290&lt;&gt;"未售-海外仓预退（HWC-YT）"),"",MIN(N(E290),MAX(0,SUMIFS(②销售核销!$I$4:$I$603,②销售核销!$E$4:$E$603,A290)-SUMIFS($E$4:$E$303,$A$4:$A$303,A290,$D$4:$D$303,"已售-按现行规定申报"))))</f>
        <v/>
      </c>
      <c r="M290" s="34" t="str">
        <f aca="false">IF(OR(L290="",N(E290)=0,H290=""),"",ROUND(H290/E290*L290,2))</f>
        <v/>
      </c>
      <c r="N290" s="46"/>
      <c r="O290" s="34" t="str">
        <f aca="false">IF(OR(N290="",H290=""),"",ROUND(N290-H290,2))</f>
        <v/>
      </c>
      <c r="P290" s="36" t="str">
        <f aca="false">IF(OR(A290="",D290&lt;&gt;"未售-海外仓预退（HWC-YT）"),"",IF(L290=0,"仍未销售：需要调整申报，全额缴回预退税",IF(L290&lt;N(E290),"部分已售：需要调整申报，全额冲减后按已售部分重报",IF(N290="","全部已售：填入实际应退税额后判断",IF(O290=0,"全部已售、无差异：无需调整申报","全部已售、有差异：需要调整申报")))))</f>
        <v/>
      </c>
      <c r="Q290" s="41"/>
      <c r="R290" s="44"/>
      <c r="S290" s="36" t="str">
        <f aca="false">IF(A290="","",IF(D290="","请选择申报方式",IF(D290&lt;&gt;"未售-海外仓预退（HWC-YT）","不涉及核算",IF(Q290&lt;&gt;"","已核算",IF(J290="","待税务办结",IF(K290&lt;0,"已逾期：税务将追回预退税",IF(K290&lt;=60,"临近截止（60天内）","待核算")))))))</f>
        <v/>
      </c>
      <c r="T290" s="30" t="str">
        <f aca="false">IF(ISNUMBER(C290),DATE(YEAR(C290)+1,4,30),"")</f>
        <v/>
      </c>
      <c r="U290" s="43"/>
    </row>
    <row r="291" customFormat="false" ht="21.75" hidden="false" customHeight="true" outlineLevel="0" collapsed="false">
      <c r="A291" s="44"/>
      <c r="B291" s="36" t="str">
        <f aca="false">IF(A291="","",IFERROR(INDEX(①出口报关!$I$4:$I$303,MATCH(A291,①出口报关!$A$4:$A$303,0)),"编号不存在"))</f>
        <v/>
      </c>
      <c r="C291" s="30" t="str">
        <f aca="false">IF(A291="","",IFERROR(IF(INDEX(①出口报关!$D$4:$D$303,MATCH(A291,①出口报关!$A$4:$A$303,0))=0,"",INDEX(①出口报关!$D$4:$D$303,MATCH(A291,①出口报关!$A$4:$A$303,0))),"编号不存在"))</f>
        <v/>
      </c>
      <c r="D291" s="43"/>
      <c r="E291" s="45"/>
      <c r="F291" s="41"/>
      <c r="G291" s="48"/>
      <c r="H291" s="46"/>
      <c r="I291" s="41"/>
      <c r="J291" s="30" t="str">
        <f aca="false">IF(AND(D291="未售-海外仓预退（HWC-YT）",ISNUMBER(I291)),DATE(YEAR(I291)+1,4,30),"")</f>
        <v/>
      </c>
      <c r="K291" s="51" t="str">
        <f aca="true">IF(J291="","",IF(Q291&lt;&gt;"","",J291-TODAY()))</f>
        <v/>
      </c>
      <c r="L291" s="31" t="str">
        <f aca="false">IF(OR(A291="",D291&lt;&gt;"未售-海外仓预退（HWC-YT）"),"",MIN(N(E291),MAX(0,SUMIFS(②销售核销!$I$4:$I$603,②销售核销!$E$4:$E$603,A291)-SUMIFS($E$4:$E$303,$A$4:$A$303,A291,$D$4:$D$303,"已售-按现行规定申报"))))</f>
        <v/>
      </c>
      <c r="M291" s="34" t="str">
        <f aca="false">IF(OR(L291="",N(E291)=0,H291=""),"",ROUND(H291/E291*L291,2))</f>
        <v/>
      </c>
      <c r="N291" s="46"/>
      <c r="O291" s="34" t="str">
        <f aca="false">IF(OR(N291="",H291=""),"",ROUND(N291-H291,2))</f>
        <v/>
      </c>
      <c r="P291" s="36" t="str">
        <f aca="false">IF(OR(A291="",D291&lt;&gt;"未售-海外仓预退（HWC-YT）"),"",IF(L291=0,"仍未销售：需要调整申报，全额缴回预退税",IF(L291&lt;N(E291),"部分已售：需要调整申报，全额冲减后按已售部分重报",IF(N291="","全部已售：填入实际应退税额后判断",IF(O291=0,"全部已售、无差异：无需调整申报","全部已售、有差异：需要调整申报")))))</f>
        <v/>
      </c>
      <c r="Q291" s="41"/>
      <c r="R291" s="44"/>
      <c r="S291" s="36" t="str">
        <f aca="false">IF(A291="","",IF(D291="","请选择申报方式",IF(D291&lt;&gt;"未售-海外仓预退（HWC-YT）","不涉及核算",IF(Q291&lt;&gt;"","已核算",IF(J291="","待税务办结",IF(K291&lt;0,"已逾期：税务将追回预退税",IF(K291&lt;=60,"临近截止（60天内）","待核算")))))))</f>
        <v/>
      </c>
      <c r="T291" s="30" t="str">
        <f aca="false">IF(ISNUMBER(C291),DATE(YEAR(C291)+1,4,30),"")</f>
        <v/>
      </c>
      <c r="U291" s="43"/>
    </row>
    <row r="292" customFormat="false" ht="21.75" hidden="false" customHeight="true" outlineLevel="0" collapsed="false">
      <c r="A292" s="44"/>
      <c r="B292" s="36" t="str">
        <f aca="false">IF(A292="","",IFERROR(INDEX(①出口报关!$I$4:$I$303,MATCH(A292,①出口报关!$A$4:$A$303,0)),"编号不存在"))</f>
        <v/>
      </c>
      <c r="C292" s="30" t="str">
        <f aca="false">IF(A292="","",IFERROR(IF(INDEX(①出口报关!$D$4:$D$303,MATCH(A292,①出口报关!$A$4:$A$303,0))=0,"",INDEX(①出口报关!$D$4:$D$303,MATCH(A292,①出口报关!$A$4:$A$303,0))),"编号不存在"))</f>
        <v/>
      </c>
      <c r="D292" s="43"/>
      <c r="E292" s="45"/>
      <c r="F292" s="41"/>
      <c r="G292" s="48"/>
      <c r="H292" s="46"/>
      <c r="I292" s="41"/>
      <c r="J292" s="30" t="str">
        <f aca="false">IF(AND(D292="未售-海外仓预退（HWC-YT）",ISNUMBER(I292)),DATE(YEAR(I292)+1,4,30),"")</f>
        <v/>
      </c>
      <c r="K292" s="51" t="str">
        <f aca="true">IF(J292="","",IF(Q292&lt;&gt;"","",J292-TODAY()))</f>
        <v/>
      </c>
      <c r="L292" s="31" t="str">
        <f aca="false">IF(OR(A292="",D292&lt;&gt;"未售-海外仓预退（HWC-YT）"),"",MIN(N(E292),MAX(0,SUMIFS(②销售核销!$I$4:$I$603,②销售核销!$E$4:$E$603,A292)-SUMIFS($E$4:$E$303,$A$4:$A$303,A292,$D$4:$D$303,"已售-按现行规定申报"))))</f>
        <v/>
      </c>
      <c r="M292" s="34" t="str">
        <f aca="false">IF(OR(L292="",N(E292)=0,H292=""),"",ROUND(H292/E292*L292,2))</f>
        <v/>
      </c>
      <c r="N292" s="46"/>
      <c r="O292" s="34" t="str">
        <f aca="false">IF(OR(N292="",H292=""),"",ROUND(N292-H292,2))</f>
        <v/>
      </c>
      <c r="P292" s="36" t="str">
        <f aca="false">IF(OR(A292="",D292&lt;&gt;"未售-海外仓预退（HWC-YT）"),"",IF(L292=0,"仍未销售：需要调整申报，全额缴回预退税",IF(L292&lt;N(E292),"部分已售：需要调整申报，全额冲减后按已售部分重报",IF(N292="","全部已售：填入实际应退税额后判断",IF(O292=0,"全部已售、无差异：无需调整申报","全部已售、有差异：需要调整申报")))))</f>
        <v/>
      </c>
      <c r="Q292" s="41"/>
      <c r="R292" s="44"/>
      <c r="S292" s="36" t="str">
        <f aca="false">IF(A292="","",IF(D292="","请选择申报方式",IF(D292&lt;&gt;"未售-海外仓预退（HWC-YT）","不涉及核算",IF(Q292&lt;&gt;"","已核算",IF(J292="","待税务办结",IF(K292&lt;0,"已逾期：税务将追回预退税",IF(K292&lt;=60,"临近截止（60天内）","待核算")))))))</f>
        <v/>
      </c>
      <c r="T292" s="30" t="str">
        <f aca="false">IF(ISNUMBER(C292),DATE(YEAR(C292)+1,4,30),"")</f>
        <v/>
      </c>
      <c r="U292" s="43"/>
    </row>
    <row r="293" customFormat="false" ht="21.75" hidden="false" customHeight="true" outlineLevel="0" collapsed="false">
      <c r="A293" s="44"/>
      <c r="B293" s="36" t="str">
        <f aca="false">IF(A293="","",IFERROR(INDEX(①出口报关!$I$4:$I$303,MATCH(A293,①出口报关!$A$4:$A$303,0)),"编号不存在"))</f>
        <v/>
      </c>
      <c r="C293" s="30" t="str">
        <f aca="false">IF(A293="","",IFERROR(IF(INDEX(①出口报关!$D$4:$D$303,MATCH(A293,①出口报关!$A$4:$A$303,0))=0,"",INDEX(①出口报关!$D$4:$D$303,MATCH(A293,①出口报关!$A$4:$A$303,0))),"编号不存在"))</f>
        <v/>
      </c>
      <c r="D293" s="43"/>
      <c r="E293" s="45"/>
      <c r="F293" s="41"/>
      <c r="G293" s="48"/>
      <c r="H293" s="46"/>
      <c r="I293" s="41"/>
      <c r="J293" s="30" t="str">
        <f aca="false">IF(AND(D293="未售-海外仓预退（HWC-YT）",ISNUMBER(I293)),DATE(YEAR(I293)+1,4,30),"")</f>
        <v/>
      </c>
      <c r="K293" s="51" t="str">
        <f aca="true">IF(J293="","",IF(Q293&lt;&gt;"","",J293-TODAY()))</f>
        <v/>
      </c>
      <c r="L293" s="31" t="str">
        <f aca="false">IF(OR(A293="",D293&lt;&gt;"未售-海外仓预退（HWC-YT）"),"",MIN(N(E293),MAX(0,SUMIFS(②销售核销!$I$4:$I$603,②销售核销!$E$4:$E$603,A293)-SUMIFS($E$4:$E$303,$A$4:$A$303,A293,$D$4:$D$303,"已售-按现行规定申报"))))</f>
        <v/>
      </c>
      <c r="M293" s="34" t="str">
        <f aca="false">IF(OR(L293="",N(E293)=0,H293=""),"",ROUND(H293/E293*L293,2))</f>
        <v/>
      </c>
      <c r="N293" s="46"/>
      <c r="O293" s="34" t="str">
        <f aca="false">IF(OR(N293="",H293=""),"",ROUND(N293-H293,2))</f>
        <v/>
      </c>
      <c r="P293" s="36" t="str">
        <f aca="false">IF(OR(A293="",D293&lt;&gt;"未售-海外仓预退（HWC-YT）"),"",IF(L293=0,"仍未销售：需要调整申报，全额缴回预退税",IF(L293&lt;N(E293),"部分已售：需要调整申报，全额冲减后按已售部分重报",IF(N293="","全部已售：填入实际应退税额后判断",IF(O293=0,"全部已售、无差异：无需调整申报","全部已售、有差异：需要调整申报")))))</f>
        <v/>
      </c>
      <c r="Q293" s="41"/>
      <c r="R293" s="44"/>
      <c r="S293" s="36" t="str">
        <f aca="false">IF(A293="","",IF(D293="","请选择申报方式",IF(D293&lt;&gt;"未售-海外仓预退（HWC-YT）","不涉及核算",IF(Q293&lt;&gt;"","已核算",IF(J293="","待税务办结",IF(K293&lt;0,"已逾期：税务将追回预退税",IF(K293&lt;=60,"临近截止（60天内）","待核算")))))))</f>
        <v/>
      </c>
      <c r="T293" s="30" t="str">
        <f aca="false">IF(ISNUMBER(C293),DATE(YEAR(C293)+1,4,30),"")</f>
        <v/>
      </c>
      <c r="U293" s="43"/>
    </row>
    <row r="294" customFormat="false" ht="21.75" hidden="false" customHeight="true" outlineLevel="0" collapsed="false">
      <c r="A294" s="44"/>
      <c r="B294" s="36" t="str">
        <f aca="false">IF(A294="","",IFERROR(INDEX(①出口报关!$I$4:$I$303,MATCH(A294,①出口报关!$A$4:$A$303,0)),"编号不存在"))</f>
        <v/>
      </c>
      <c r="C294" s="30" t="str">
        <f aca="false">IF(A294="","",IFERROR(IF(INDEX(①出口报关!$D$4:$D$303,MATCH(A294,①出口报关!$A$4:$A$303,0))=0,"",INDEX(①出口报关!$D$4:$D$303,MATCH(A294,①出口报关!$A$4:$A$303,0))),"编号不存在"))</f>
        <v/>
      </c>
      <c r="D294" s="43"/>
      <c r="E294" s="45"/>
      <c r="F294" s="41"/>
      <c r="G294" s="48"/>
      <c r="H294" s="46"/>
      <c r="I294" s="41"/>
      <c r="J294" s="30" t="str">
        <f aca="false">IF(AND(D294="未售-海外仓预退（HWC-YT）",ISNUMBER(I294)),DATE(YEAR(I294)+1,4,30),"")</f>
        <v/>
      </c>
      <c r="K294" s="51" t="str">
        <f aca="true">IF(J294="","",IF(Q294&lt;&gt;"","",J294-TODAY()))</f>
        <v/>
      </c>
      <c r="L294" s="31" t="str">
        <f aca="false">IF(OR(A294="",D294&lt;&gt;"未售-海外仓预退（HWC-YT）"),"",MIN(N(E294),MAX(0,SUMIFS(②销售核销!$I$4:$I$603,②销售核销!$E$4:$E$603,A294)-SUMIFS($E$4:$E$303,$A$4:$A$303,A294,$D$4:$D$303,"已售-按现行规定申报"))))</f>
        <v/>
      </c>
      <c r="M294" s="34" t="str">
        <f aca="false">IF(OR(L294="",N(E294)=0,H294=""),"",ROUND(H294/E294*L294,2))</f>
        <v/>
      </c>
      <c r="N294" s="46"/>
      <c r="O294" s="34" t="str">
        <f aca="false">IF(OR(N294="",H294=""),"",ROUND(N294-H294,2))</f>
        <v/>
      </c>
      <c r="P294" s="36" t="str">
        <f aca="false">IF(OR(A294="",D294&lt;&gt;"未售-海外仓预退（HWC-YT）"),"",IF(L294=0,"仍未销售：需要调整申报，全额缴回预退税",IF(L294&lt;N(E294),"部分已售：需要调整申报，全额冲减后按已售部分重报",IF(N294="","全部已售：填入实际应退税额后判断",IF(O294=0,"全部已售、无差异：无需调整申报","全部已售、有差异：需要调整申报")))))</f>
        <v/>
      </c>
      <c r="Q294" s="41"/>
      <c r="R294" s="44"/>
      <c r="S294" s="36" t="str">
        <f aca="false">IF(A294="","",IF(D294="","请选择申报方式",IF(D294&lt;&gt;"未售-海外仓预退（HWC-YT）","不涉及核算",IF(Q294&lt;&gt;"","已核算",IF(J294="","待税务办结",IF(K294&lt;0,"已逾期：税务将追回预退税",IF(K294&lt;=60,"临近截止（60天内）","待核算")))))))</f>
        <v/>
      </c>
      <c r="T294" s="30" t="str">
        <f aca="false">IF(ISNUMBER(C294),DATE(YEAR(C294)+1,4,30),"")</f>
        <v/>
      </c>
      <c r="U294" s="43"/>
    </row>
    <row r="295" customFormat="false" ht="21.75" hidden="false" customHeight="true" outlineLevel="0" collapsed="false">
      <c r="A295" s="44"/>
      <c r="B295" s="36" t="str">
        <f aca="false">IF(A295="","",IFERROR(INDEX(①出口报关!$I$4:$I$303,MATCH(A295,①出口报关!$A$4:$A$303,0)),"编号不存在"))</f>
        <v/>
      </c>
      <c r="C295" s="30" t="str">
        <f aca="false">IF(A295="","",IFERROR(IF(INDEX(①出口报关!$D$4:$D$303,MATCH(A295,①出口报关!$A$4:$A$303,0))=0,"",INDEX(①出口报关!$D$4:$D$303,MATCH(A295,①出口报关!$A$4:$A$303,0))),"编号不存在"))</f>
        <v/>
      </c>
      <c r="D295" s="43"/>
      <c r="E295" s="45"/>
      <c r="F295" s="41"/>
      <c r="G295" s="48"/>
      <c r="H295" s="46"/>
      <c r="I295" s="41"/>
      <c r="J295" s="30" t="str">
        <f aca="false">IF(AND(D295="未售-海外仓预退（HWC-YT）",ISNUMBER(I295)),DATE(YEAR(I295)+1,4,30),"")</f>
        <v/>
      </c>
      <c r="K295" s="51" t="str">
        <f aca="true">IF(J295="","",IF(Q295&lt;&gt;"","",J295-TODAY()))</f>
        <v/>
      </c>
      <c r="L295" s="31" t="str">
        <f aca="false">IF(OR(A295="",D295&lt;&gt;"未售-海外仓预退（HWC-YT）"),"",MIN(N(E295),MAX(0,SUMIFS(②销售核销!$I$4:$I$603,②销售核销!$E$4:$E$603,A295)-SUMIFS($E$4:$E$303,$A$4:$A$303,A295,$D$4:$D$303,"已售-按现行规定申报"))))</f>
        <v/>
      </c>
      <c r="M295" s="34" t="str">
        <f aca="false">IF(OR(L295="",N(E295)=0,H295=""),"",ROUND(H295/E295*L295,2))</f>
        <v/>
      </c>
      <c r="N295" s="46"/>
      <c r="O295" s="34" t="str">
        <f aca="false">IF(OR(N295="",H295=""),"",ROUND(N295-H295,2))</f>
        <v/>
      </c>
      <c r="P295" s="36" t="str">
        <f aca="false">IF(OR(A295="",D295&lt;&gt;"未售-海外仓预退（HWC-YT）"),"",IF(L295=0,"仍未销售：需要调整申报，全额缴回预退税",IF(L295&lt;N(E295),"部分已售：需要调整申报，全额冲减后按已售部分重报",IF(N295="","全部已售：填入实际应退税额后判断",IF(O295=0,"全部已售、无差异：无需调整申报","全部已售、有差异：需要调整申报")))))</f>
        <v/>
      </c>
      <c r="Q295" s="41"/>
      <c r="R295" s="44"/>
      <c r="S295" s="36" t="str">
        <f aca="false">IF(A295="","",IF(D295="","请选择申报方式",IF(D295&lt;&gt;"未售-海外仓预退（HWC-YT）","不涉及核算",IF(Q295&lt;&gt;"","已核算",IF(J295="","待税务办结",IF(K295&lt;0,"已逾期：税务将追回预退税",IF(K295&lt;=60,"临近截止（60天内）","待核算")))))))</f>
        <v/>
      </c>
      <c r="T295" s="30" t="str">
        <f aca="false">IF(ISNUMBER(C295),DATE(YEAR(C295)+1,4,30),"")</f>
        <v/>
      </c>
      <c r="U295" s="43"/>
    </row>
    <row r="296" customFormat="false" ht="21.75" hidden="false" customHeight="true" outlineLevel="0" collapsed="false">
      <c r="A296" s="44"/>
      <c r="B296" s="36" t="str">
        <f aca="false">IF(A296="","",IFERROR(INDEX(①出口报关!$I$4:$I$303,MATCH(A296,①出口报关!$A$4:$A$303,0)),"编号不存在"))</f>
        <v/>
      </c>
      <c r="C296" s="30" t="str">
        <f aca="false">IF(A296="","",IFERROR(IF(INDEX(①出口报关!$D$4:$D$303,MATCH(A296,①出口报关!$A$4:$A$303,0))=0,"",INDEX(①出口报关!$D$4:$D$303,MATCH(A296,①出口报关!$A$4:$A$303,0))),"编号不存在"))</f>
        <v/>
      </c>
      <c r="D296" s="43"/>
      <c r="E296" s="45"/>
      <c r="F296" s="41"/>
      <c r="G296" s="48"/>
      <c r="H296" s="46"/>
      <c r="I296" s="41"/>
      <c r="J296" s="30" t="str">
        <f aca="false">IF(AND(D296="未售-海外仓预退（HWC-YT）",ISNUMBER(I296)),DATE(YEAR(I296)+1,4,30),"")</f>
        <v/>
      </c>
      <c r="K296" s="51" t="str">
        <f aca="true">IF(J296="","",IF(Q296&lt;&gt;"","",J296-TODAY()))</f>
        <v/>
      </c>
      <c r="L296" s="31" t="str">
        <f aca="false">IF(OR(A296="",D296&lt;&gt;"未售-海外仓预退（HWC-YT）"),"",MIN(N(E296),MAX(0,SUMIFS(②销售核销!$I$4:$I$603,②销售核销!$E$4:$E$603,A296)-SUMIFS($E$4:$E$303,$A$4:$A$303,A296,$D$4:$D$303,"已售-按现行规定申报"))))</f>
        <v/>
      </c>
      <c r="M296" s="34" t="str">
        <f aca="false">IF(OR(L296="",N(E296)=0,H296=""),"",ROUND(H296/E296*L296,2))</f>
        <v/>
      </c>
      <c r="N296" s="46"/>
      <c r="O296" s="34" t="str">
        <f aca="false">IF(OR(N296="",H296=""),"",ROUND(N296-H296,2))</f>
        <v/>
      </c>
      <c r="P296" s="36" t="str">
        <f aca="false">IF(OR(A296="",D296&lt;&gt;"未售-海外仓预退（HWC-YT）"),"",IF(L296=0,"仍未销售：需要调整申报，全额缴回预退税",IF(L296&lt;N(E296),"部分已售：需要调整申报，全额冲减后按已售部分重报",IF(N296="","全部已售：填入实际应退税额后判断",IF(O296=0,"全部已售、无差异：无需调整申报","全部已售、有差异：需要调整申报")))))</f>
        <v/>
      </c>
      <c r="Q296" s="41"/>
      <c r="R296" s="44"/>
      <c r="S296" s="36" t="str">
        <f aca="false">IF(A296="","",IF(D296="","请选择申报方式",IF(D296&lt;&gt;"未售-海外仓预退（HWC-YT）","不涉及核算",IF(Q296&lt;&gt;"","已核算",IF(J296="","待税务办结",IF(K296&lt;0,"已逾期：税务将追回预退税",IF(K296&lt;=60,"临近截止（60天内）","待核算")))))))</f>
        <v/>
      </c>
      <c r="T296" s="30" t="str">
        <f aca="false">IF(ISNUMBER(C296),DATE(YEAR(C296)+1,4,30),"")</f>
        <v/>
      </c>
      <c r="U296" s="43"/>
    </row>
    <row r="297" customFormat="false" ht="21.75" hidden="false" customHeight="true" outlineLevel="0" collapsed="false">
      <c r="A297" s="44"/>
      <c r="B297" s="36" t="str">
        <f aca="false">IF(A297="","",IFERROR(INDEX(①出口报关!$I$4:$I$303,MATCH(A297,①出口报关!$A$4:$A$303,0)),"编号不存在"))</f>
        <v/>
      </c>
      <c r="C297" s="30" t="str">
        <f aca="false">IF(A297="","",IFERROR(IF(INDEX(①出口报关!$D$4:$D$303,MATCH(A297,①出口报关!$A$4:$A$303,0))=0,"",INDEX(①出口报关!$D$4:$D$303,MATCH(A297,①出口报关!$A$4:$A$303,0))),"编号不存在"))</f>
        <v/>
      </c>
      <c r="D297" s="43"/>
      <c r="E297" s="45"/>
      <c r="F297" s="41"/>
      <c r="G297" s="48"/>
      <c r="H297" s="46"/>
      <c r="I297" s="41"/>
      <c r="J297" s="30" t="str">
        <f aca="false">IF(AND(D297="未售-海外仓预退（HWC-YT）",ISNUMBER(I297)),DATE(YEAR(I297)+1,4,30),"")</f>
        <v/>
      </c>
      <c r="K297" s="51" t="str">
        <f aca="true">IF(J297="","",IF(Q297&lt;&gt;"","",J297-TODAY()))</f>
        <v/>
      </c>
      <c r="L297" s="31" t="str">
        <f aca="false">IF(OR(A297="",D297&lt;&gt;"未售-海外仓预退（HWC-YT）"),"",MIN(N(E297),MAX(0,SUMIFS(②销售核销!$I$4:$I$603,②销售核销!$E$4:$E$603,A297)-SUMIFS($E$4:$E$303,$A$4:$A$303,A297,$D$4:$D$303,"已售-按现行规定申报"))))</f>
        <v/>
      </c>
      <c r="M297" s="34" t="str">
        <f aca="false">IF(OR(L297="",N(E297)=0,H297=""),"",ROUND(H297/E297*L297,2))</f>
        <v/>
      </c>
      <c r="N297" s="46"/>
      <c r="O297" s="34" t="str">
        <f aca="false">IF(OR(N297="",H297=""),"",ROUND(N297-H297,2))</f>
        <v/>
      </c>
      <c r="P297" s="36" t="str">
        <f aca="false">IF(OR(A297="",D297&lt;&gt;"未售-海外仓预退（HWC-YT）"),"",IF(L297=0,"仍未销售：需要调整申报，全额缴回预退税",IF(L297&lt;N(E297),"部分已售：需要调整申报，全额冲减后按已售部分重报",IF(N297="","全部已售：填入实际应退税额后判断",IF(O297=0,"全部已售、无差异：无需调整申报","全部已售、有差异：需要调整申报")))))</f>
        <v/>
      </c>
      <c r="Q297" s="41"/>
      <c r="R297" s="44"/>
      <c r="S297" s="36" t="str">
        <f aca="false">IF(A297="","",IF(D297="","请选择申报方式",IF(D297&lt;&gt;"未售-海外仓预退（HWC-YT）","不涉及核算",IF(Q297&lt;&gt;"","已核算",IF(J297="","待税务办结",IF(K297&lt;0,"已逾期：税务将追回预退税",IF(K297&lt;=60,"临近截止（60天内）","待核算")))))))</f>
        <v/>
      </c>
      <c r="T297" s="30" t="str">
        <f aca="false">IF(ISNUMBER(C297),DATE(YEAR(C297)+1,4,30),"")</f>
        <v/>
      </c>
      <c r="U297" s="43"/>
    </row>
    <row r="298" customFormat="false" ht="21.75" hidden="false" customHeight="true" outlineLevel="0" collapsed="false">
      <c r="A298" s="44"/>
      <c r="B298" s="36" t="str">
        <f aca="false">IF(A298="","",IFERROR(INDEX(①出口报关!$I$4:$I$303,MATCH(A298,①出口报关!$A$4:$A$303,0)),"编号不存在"))</f>
        <v/>
      </c>
      <c r="C298" s="30" t="str">
        <f aca="false">IF(A298="","",IFERROR(IF(INDEX(①出口报关!$D$4:$D$303,MATCH(A298,①出口报关!$A$4:$A$303,0))=0,"",INDEX(①出口报关!$D$4:$D$303,MATCH(A298,①出口报关!$A$4:$A$303,0))),"编号不存在"))</f>
        <v/>
      </c>
      <c r="D298" s="43"/>
      <c r="E298" s="45"/>
      <c r="F298" s="41"/>
      <c r="G298" s="48"/>
      <c r="H298" s="46"/>
      <c r="I298" s="41"/>
      <c r="J298" s="30" t="str">
        <f aca="false">IF(AND(D298="未售-海外仓预退（HWC-YT）",ISNUMBER(I298)),DATE(YEAR(I298)+1,4,30),"")</f>
        <v/>
      </c>
      <c r="K298" s="51" t="str">
        <f aca="true">IF(J298="","",IF(Q298&lt;&gt;"","",J298-TODAY()))</f>
        <v/>
      </c>
      <c r="L298" s="31" t="str">
        <f aca="false">IF(OR(A298="",D298&lt;&gt;"未售-海外仓预退（HWC-YT）"),"",MIN(N(E298),MAX(0,SUMIFS(②销售核销!$I$4:$I$603,②销售核销!$E$4:$E$603,A298)-SUMIFS($E$4:$E$303,$A$4:$A$303,A298,$D$4:$D$303,"已售-按现行规定申报"))))</f>
        <v/>
      </c>
      <c r="M298" s="34" t="str">
        <f aca="false">IF(OR(L298="",N(E298)=0,H298=""),"",ROUND(H298/E298*L298,2))</f>
        <v/>
      </c>
      <c r="N298" s="46"/>
      <c r="O298" s="34" t="str">
        <f aca="false">IF(OR(N298="",H298=""),"",ROUND(N298-H298,2))</f>
        <v/>
      </c>
      <c r="P298" s="36" t="str">
        <f aca="false">IF(OR(A298="",D298&lt;&gt;"未售-海外仓预退（HWC-YT）"),"",IF(L298=0,"仍未销售：需要调整申报，全额缴回预退税",IF(L298&lt;N(E298),"部分已售：需要调整申报，全额冲减后按已售部分重报",IF(N298="","全部已售：填入实际应退税额后判断",IF(O298=0,"全部已售、无差异：无需调整申报","全部已售、有差异：需要调整申报")))))</f>
        <v/>
      </c>
      <c r="Q298" s="41"/>
      <c r="R298" s="44"/>
      <c r="S298" s="36" t="str">
        <f aca="false">IF(A298="","",IF(D298="","请选择申报方式",IF(D298&lt;&gt;"未售-海外仓预退（HWC-YT）","不涉及核算",IF(Q298&lt;&gt;"","已核算",IF(J298="","待税务办结",IF(K298&lt;0,"已逾期：税务将追回预退税",IF(K298&lt;=60,"临近截止（60天内）","待核算")))))))</f>
        <v/>
      </c>
      <c r="T298" s="30" t="str">
        <f aca="false">IF(ISNUMBER(C298),DATE(YEAR(C298)+1,4,30),"")</f>
        <v/>
      </c>
      <c r="U298" s="43"/>
    </row>
    <row r="299" customFormat="false" ht="21.75" hidden="false" customHeight="true" outlineLevel="0" collapsed="false">
      <c r="A299" s="44"/>
      <c r="B299" s="36" t="str">
        <f aca="false">IF(A299="","",IFERROR(INDEX(①出口报关!$I$4:$I$303,MATCH(A299,①出口报关!$A$4:$A$303,0)),"编号不存在"))</f>
        <v/>
      </c>
      <c r="C299" s="30" t="str">
        <f aca="false">IF(A299="","",IFERROR(IF(INDEX(①出口报关!$D$4:$D$303,MATCH(A299,①出口报关!$A$4:$A$303,0))=0,"",INDEX(①出口报关!$D$4:$D$303,MATCH(A299,①出口报关!$A$4:$A$303,0))),"编号不存在"))</f>
        <v/>
      </c>
      <c r="D299" s="43"/>
      <c r="E299" s="45"/>
      <c r="F299" s="41"/>
      <c r="G299" s="48"/>
      <c r="H299" s="46"/>
      <c r="I299" s="41"/>
      <c r="J299" s="30" t="str">
        <f aca="false">IF(AND(D299="未售-海外仓预退（HWC-YT）",ISNUMBER(I299)),DATE(YEAR(I299)+1,4,30),"")</f>
        <v/>
      </c>
      <c r="K299" s="51" t="str">
        <f aca="true">IF(J299="","",IF(Q299&lt;&gt;"","",J299-TODAY()))</f>
        <v/>
      </c>
      <c r="L299" s="31" t="str">
        <f aca="false">IF(OR(A299="",D299&lt;&gt;"未售-海外仓预退（HWC-YT）"),"",MIN(N(E299),MAX(0,SUMIFS(②销售核销!$I$4:$I$603,②销售核销!$E$4:$E$603,A299)-SUMIFS($E$4:$E$303,$A$4:$A$303,A299,$D$4:$D$303,"已售-按现行规定申报"))))</f>
        <v/>
      </c>
      <c r="M299" s="34" t="str">
        <f aca="false">IF(OR(L299="",N(E299)=0,H299=""),"",ROUND(H299/E299*L299,2))</f>
        <v/>
      </c>
      <c r="N299" s="46"/>
      <c r="O299" s="34" t="str">
        <f aca="false">IF(OR(N299="",H299=""),"",ROUND(N299-H299,2))</f>
        <v/>
      </c>
      <c r="P299" s="36" t="str">
        <f aca="false">IF(OR(A299="",D299&lt;&gt;"未售-海外仓预退（HWC-YT）"),"",IF(L299=0,"仍未销售：需要调整申报，全额缴回预退税",IF(L299&lt;N(E299),"部分已售：需要调整申报，全额冲减后按已售部分重报",IF(N299="","全部已售：填入实际应退税额后判断",IF(O299=0,"全部已售、无差异：无需调整申报","全部已售、有差异：需要调整申报")))))</f>
        <v/>
      </c>
      <c r="Q299" s="41"/>
      <c r="R299" s="44"/>
      <c r="S299" s="36" t="str">
        <f aca="false">IF(A299="","",IF(D299="","请选择申报方式",IF(D299&lt;&gt;"未售-海外仓预退（HWC-YT）","不涉及核算",IF(Q299&lt;&gt;"","已核算",IF(J299="","待税务办结",IF(K299&lt;0,"已逾期：税务将追回预退税",IF(K299&lt;=60,"临近截止（60天内）","待核算")))))))</f>
        <v/>
      </c>
      <c r="T299" s="30" t="str">
        <f aca="false">IF(ISNUMBER(C299),DATE(YEAR(C299)+1,4,30),"")</f>
        <v/>
      </c>
      <c r="U299" s="43"/>
    </row>
    <row r="300" customFormat="false" ht="21.75" hidden="false" customHeight="true" outlineLevel="0" collapsed="false">
      <c r="A300" s="44"/>
      <c r="B300" s="36" t="str">
        <f aca="false">IF(A300="","",IFERROR(INDEX(①出口报关!$I$4:$I$303,MATCH(A300,①出口报关!$A$4:$A$303,0)),"编号不存在"))</f>
        <v/>
      </c>
      <c r="C300" s="30" t="str">
        <f aca="false">IF(A300="","",IFERROR(IF(INDEX(①出口报关!$D$4:$D$303,MATCH(A300,①出口报关!$A$4:$A$303,0))=0,"",INDEX(①出口报关!$D$4:$D$303,MATCH(A300,①出口报关!$A$4:$A$303,0))),"编号不存在"))</f>
        <v/>
      </c>
      <c r="D300" s="43"/>
      <c r="E300" s="45"/>
      <c r="F300" s="41"/>
      <c r="G300" s="48"/>
      <c r="H300" s="46"/>
      <c r="I300" s="41"/>
      <c r="J300" s="30" t="str">
        <f aca="false">IF(AND(D300="未售-海外仓预退（HWC-YT）",ISNUMBER(I300)),DATE(YEAR(I300)+1,4,30),"")</f>
        <v/>
      </c>
      <c r="K300" s="51" t="str">
        <f aca="true">IF(J300="","",IF(Q300&lt;&gt;"","",J300-TODAY()))</f>
        <v/>
      </c>
      <c r="L300" s="31" t="str">
        <f aca="false">IF(OR(A300="",D300&lt;&gt;"未售-海外仓预退（HWC-YT）"),"",MIN(N(E300),MAX(0,SUMIFS(②销售核销!$I$4:$I$603,②销售核销!$E$4:$E$603,A300)-SUMIFS($E$4:$E$303,$A$4:$A$303,A300,$D$4:$D$303,"已售-按现行规定申报"))))</f>
        <v/>
      </c>
      <c r="M300" s="34" t="str">
        <f aca="false">IF(OR(L300="",N(E300)=0,H300=""),"",ROUND(H300/E300*L300,2))</f>
        <v/>
      </c>
      <c r="N300" s="46"/>
      <c r="O300" s="34" t="str">
        <f aca="false">IF(OR(N300="",H300=""),"",ROUND(N300-H300,2))</f>
        <v/>
      </c>
      <c r="P300" s="36" t="str">
        <f aca="false">IF(OR(A300="",D300&lt;&gt;"未售-海外仓预退（HWC-YT）"),"",IF(L300=0,"仍未销售：需要调整申报，全额缴回预退税",IF(L300&lt;N(E300),"部分已售：需要调整申报，全额冲减后按已售部分重报",IF(N300="","全部已售：填入实际应退税额后判断",IF(O300=0,"全部已售、无差异：无需调整申报","全部已售、有差异：需要调整申报")))))</f>
        <v/>
      </c>
      <c r="Q300" s="41"/>
      <c r="R300" s="44"/>
      <c r="S300" s="36" t="str">
        <f aca="false">IF(A300="","",IF(D300="","请选择申报方式",IF(D300&lt;&gt;"未售-海外仓预退（HWC-YT）","不涉及核算",IF(Q300&lt;&gt;"","已核算",IF(J300="","待税务办结",IF(K300&lt;0,"已逾期：税务将追回预退税",IF(K300&lt;=60,"临近截止（60天内）","待核算")))))))</f>
        <v/>
      </c>
      <c r="T300" s="30" t="str">
        <f aca="false">IF(ISNUMBER(C300),DATE(YEAR(C300)+1,4,30),"")</f>
        <v/>
      </c>
      <c r="U300" s="43"/>
    </row>
    <row r="301" customFormat="false" ht="21.75" hidden="false" customHeight="true" outlineLevel="0" collapsed="false">
      <c r="A301" s="44"/>
      <c r="B301" s="36" t="str">
        <f aca="false">IF(A301="","",IFERROR(INDEX(①出口报关!$I$4:$I$303,MATCH(A301,①出口报关!$A$4:$A$303,0)),"编号不存在"))</f>
        <v/>
      </c>
      <c r="C301" s="30" t="str">
        <f aca="false">IF(A301="","",IFERROR(IF(INDEX(①出口报关!$D$4:$D$303,MATCH(A301,①出口报关!$A$4:$A$303,0))=0,"",INDEX(①出口报关!$D$4:$D$303,MATCH(A301,①出口报关!$A$4:$A$303,0))),"编号不存在"))</f>
        <v/>
      </c>
      <c r="D301" s="43"/>
      <c r="E301" s="45"/>
      <c r="F301" s="41"/>
      <c r="G301" s="48"/>
      <c r="H301" s="46"/>
      <c r="I301" s="41"/>
      <c r="J301" s="30" t="str">
        <f aca="false">IF(AND(D301="未售-海外仓预退（HWC-YT）",ISNUMBER(I301)),DATE(YEAR(I301)+1,4,30),"")</f>
        <v/>
      </c>
      <c r="K301" s="51" t="str">
        <f aca="true">IF(J301="","",IF(Q301&lt;&gt;"","",J301-TODAY()))</f>
        <v/>
      </c>
      <c r="L301" s="31" t="str">
        <f aca="false">IF(OR(A301="",D301&lt;&gt;"未售-海外仓预退（HWC-YT）"),"",MIN(N(E301),MAX(0,SUMIFS(②销售核销!$I$4:$I$603,②销售核销!$E$4:$E$603,A301)-SUMIFS($E$4:$E$303,$A$4:$A$303,A301,$D$4:$D$303,"已售-按现行规定申报"))))</f>
        <v/>
      </c>
      <c r="M301" s="34" t="str">
        <f aca="false">IF(OR(L301="",N(E301)=0,H301=""),"",ROUND(H301/E301*L301,2))</f>
        <v/>
      </c>
      <c r="N301" s="46"/>
      <c r="O301" s="34" t="str">
        <f aca="false">IF(OR(N301="",H301=""),"",ROUND(N301-H301,2))</f>
        <v/>
      </c>
      <c r="P301" s="36" t="str">
        <f aca="false">IF(OR(A301="",D301&lt;&gt;"未售-海外仓预退（HWC-YT）"),"",IF(L301=0,"仍未销售：需要调整申报，全额缴回预退税",IF(L301&lt;N(E301),"部分已售：需要调整申报，全额冲减后按已售部分重报",IF(N301="","全部已售：填入实际应退税额后判断",IF(O301=0,"全部已售、无差异：无需调整申报","全部已售、有差异：需要调整申报")))))</f>
        <v/>
      </c>
      <c r="Q301" s="41"/>
      <c r="R301" s="44"/>
      <c r="S301" s="36" t="str">
        <f aca="false">IF(A301="","",IF(D301="","请选择申报方式",IF(D301&lt;&gt;"未售-海外仓预退（HWC-YT）","不涉及核算",IF(Q301&lt;&gt;"","已核算",IF(J301="","待税务办结",IF(K301&lt;0,"已逾期：税务将追回预退税",IF(K301&lt;=60,"临近截止（60天内）","待核算")))))))</f>
        <v/>
      </c>
      <c r="T301" s="30" t="str">
        <f aca="false">IF(ISNUMBER(C301),DATE(YEAR(C301)+1,4,30),"")</f>
        <v/>
      </c>
      <c r="U301" s="43"/>
    </row>
    <row r="302" customFormat="false" ht="21.75" hidden="false" customHeight="true" outlineLevel="0" collapsed="false">
      <c r="A302" s="44"/>
      <c r="B302" s="36" t="str">
        <f aca="false">IF(A302="","",IFERROR(INDEX(①出口报关!$I$4:$I$303,MATCH(A302,①出口报关!$A$4:$A$303,0)),"编号不存在"))</f>
        <v/>
      </c>
      <c r="C302" s="30" t="str">
        <f aca="false">IF(A302="","",IFERROR(IF(INDEX(①出口报关!$D$4:$D$303,MATCH(A302,①出口报关!$A$4:$A$303,0))=0,"",INDEX(①出口报关!$D$4:$D$303,MATCH(A302,①出口报关!$A$4:$A$303,0))),"编号不存在"))</f>
        <v/>
      </c>
      <c r="D302" s="43"/>
      <c r="E302" s="45"/>
      <c r="F302" s="41"/>
      <c r="G302" s="48"/>
      <c r="H302" s="46"/>
      <c r="I302" s="41"/>
      <c r="J302" s="30" t="str">
        <f aca="false">IF(AND(D302="未售-海外仓预退（HWC-YT）",ISNUMBER(I302)),DATE(YEAR(I302)+1,4,30),"")</f>
        <v/>
      </c>
      <c r="K302" s="51" t="str">
        <f aca="true">IF(J302="","",IF(Q302&lt;&gt;"","",J302-TODAY()))</f>
        <v/>
      </c>
      <c r="L302" s="31" t="str">
        <f aca="false">IF(OR(A302="",D302&lt;&gt;"未售-海外仓预退（HWC-YT）"),"",MIN(N(E302),MAX(0,SUMIFS(②销售核销!$I$4:$I$603,②销售核销!$E$4:$E$603,A302)-SUMIFS($E$4:$E$303,$A$4:$A$303,A302,$D$4:$D$303,"已售-按现行规定申报"))))</f>
        <v/>
      </c>
      <c r="M302" s="34" t="str">
        <f aca="false">IF(OR(L302="",N(E302)=0,H302=""),"",ROUND(H302/E302*L302,2))</f>
        <v/>
      </c>
      <c r="N302" s="46"/>
      <c r="O302" s="34" t="str">
        <f aca="false">IF(OR(N302="",H302=""),"",ROUND(N302-H302,2))</f>
        <v/>
      </c>
      <c r="P302" s="36" t="str">
        <f aca="false">IF(OR(A302="",D302&lt;&gt;"未售-海外仓预退（HWC-YT）"),"",IF(L302=0,"仍未销售：需要调整申报，全额缴回预退税",IF(L302&lt;N(E302),"部分已售：需要调整申报，全额冲减后按已售部分重报",IF(N302="","全部已售：填入实际应退税额后判断",IF(O302=0,"全部已售、无差异：无需调整申报","全部已售、有差异：需要调整申报")))))</f>
        <v/>
      </c>
      <c r="Q302" s="41"/>
      <c r="R302" s="44"/>
      <c r="S302" s="36" t="str">
        <f aca="false">IF(A302="","",IF(D302="","请选择申报方式",IF(D302&lt;&gt;"未售-海外仓预退（HWC-YT）","不涉及核算",IF(Q302&lt;&gt;"","已核算",IF(J302="","待税务办结",IF(K302&lt;0,"已逾期：税务将追回预退税",IF(K302&lt;=60,"临近截止（60天内）","待核算")))))))</f>
        <v/>
      </c>
      <c r="T302" s="30" t="str">
        <f aca="false">IF(ISNUMBER(C302),DATE(YEAR(C302)+1,4,30),"")</f>
        <v/>
      </c>
      <c r="U302" s="43"/>
    </row>
    <row r="303" customFormat="false" ht="21.75" hidden="false" customHeight="true" outlineLevel="0" collapsed="false">
      <c r="A303" s="44"/>
      <c r="B303" s="36" t="str">
        <f aca="false">IF(A303="","",IFERROR(INDEX(①出口报关!$I$4:$I$303,MATCH(A303,①出口报关!$A$4:$A$303,0)),"编号不存在"))</f>
        <v/>
      </c>
      <c r="C303" s="30" t="str">
        <f aca="false">IF(A303="","",IFERROR(IF(INDEX(①出口报关!$D$4:$D$303,MATCH(A303,①出口报关!$A$4:$A$303,0))=0,"",INDEX(①出口报关!$D$4:$D$303,MATCH(A303,①出口报关!$A$4:$A$303,0))),"编号不存在"))</f>
        <v/>
      </c>
      <c r="D303" s="43"/>
      <c r="E303" s="45"/>
      <c r="F303" s="41"/>
      <c r="G303" s="48"/>
      <c r="H303" s="46"/>
      <c r="I303" s="41"/>
      <c r="J303" s="30" t="str">
        <f aca="false">IF(AND(D303="未售-海外仓预退（HWC-YT）",ISNUMBER(I303)),DATE(YEAR(I303)+1,4,30),"")</f>
        <v/>
      </c>
      <c r="K303" s="51" t="str">
        <f aca="true">IF(J303="","",IF(Q303&lt;&gt;"","",J303-TODAY()))</f>
        <v/>
      </c>
      <c r="L303" s="31" t="str">
        <f aca="false">IF(OR(A303="",D303&lt;&gt;"未售-海外仓预退（HWC-YT）"),"",MIN(N(E303),MAX(0,SUMIFS(②销售核销!$I$4:$I$603,②销售核销!$E$4:$E$603,A303)-SUMIFS($E$4:$E$303,$A$4:$A$303,A303,$D$4:$D$303,"已售-按现行规定申报"))))</f>
        <v/>
      </c>
      <c r="M303" s="34" t="str">
        <f aca="false">IF(OR(L303="",N(E303)=0,H303=""),"",ROUND(H303/E303*L303,2))</f>
        <v/>
      </c>
      <c r="N303" s="46"/>
      <c r="O303" s="34" t="str">
        <f aca="false">IF(OR(N303="",H303=""),"",ROUND(N303-H303,2))</f>
        <v/>
      </c>
      <c r="P303" s="36" t="str">
        <f aca="false">IF(OR(A303="",D303&lt;&gt;"未售-海外仓预退（HWC-YT）"),"",IF(L303=0,"仍未销售：需要调整申报，全额缴回预退税",IF(L303&lt;N(E303),"部分已售：需要调整申报，全额冲减后按已售部分重报",IF(N303="","全部已售：填入实际应退税额后判断",IF(O303=0,"全部已售、无差异：无需调整申报","全部已售、有差异：需要调整申报")))))</f>
        <v/>
      </c>
      <c r="Q303" s="41"/>
      <c r="R303" s="44"/>
      <c r="S303" s="36" t="str">
        <f aca="false">IF(A303="","",IF(D303="","请选择申报方式",IF(D303&lt;&gt;"未售-海外仓预退（HWC-YT）","不涉及核算",IF(Q303&lt;&gt;"","已核算",IF(J303="","待税务办结",IF(K303&lt;0,"已逾期：税务将追回预退税",IF(K303&lt;=60,"临近截止（60天内）","待核算")))))))</f>
        <v/>
      </c>
      <c r="T303" s="30" t="str">
        <f aca="false">IF(ISNUMBER(C303),DATE(YEAR(C303)+1,4,30),"")</f>
        <v/>
      </c>
      <c r="U303" s="43"/>
    </row>
  </sheetData>
  <mergeCells count="1">
    <mergeCell ref="A2:U2"/>
  </mergeCells>
  <conditionalFormatting sqref="B4:B303">
    <cfRule type="expression" priority="2" aboveAverage="0" equalAverage="0" bottom="0" percent="0" rank="0" text="" dxfId="0">
      <formula>OR(ISNUMBER(SEARCH("逾期",B4)),ISNUMBER(SEARCH("超期",B4)),ISNUMBER(SEARCH("缺",B4)),ISNUMBER(SEARCH("未收汇",B4)),ISNUMBER(SEARCH("不符",B4)),ISNUMBER(SEARCH("未建档",B4)),ISNUMBER(SEARCH("超过",B4)),ISNUMBER(SEARCH("未登记",B4)),ISNUMBER(SEARCH("不存在",B4)),ISNUMBER(SEARCH("差异",B4)))</formula>
    </cfRule>
    <cfRule type="expression" priority="3" aboveAverage="0" equalAverage="0" bottom="0" percent="0" rank="0" text="" dxfId="2">
      <formula>OR(ISNUMBER(SEARCH("临近",B4)),ISNUMBER(SEARCH("仍未销售",B4)),ISNUMBER(SEARCH("需要调整",B4)),ISNUMBER(SEARCH("待",B4)),ISNUMBER(SEARCH("尚未",B4)),ISNUMBER(SEARCH("请选择",B4)),ISNUMBER(SEARCH("未签收",B4)))</formula>
    </cfRule>
    <cfRule type="expression" priority="4" aboveAverage="0" equalAverage="0" bottom="0" percent="0" rank="0" text="" dxfId="3">
      <formula>OR(ISNUMBER(SEARCH("已收汇",B4)),ISNUMBER(SEARCH("及时",B4)),ISNUMBER(SEARCH("按时",B4)),ISNUMBER(SEARCH("齐全",B4)),ISNUMBER(SEARCH("已核算",B4)),B4="正常",B4="一致",ISNUMBER(SEARCH("无需调整",B4)))</formula>
    </cfRule>
  </conditionalFormatting>
  <conditionalFormatting sqref="P4:P303">
    <cfRule type="expression" priority="5" aboveAverage="0" equalAverage="0" bottom="0" percent="0" rank="0" text="" dxfId="0">
      <formula>OR(ISNUMBER(SEARCH("逾期",P4)),ISNUMBER(SEARCH("超期",P4)),ISNUMBER(SEARCH("缺",P4)),ISNUMBER(SEARCH("未收汇",P4)),ISNUMBER(SEARCH("不符",P4)),ISNUMBER(SEARCH("未建档",P4)),ISNUMBER(SEARCH("超过",P4)),ISNUMBER(SEARCH("未登记",P4)),ISNUMBER(SEARCH("不存在",P4)),ISNUMBER(SEARCH("差异",P4)))</formula>
    </cfRule>
    <cfRule type="expression" priority="6" aboveAverage="0" equalAverage="0" bottom="0" percent="0" rank="0" text="" dxfId="2">
      <formula>OR(ISNUMBER(SEARCH("临近",P4)),ISNUMBER(SEARCH("仍未销售",P4)),ISNUMBER(SEARCH("需要调整",P4)),ISNUMBER(SEARCH("待",P4)),ISNUMBER(SEARCH("尚未",P4)),ISNUMBER(SEARCH("请选择",P4)),ISNUMBER(SEARCH("未签收",P4)))</formula>
    </cfRule>
    <cfRule type="expression" priority="7" aboveAverage="0" equalAverage="0" bottom="0" percent="0" rank="0" text="" dxfId="3">
      <formula>OR(ISNUMBER(SEARCH("已收汇",P4)),ISNUMBER(SEARCH("及时",P4)),ISNUMBER(SEARCH("按时",P4)),ISNUMBER(SEARCH("齐全",P4)),ISNUMBER(SEARCH("已核算",P4)),P4="正常",P4="一致",ISNUMBER(SEARCH("无需调整",P4)))</formula>
    </cfRule>
  </conditionalFormatting>
  <conditionalFormatting sqref="S4:S303">
    <cfRule type="expression" priority="8" aboveAverage="0" equalAverage="0" bottom="0" percent="0" rank="0" text="" dxfId="0">
      <formula>OR(ISNUMBER(SEARCH("逾期",S4)),ISNUMBER(SEARCH("超期",S4)),ISNUMBER(SEARCH("缺",S4)),ISNUMBER(SEARCH("未收汇",S4)),ISNUMBER(SEARCH("不符",S4)),ISNUMBER(SEARCH("未建档",S4)),ISNUMBER(SEARCH("超过",S4)),ISNUMBER(SEARCH("未登记",S4)),ISNUMBER(SEARCH("不存在",S4)),ISNUMBER(SEARCH("差异",S4)))</formula>
    </cfRule>
    <cfRule type="expression" priority="9" aboveAverage="0" equalAverage="0" bottom="0" percent="0" rank="0" text="" dxfId="2">
      <formula>OR(ISNUMBER(SEARCH("临近",S4)),ISNUMBER(SEARCH("仍未销售",S4)),ISNUMBER(SEARCH("需要调整",S4)),ISNUMBER(SEARCH("待",S4)),ISNUMBER(SEARCH("尚未",S4)),ISNUMBER(SEARCH("请选择",S4)),ISNUMBER(SEARCH("未签收",S4)))</formula>
    </cfRule>
    <cfRule type="expression" priority="10" aboveAverage="0" equalAverage="0" bottom="0" percent="0" rank="0" text="" dxfId="3">
      <formula>OR(ISNUMBER(SEARCH("已收汇",S4)),ISNUMBER(SEARCH("及时",S4)),ISNUMBER(SEARCH("按时",S4)),ISNUMBER(SEARCH("齐全",S4)),ISNUMBER(SEARCH("已核算",S4)),S4="正常",S4="一致",ISNUMBER(SEARCH("无需调整",S4)))</formula>
    </cfRule>
  </conditionalFormatting>
  <dataValidations count="3">
    <dataValidation allowBlank="true" error="请从下拉列表中选择，或先在参数表/出口报关中登记。" errorStyle="stop" errorTitle="请从下拉中选择" operator="between" showDropDown="false" showErrorMessage="true" showInputMessage="false" sqref="A4:A303" type="list">
      <formula1>①出口报关!$A$4:$A$303</formula1>
      <formula2>0</formula2>
    </dataValidation>
    <dataValidation allowBlank="true" error="请从下拉列表中选择，或先在参数表/出口报关中登记。" errorStyle="stop" errorTitle="请从下拉中选择" operator="between" showDropDown="false" showErrorMessage="true" showInputMessage="false" sqref="D4:D303" type="list">
      <formula1>参数表!$M$13:$M$40</formula1>
      <formula2>0</formula2>
    </dataValidation>
    <dataValidation allowBlank="true" errorStyle="stop" operator="between" showDropDown="false" showErrorMessage="false" showInputMessage="false" sqref="R4:R303" type="list">
      <formula1>参数表!$N$13:$N$40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6C8"/>
    <pageSetUpPr fitToPage="true"/>
  </sheetPr>
  <dimension ref="A1:I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36"/>
  </cols>
  <sheetData>
    <row r="1" customFormat="false" ht="36" hidden="false" customHeight="true" outlineLevel="0" collapsed="false">
      <c r="A1" s="23" t="s">
        <v>256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2" t="s">
        <v>257</v>
      </c>
      <c r="B2" s="22"/>
      <c r="C2" s="22"/>
      <c r="D2" s="22"/>
      <c r="E2" s="22"/>
      <c r="F2" s="22"/>
      <c r="G2" s="22"/>
      <c r="H2" s="22"/>
      <c r="I2" s="22"/>
    </row>
    <row r="3" customFormat="false" ht="61.5" hidden="false" customHeight="true" outlineLevel="0" collapsed="false">
      <c r="A3" s="37" t="s">
        <v>258</v>
      </c>
      <c r="B3" s="37" t="s">
        <v>124</v>
      </c>
      <c r="C3" s="28" t="s">
        <v>235</v>
      </c>
      <c r="D3" s="37" t="s">
        <v>259</v>
      </c>
      <c r="E3" s="37" t="s">
        <v>260</v>
      </c>
      <c r="F3" s="37" t="s">
        <v>261</v>
      </c>
      <c r="G3" s="37" t="s">
        <v>262</v>
      </c>
      <c r="H3" s="37" t="s">
        <v>263</v>
      </c>
      <c r="I3" s="37" t="s">
        <v>264</v>
      </c>
    </row>
    <row r="4" customFormat="false" ht="21.75" hidden="false" customHeight="true" outlineLevel="0" collapsed="false">
      <c r="A4" s="41" t="n">
        <v>46218</v>
      </c>
      <c r="B4" s="44" t="s">
        <v>200</v>
      </c>
      <c r="C4" s="36" t="str">
        <f aca="false">IF(B4="","",IFERROR(INDEX(①出口报关!$I$4:$I$303,MATCH(B4,①出口报关!$A$4:$A$303,0)),"编号不存在"))</f>
        <v>DEMO-A01</v>
      </c>
      <c r="D4" s="43" t="s">
        <v>265</v>
      </c>
      <c r="E4" s="45" t="n">
        <v>3</v>
      </c>
      <c r="F4" s="46" t="n">
        <v>18</v>
      </c>
      <c r="G4" s="48" t="s">
        <v>266</v>
      </c>
      <c r="H4" s="43" t="s">
        <v>267</v>
      </c>
      <c r="I4" s="43" t="s">
        <v>268</v>
      </c>
    </row>
    <row r="5" customFormat="false" ht="21.75" hidden="false" customHeight="true" outlineLevel="0" collapsed="false">
      <c r="A5" s="41"/>
      <c r="B5" s="44"/>
      <c r="C5" s="36" t="str">
        <f aca="false">IF(B5="","",IFERROR(INDEX(①出口报关!$I$4:$I$303,MATCH(B5,①出口报关!$A$4:$A$303,0)),"编号不存在"))</f>
        <v/>
      </c>
      <c r="D5" s="43"/>
      <c r="E5" s="45"/>
      <c r="F5" s="46"/>
      <c r="G5" s="48"/>
      <c r="H5" s="43"/>
      <c r="I5" s="43"/>
    </row>
    <row r="6" customFormat="false" ht="21.75" hidden="false" customHeight="true" outlineLevel="0" collapsed="false">
      <c r="A6" s="41"/>
      <c r="B6" s="44"/>
      <c r="C6" s="36" t="str">
        <f aca="false">IF(B6="","",IFERROR(INDEX(①出口报关!$I$4:$I$303,MATCH(B6,①出口报关!$A$4:$A$303,0)),"编号不存在"))</f>
        <v/>
      </c>
      <c r="D6" s="43"/>
      <c r="E6" s="45"/>
      <c r="F6" s="46"/>
      <c r="G6" s="48"/>
      <c r="H6" s="43"/>
      <c r="I6" s="43"/>
    </row>
    <row r="7" customFormat="false" ht="21.75" hidden="false" customHeight="true" outlineLevel="0" collapsed="false">
      <c r="A7" s="41"/>
      <c r="B7" s="44"/>
      <c r="C7" s="36" t="str">
        <f aca="false">IF(B7="","",IFERROR(INDEX(①出口报关!$I$4:$I$303,MATCH(B7,①出口报关!$A$4:$A$303,0)),"编号不存在"))</f>
        <v/>
      </c>
      <c r="D7" s="43"/>
      <c r="E7" s="45"/>
      <c r="F7" s="46"/>
      <c r="G7" s="48"/>
      <c r="H7" s="43"/>
      <c r="I7" s="43"/>
    </row>
    <row r="8" customFormat="false" ht="21.75" hidden="false" customHeight="true" outlineLevel="0" collapsed="false">
      <c r="A8" s="41"/>
      <c r="B8" s="44"/>
      <c r="C8" s="36" t="str">
        <f aca="false">IF(B8="","",IFERROR(INDEX(①出口报关!$I$4:$I$303,MATCH(B8,①出口报关!$A$4:$A$303,0)),"编号不存在"))</f>
        <v/>
      </c>
      <c r="D8" s="43"/>
      <c r="E8" s="45"/>
      <c r="F8" s="46"/>
      <c r="G8" s="48"/>
      <c r="H8" s="43"/>
      <c r="I8" s="43"/>
    </row>
    <row r="9" customFormat="false" ht="21.75" hidden="false" customHeight="true" outlineLevel="0" collapsed="false">
      <c r="A9" s="41"/>
      <c r="B9" s="44"/>
      <c r="C9" s="36" t="str">
        <f aca="false">IF(B9="","",IFERROR(INDEX(①出口报关!$I$4:$I$303,MATCH(B9,①出口报关!$A$4:$A$303,0)),"编号不存在"))</f>
        <v/>
      </c>
      <c r="D9" s="43"/>
      <c r="E9" s="45"/>
      <c r="F9" s="46"/>
      <c r="G9" s="48"/>
      <c r="H9" s="43"/>
      <c r="I9" s="43"/>
    </row>
    <row r="10" customFormat="false" ht="21.75" hidden="false" customHeight="true" outlineLevel="0" collapsed="false">
      <c r="A10" s="41"/>
      <c r="B10" s="44"/>
      <c r="C10" s="36" t="str">
        <f aca="false">IF(B10="","",IFERROR(INDEX(①出口报关!$I$4:$I$303,MATCH(B10,①出口报关!$A$4:$A$303,0)),"编号不存在"))</f>
        <v/>
      </c>
      <c r="D10" s="43"/>
      <c r="E10" s="45"/>
      <c r="F10" s="46"/>
      <c r="G10" s="48"/>
      <c r="H10" s="43"/>
      <c r="I10" s="43"/>
    </row>
    <row r="11" customFormat="false" ht="21.75" hidden="false" customHeight="true" outlineLevel="0" collapsed="false">
      <c r="A11" s="41"/>
      <c r="B11" s="44"/>
      <c r="C11" s="36" t="str">
        <f aca="false">IF(B11="","",IFERROR(INDEX(①出口报关!$I$4:$I$303,MATCH(B11,①出口报关!$A$4:$A$303,0)),"编号不存在"))</f>
        <v/>
      </c>
      <c r="D11" s="43"/>
      <c r="E11" s="45"/>
      <c r="F11" s="46"/>
      <c r="G11" s="48"/>
      <c r="H11" s="43"/>
      <c r="I11" s="43"/>
    </row>
    <row r="12" customFormat="false" ht="21.75" hidden="false" customHeight="true" outlineLevel="0" collapsed="false">
      <c r="A12" s="41"/>
      <c r="B12" s="44"/>
      <c r="C12" s="36" t="str">
        <f aca="false">IF(B12="","",IFERROR(INDEX(①出口报关!$I$4:$I$303,MATCH(B12,①出口报关!$A$4:$A$303,0)),"编号不存在"))</f>
        <v/>
      </c>
      <c r="D12" s="43"/>
      <c r="E12" s="45"/>
      <c r="F12" s="46"/>
      <c r="G12" s="48"/>
      <c r="H12" s="43"/>
      <c r="I12" s="43"/>
    </row>
    <row r="13" customFormat="false" ht="21.75" hidden="false" customHeight="true" outlineLevel="0" collapsed="false">
      <c r="A13" s="41"/>
      <c r="B13" s="44"/>
      <c r="C13" s="36" t="str">
        <f aca="false">IF(B13="","",IFERROR(INDEX(①出口报关!$I$4:$I$303,MATCH(B13,①出口报关!$A$4:$A$303,0)),"编号不存在"))</f>
        <v/>
      </c>
      <c r="D13" s="43"/>
      <c r="E13" s="45"/>
      <c r="F13" s="46"/>
      <c r="G13" s="48"/>
      <c r="H13" s="43"/>
      <c r="I13" s="43"/>
    </row>
    <row r="14" customFormat="false" ht="21.75" hidden="false" customHeight="true" outlineLevel="0" collapsed="false">
      <c r="A14" s="41"/>
      <c r="B14" s="44"/>
      <c r="C14" s="36" t="str">
        <f aca="false">IF(B14="","",IFERROR(INDEX(①出口报关!$I$4:$I$303,MATCH(B14,①出口报关!$A$4:$A$303,0)),"编号不存在"))</f>
        <v/>
      </c>
      <c r="D14" s="43"/>
      <c r="E14" s="45"/>
      <c r="F14" s="46"/>
      <c r="G14" s="48"/>
      <c r="H14" s="43"/>
      <c r="I14" s="43"/>
    </row>
    <row r="15" customFormat="false" ht="21.75" hidden="false" customHeight="true" outlineLevel="0" collapsed="false">
      <c r="A15" s="41"/>
      <c r="B15" s="44"/>
      <c r="C15" s="36" t="str">
        <f aca="false">IF(B15="","",IFERROR(INDEX(①出口报关!$I$4:$I$303,MATCH(B15,①出口报关!$A$4:$A$303,0)),"编号不存在"))</f>
        <v/>
      </c>
      <c r="D15" s="43"/>
      <c r="E15" s="45"/>
      <c r="F15" s="46"/>
      <c r="G15" s="48"/>
      <c r="H15" s="43"/>
      <c r="I15" s="43"/>
    </row>
    <row r="16" customFormat="false" ht="21.75" hidden="false" customHeight="true" outlineLevel="0" collapsed="false">
      <c r="A16" s="41"/>
      <c r="B16" s="44"/>
      <c r="C16" s="36" t="str">
        <f aca="false">IF(B16="","",IFERROR(INDEX(①出口报关!$I$4:$I$303,MATCH(B16,①出口报关!$A$4:$A$303,0)),"编号不存在"))</f>
        <v/>
      </c>
      <c r="D16" s="43"/>
      <c r="E16" s="45"/>
      <c r="F16" s="46"/>
      <c r="G16" s="48"/>
      <c r="H16" s="43"/>
      <c r="I16" s="43"/>
    </row>
    <row r="17" customFormat="false" ht="21.75" hidden="false" customHeight="true" outlineLevel="0" collapsed="false">
      <c r="A17" s="41"/>
      <c r="B17" s="44"/>
      <c r="C17" s="36" t="str">
        <f aca="false">IF(B17="","",IFERROR(INDEX(①出口报关!$I$4:$I$303,MATCH(B17,①出口报关!$A$4:$A$303,0)),"编号不存在"))</f>
        <v/>
      </c>
      <c r="D17" s="43"/>
      <c r="E17" s="45"/>
      <c r="F17" s="46"/>
      <c r="G17" s="48"/>
      <c r="H17" s="43"/>
      <c r="I17" s="43"/>
    </row>
    <row r="18" customFormat="false" ht="21.75" hidden="false" customHeight="true" outlineLevel="0" collapsed="false">
      <c r="A18" s="41"/>
      <c r="B18" s="44"/>
      <c r="C18" s="36" t="str">
        <f aca="false">IF(B18="","",IFERROR(INDEX(①出口报关!$I$4:$I$303,MATCH(B18,①出口报关!$A$4:$A$303,0)),"编号不存在"))</f>
        <v/>
      </c>
      <c r="D18" s="43"/>
      <c r="E18" s="45"/>
      <c r="F18" s="46"/>
      <c r="G18" s="48"/>
      <c r="H18" s="43"/>
      <c r="I18" s="43"/>
    </row>
    <row r="19" customFormat="false" ht="21.75" hidden="false" customHeight="true" outlineLevel="0" collapsed="false">
      <c r="A19" s="41"/>
      <c r="B19" s="44"/>
      <c r="C19" s="36" t="str">
        <f aca="false">IF(B19="","",IFERROR(INDEX(①出口报关!$I$4:$I$303,MATCH(B19,①出口报关!$A$4:$A$303,0)),"编号不存在"))</f>
        <v/>
      </c>
      <c r="D19" s="43"/>
      <c r="E19" s="45"/>
      <c r="F19" s="46"/>
      <c r="G19" s="48"/>
      <c r="H19" s="43"/>
      <c r="I19" s="43"/>
    </row>
    <row r="20" customFormat="false" ht="21.75" hidden="false" customHeight="true" outlineLevel="0" collapsed="false">
      <c r="A20" s="41"/>
      <c r="B20" s="44"/>
      <c r="C20" s="36" t="str">
        <f aca="false">IF(B20="","",IFERROR(INDEX(①出口报关!$I$4:$I$303,MATCH(B20,①出口报关!$A$4:$A$303,0)),"编号不存在"))</f>
        <v/>
      </c>
      <c r="D20" s="43"/>
      <c r="E20" s="45"/>
      <c r="F20" s="46"/>
      <c r="G20" s="48"/>
      <c r="H20" s="43"/>
      <c r="I20" s="43"/>
    </row>
    <row r="21" customFormat="false" ht="21.75" hidden="false" customHeight="true" outlineLevel="0" collapsed="false">
      <c r="A21" s="41"/>
      <c r="B21" s="44"/>
      <c r="C21" s="36" t="str">
        <f aca="false">IF(B21="","",IFERROR(INDEX(①出口报关!$I$4:$I$303,MATCH(B21,①出口报关!$A$4:$A$303,0)),"编号不存在"))</f>
        <v/>
      </c>
      <c r="D21" s="43"/>
      <c r="E21" s="45"/>
      <c r="F21" s="46"/>
      <c r="G21" s="48"/>
      <c r="H21" s="43"/>
      <c r="I21" s="43"/>
    </row>
    <row r="22" customFormat="false" ht="21.75" hidden="false" customHeight="true" outlineLevel="0" collapsed="false">
      <c r="A22" s="41"/>
      <c r="B22" s="44"/>
      <c r="C22" s="36" t="str">
        <f aca="false">IF(B22="","",IFERROR(INDEX(①出口报关!$I$4:$I$303,MATCH(B22,①出口报关!$A$4:$A$303,0)),"编号不存在"))</f>
        <v/>
      </c>
      <c r="D22" s="43"/>
      <c r="E22" s="45"/>
      <c r="F22" s="46"/>
      <c r="G22" s="48"/>
      <c r="H22" s="43"/>
      <c r="I22" s="43"/>
    </row>
    <row r="23" customFormat="false" ht="21.75" hidden="false" customHeight="true" outlineLevel="0" collapsed="false">
      <c r="A23" s="41"/>
      <c r="B23" s="44"/>
      <c r="C23" s="36" t="str">
        <f aca="false">IF(B23="","",IFERROR(INDEX(①出口报关!$I$4:$I$303,MATCH(B23,①出口报关!$A$4:$A$303,0)),"编号不存在"))</f>
        <v/>
      </c>
      <c r="D23" s="43"/>
      <c r="E23" s="45"/>
      <c r="F23" s="46"/>
      <c r="G23" s="48"/>
      <c r="H23" s="43"/>
      <c r="I23" s="43"/>
    </row>
    <row r="24" customFormat="false" ht="21.75" hidden="false" customHeight="true" outlineLevel="0" collapsed="false">
      <c r="A24" s="41"/>
      <c r="B24" s="44"/>
      <c r="C24" s="36" t="str">
        <f aca="false">IF(B24="","",IFERROR(INDEX(①出口报关!$I$4:$I$303,MATCH(B24,①出口报关!$A$4:$A$303,0)),"编号不存在"))</f>
        <v/>
      </c>
      <c r="D24" s="43"/>
      <c r="E24" s="45"/>
      <c r="F24" s="46"/>
      <c r="G24" s="48"/>
      <c r="H24" s="43"/>
      <c r="I24" s="43"/>
    </row>
    <row r="25" customFormat="false" ht="21.75" hidden="false" customHeight="true" outlineLevel="0" collapsed="false">
      <c r="A25" s="41"/>
      <c r="B25" s="44"/>
      <c r="C25" s="36" t="str">
        <f aca="false">IF(B25="","",IFERROR(INDEX(①出口报关!$I$4:$I$303,MATCH(B25,①出口报关!$A$4:$A$303,0)),"编号不存在"))</f>
        <v/>
      </c>
      <c r="D25" s="43"/>
      <c r="E25" s="45"/>
      <c r="F25" s="46"/>
      <c r="G25" s="48"/>
      <c r="H25" s="43"/>
      <c r="I25" s="43"/>
    </row>
    <row r="26" customFormat="false" ht="21.75" hidden="false" customHeight="true" outlineLevel="0" collapsed="false">
      <c r="A26" s="41"/>
      <c r="B26" s="44"/>
      <c r="C26" s="36" t="str">
        <f aca="false">IF(B26="","",IFERROR(INDEX(①出口报关!$I$4:$I$303,MATCH(B26,①出口报关!$A$4:$A$303,0)),"编号不存在"))</f>
        <v/>
      </c>
      <c r="D26" s="43"/>
      <c r="E26" s="45"/>
      <c r="F26" s="46"/>
      <c r="G26" s="48"/>
      <c r="H26" s="43"/>
      <c r="I26" s="43"/>
    </row>
    <row r="27" customFormat="false" ht="21.75" hidden="false" customHeight="true" outlineLevel="0" collapsed="false">
      <c r="A27" s="41"/>
      <c r="B27" s="44"/>
      <c r="C27" s="36" t="str">
        <f aca="false">IF(B27="","",IFERROR(INDEX(①出口报关!$I$4:$I$303,MATCH(B27,①出口报关!$A$4:$A$303,0)),"编号不存在"))</f>
        <v/>
      </c>
      <c r="D27" s="43"/>
      <c r="E27" s="45"/>
      <c r="F27" s="46"/>
      <c r="G27" s="48"/>
      <c r="H27" s="43"/>
      <c r="I27" s="43"/>
    </row>
    <row r="28" customFormat="false" ht="21.75" hidden="false" customHeight="true" outlineLevel="0" collapsed="false">
      <c r="A28" s="41"/>
      <c r="B28" s="44"/>
      <c r="C28" s="36" t="str">
        <f aca="false">IF(B28="","",IFERROR(INDEX(①出口报关!$I$4:$I$303,MATCH(B28,①出口报关!$A$4:$A$303,0)),"编号不存在"))</f>
        <v/>
      </c>
      <c r="D28" s="43"/>
      <c r="E28" s="45"/>
      <c r="F28" s="46"/>
      <c r="G28" s="48"/>
      <c r="H28" s="43"/>
      <c r="I28" s="43"/>
    </row>
    <row r="29" customFormat="false" ht="21.75" hidden="false" customHeight="true" outlineLevel="0" collapsed="false">
      <c r="A29" s="41"/>
      <c r="B29" s="44"/>
      <c r="C29" s="36" t="str">
        <f aca="false">IF(B29="","",IFERROR(INDEX(①出口报关!$I$4:$I$303,MATCH(B29,①出口报关!$A$4:$A$303,0)),"编号不存在"))</f>
        <v/>
      </c>
      <c r="D29" s="43"/>
      <c r="E29" s="45"/>
      <c r="F29" s="46"/>
      <c r="G29" s="48"/>
      <c r="H29" s="43"/>
      <c r="I29" s="43"/>
    </row>
    <row r="30" customFormat="false" ht="21.75" hidden="false" customHeight="true" outlineLevel="0" collapsed="false">
      <c r="A30" s="41"/>
      <c r="B30" s="44"/>
      <c r="C30" s="36" t="str">
        <f aca="false">IF(B30="","",IFERROR(INDEX(①出口报关!$I$4:$I$303,MATCH(B30,①出口报关!$A$4:$A$303,0)),"编号不存在"))</f>
        <v/>
      </c>
      <c r="D30" s="43"/>
      <c r="E30" s="45"/>
      <c r="F30" s="46"/>
      <c r="G30" s="48"/>
      <c r="H30" s="43"/>
      <c r="I30" s="43"/>
    </row>
    <row r="31" customFormat="false" ht="21.75" hidden="false" customHeight="true" outlineLevel="0" collapsed="false">
      <c r="A31" s="41"/>
      <c r="B31" s="44"/>
      <c r="C31" s="36" t="str">
        <f aca="false">IF(B31="","",IFERROR(INDEX(①出口报关!$I$4:$I$303,MATCH(B31,①出口报关!$A$4:$A$303,0)),"编号不存在"))</f>
        <v/>
      </c>
      <c r="D31" s="43"/>
      <c r="E31" s="45"/>
      <c r="F31" s="46"/>
      <c r="G31" s="48"/>
      <c r="H31" s="43"/>
      <c r="I31" s="43"/>
    </row>
    <row r="32" customFormat="false" ht="21.75" hidden="false" customHeight="true" outlineLevel="0" collapsed="false">
      <c r="A32" s="41"/>
      <c r="B32" s="44"/>
      <c r="C32" s="36" t="str">
        <f aca="false">IF(B32="","",IFERROR(INDEX(①出口报关!$I$4:$I$303,MATCH(B32,①出口报关!$A$4:$A$303,0)),"编号不存在"))</f>
        <v/>
      </c>
      <c r="D32" s="43"/>
      <c r="E32" s="45"/>
      <c r="F32" s="46"/>
      <c r="G32" s="48"/>
      <c r="H32" s="43"/>
      <c r="I32" s="43"/>
    </row>
    <row r="33" customFormat="false" ht="21.75" hidden="false" customHeight="true" outlineLevel="0" collapsed="false">
      <c r="A33" s="41"/>
      <c r="B33" s="44"/>
      <c r="C33" s="36" t="str">
        <f aca="false">IF(B33="","",IFERROR(INDEX(①出口报关!$I$4:$I$303,MATCH(B33,①出口报关!$A$4:$A$303,0)),"编号不存在"))</f>
        <v/>
      </c>
      <c r="D33" s="43"/>
      <c r="E33" s="45"/>
      <c r="F33" s="46"/>
      <c r="G33" s="48"/>
      <c r="H33" s="43"/>
      <c r="I33" s="43"/>
    </row>
    <row r="34" customFormat="false" ht="21.75" hidden="false" customHeight="true" outlineLevel="0" collapsed="false">
      <c r="A34" s="41"/>
      <c r="B34" s="44"/>
      <c r="C34" s="36" t="str">
        <f aca="false">IF(B34="","",IFERROR(INDEX(①出口报关!$I$4:$I$303,MATCH(B34,①出口报关!$A$4:$A$303,0)),"编号不存在"))</f>
        <v/>
      </c>
      <c r="D34" s="43"/>
      <c r="E34" s="45"/>
      <c r="F34" s="46"/>
      <c r="G34" s="48"/>
      <c r="H34" s="43"/>
      <c r="I34" s="43"/>
    </row>
    <row r="35" customFormat="false" ht="21.75" hidden="false" customHeight="true" outlineLevel="0" collapsed="false">
      <c r="A35" s="41"/>
      <c r="B35" s="44"/>
      <c r="C35" s="36" t="str">
        <f aca="false">IF(B35="","",IFERROR(INDEX(①出口报关!$I$4:$I$303,MATCH(B35,①出口报关!$A$4:$A$303,0)),"编号不存在"))</f>
        <v/>
      </c>
      <c r="D35" s="43"/>
      <c r="E35" s="45"/>
      <c r="F35" s="46"/>
      <c r="G35" s="48"/>
      <c r="H35" s="43"/>
      <c r="I35" s="43"/>
    </row>
    <row r="36" customFormat="false" ht="21.75" hidden="false" customHeight="true" outlineLevel="0" collapsed="false">
      <c r="A36" s="41"/>
      <c r="B36" s="44"/>
      <c r="C36" s="36" t="str">
        <f aca="false">IF(B36="","",IFERROR(INDEX(①出口报关!$I$4:$I$303,MATCH(B36,①出口报关!$A$4:$A$303,0)),"编号不存在"))</f>
        <v/>
      </c>
      <c r="D36" s="43"/>
      <c r="E36" s="45"/>
      <c r="F36" s="46"/>
      <c r="G36" s="48"/>
      <c r="H36" s="43"/>
      <c r="I36" s="43"/>
    </row>
    <row r="37" customFormat="false" ht="21.75" hidden="false" customHeight="true" outlineLevel="0" collapsed="false">
      <c r="A37" s="41"/>
      <c r="B37" s="44"/>
      <c r="C37" s="36" t="str">
        <f aca="false">IF(B37="","",IFERROR(INDEX(①出口报关!$I$4:$I$303,MATCH(B37,①出口报关!$A$4:$A$303,0)),"编号不存在"))</f>
        <v/>
      </c>
      <c r="D37" s="43"/>
      <c r="E37" s="45"/>
      <c r="F37" s="46"/>
      <c r="G37" s="48"/>
      <c r="H37" s="43"/>
      <c r="I37" s="43"/>
    </row>
    <row r="38" customFormat="false" ht="21.75" hidden="false" customHeight="true" outlineLevel="0" collapsed="false">
      <c r="A38" s="41"/>
      <c r="B38" s="44"/>
      <c r="C38" s="36" t="str">
        <f aca="false">IF(B38="","",IFERROR(INDEX(①出口报关!$I$4:$I$303,MATCH(B38,①出口报关!$A$4:$A$303,0)),"编号不存在"))</f>
        <v/>
      </c>
      <c r="D38" s="43"/>
      <c r="E38" s="45"/>
      <c r="F38" s="46"/>
      <c r="G38" s="48"/>
      <c r="H38" s="43"/>
      <c r="I38" s="43"/>
    </row>
    <row r="39" customFormat="false" ht="21.75" hidden="false" customHeight="true" outlineLevel="0" collapsed="false">
      <c r="A39" s="41"/>
      <c r="B39" s="44"/>
      <c r="C39" s="36" t="str">
        <f aca="false">IF(B39="","",IFERROR(INDEX(①出口报关!$I$4:$I$303,MATCH(B39,①出口报关!$A$4:$A$303,0)),"编号不存在"))</f>
        <v/>
      </c>
      <c r="D39" s="43"/>
      <c r="E39" s="45"/>
      <c r="F39" s="46"/>
      <c r="G39" s="48"/>
      <c r="H39" s="43"/>
      <c r="I39" s="43"/>
    </row>
    <row r="40" customFormat="false" ht="21.75" hidden="false" customHeight="true" outlineLevel="0" collapsed="false">
      <c r="A40" s="41"/>
      <c r="B40" s="44"/>
      <c r="C40" s="36" t="str">
        <f aca="false">IF(B40="","",IFERROR(INDEX(①出口报关!$I$4:$I$303,MATCH(B40,①出口报关!$A$4:$A$303,0)),"编号不存在"))</f>
        <v/>
      </c>
      <c r="D40" s="43"/>
      <c r="E40" s="45"/>
      <c r="F40" s="46"/>
      <c r="G40" s="48"/>
      <c r="H40" s="43"/>
      <c r="I40" s="43"/>
    </row>
    <row r="41" customFormat="false" ht="21.75" hidden="false" customHeight="true" outlineLevel="0" collapsed="false">
      <c r="A41" s="41"/>
      <c r="B41" s="44"/>
      <c r="C41" s="36" t="str">
        <f aca="false">IF(B41="","",IFERROR(INDEX(①出口报关!$I$4:$I$303,MATCH(B41,①出口报关!$A$4:$A$303,0)),"编号不存在"))</f>
        <v/>
      </c>
      <c r="D41" s="43"/>
      <c r="E41" s="45"/>
      <c r="F41" s="46"/>
      <c r="G41" s="48"/>
      <c r="H41" s="43"/>
      <c r="I41" s="43"/>
    </row>
    <row r="42" customFormat="false" ht="21.75" hidden="false" customHeight="true" outlineLevel="0" collapsed="false">
      <c r="A42" s="41"/>
      <c r="B42" s="44"/>
      <c r="C42" s="36" t="str">
        <f aca="false">IF(B42="","",IFERROR(INDEX(①出口报关!$I$4:$I$303,MATCH(B42,①出口报关!$A$4:$A$303,0)),"编号不存在"))</f>
        <v/>
      </c>
      <c r="D42" s="43"/>
      <c r="E42" s="45"/>
      <c r="F42" s="46"/>
      <c r="G42" s="48"/>
      <c r="H42" s="43"/>
      <c r="I42" s="43"/>
    </row>
    <row r="43" customFormat="false" ht="21.75" hidden="false" customHeight="true" outlineLevel="0" collapsed="false">
      <c r="A43" s="41"/>
      <c r="B43" s="44"/>
      <c r="C43" s="36" t="str">
        <f aca="false">IF(B43="","",IFERROR(INDEX(①出口报关!$I$4:$I$303,MATCH(B43,①出口报关!$A$4:$A$303,0)),"编号不存在"))</f>
        <v/>
      </c>
      <c r="D43" s="43"/>
      <c r="E43" s="45"/>
      <c r="F43" s="46"/>
      <c r="G43" s="48"/>
      <c r="H43" s="43"/>
      <c r="I43" s="43"/>
    </row>
    <row r="44" customFormat="false" ht="21.75" hidden="false" customHeight="true" outlineLevel="0" collapsed="false">
      <c r="A44" s="41"/>
      <c r="B44" s="44"/>
      <c r="C44" s="36" t="str">
        <f aca="false">IF(B44="","",IFERROR(INDEX(①出口报关!$I$4:$I$303,MATCH(B44,①出口报关!$A$4:$A$303,0)),"编号不存在"))</f>
        <v/>
      </c>
      <c r="D44" s="43"/>
      <c r="E44" s="45"/>
      <c r="F44" s="46"/>
      <c r="G44" s="48"/>
      <c r="H44" s="43"/>
      <c r="I44" s="43"/>
    </row>
    <row r="45" customFormat="false" ht="21.75" hidden="false" customHeight="true" outlineLevel="0" collapsed="false">
      <c r="A45" s="41"/>
      <c r="B45" s="44"/>
      <c r="C45" s="36" t="str">
        <f aca="false">IF(B45="","",IFERROR(INDEX(①出口报关!$I$4:$I$303,MATCH(B45,①出口报关!$A$4:$A$303,0)),"编号不存在"))</f>
        <v/>
      </c>
      <c r="D45" s="43"/>
      <c r="E45" s="45"/>
      <c r="F45" s="46"/>
      <c r="G45" s="48"/>
      <c r="H45" s="43"/>
      <c r="I45" s="43"/>
    </row>
    <row r="46" customFormat="false" ht="21.75" hidden="false" customHeight="true" outlineLevel="0" collapsed="false">
      <c r="A46" s="41"/>
      <c r="B46" s="44"/>
      <c r="C46" s="36" t="str">
        <f aca="false">IF(B46="","",IFERROR(INDEX(①出口报关!$I$4:$I$303,MATCH(B46,①出口报关!$A$4:$A$303,0)),"编号不存在"))</f>
        <v/>
      </c>
      <c r="D46" s="43"/>
      <c r="E46" s="45"/>
      <c r="F46" s="46"/>
      <c r="G46" s="48"/>
      <c r="H46" s="43"/>
      <c r="I46" s="43"/>
    </row>
    <row r="47" customFormat="false" ht="21.75" hidden="false" customHeight="true" outlineLevel="0" collapsed="false">
      <c r="A47" s="41"/>
      <c r="B47" s="44"/>
      <c r="C47" s="36" t="str">
        <f aca="false">IF(B47="","",IFERROR(INDEX(①出口报关!$I$4:$I$303,MATCH(B47,①出口报关!$A$4:$A$303,0)),"编号不存在"))</f>
        <v/>
      </c>
      <c r="D47" s="43"/>
      <c r="E47" s="45"/>
      <c r="F47" s="46"/>
      <c r="G47" s="48"/>
      <c r="H47" s="43"/>
      <c r="I47" s="43"/>
    </row>
    <row r="48" customFormat="false" ht="21.75" hidden="false" customHeight="true" outlineLevel="0" collapsed="false">
      <c r="A48" s="41"/>
      <c r="B48" s="44"/>
      <c r="C48" s="36" t="str">
        <f aca="false">IF(B48="","",IFERROR(INDEX(①出口报关!$I$4:$I$303,MATCH(B48,①出口报关!$A$4:$A$303,0)),"编号不存在"))</f>
        <v/>
      </c>
      <c r="D48" s="43"/>
      <c r="E48" s="45"/>
      <c r="F48" s="46"/>
      <c r="G48" s="48"/>
      <c r="H48" s="43"/>
      <c r="I48" s="43"/>
    </row>
    <row r="49" customFormat="false" ht="21.75" hidden="false" customHeight="true" outlineLevel="0" collapsed="false">
      <c r="A49" s="41"/>
      <c r="B49" s="44"/>
      <c r="C49" s="36" t="str">
        <f aca="false">IF(B49="","",IFERROR(INDEX(①出口报关!$I$4:$I$303,MATCH(B49,①出口报关!$A$4:$A$303,0)),"编号不存在"))</f>
        <v/>
      </c>
      <c r="D49" s="43"/>
      <c r="E49" s="45"/>
      <c r="F49" s="46"/>
      <c r="G49" s="48"/>
      <c r="H49" s="43"/>
      <c r="I49" s="43"/>
    </row>
    <row r="50" customFormat="false" ht="21.75" hidden="false" customHeight="true" outlineLevel="0" collapsed="false">
      <c r="A50" s="41"/>
      <c r="B50" s="44"/>
      <c r="C50" s="36" t="str">
        <f aca="false">IF(B50="","",IFERROR(INDEX(①出口报关!$I$4:$I$303,MATCH(B50,①出口报关!$A$4:$A$303,0)),"编号不存在"))</f>
        <v/>
      </c>
      <c r="D50" s="43"/>
      <c r="E50" s="45"/>
      <c r="F50" s="46"/>
      <c r="G50" s="48"/>
      <c r="H50" s="43"/>
      <c r="I50" s="43"/>
    </row>
    <row r="51" customFormat="false" ht="21.75" hidden="false" customHeight="true" outlineLevel="0" collapsed="false">
      <c r="A51" s="41"/>
      <c r="B51" s="44"/>
      <c r="C51" s="36" t="str">
        <f aca="false">IF(B51="","",IFERROR(INDEX(①出口报关!$I$4:$I$303,MATCH(B51,①出口报关!$A$4:$A$303,0)),"编号不存在"))</f>
        <v/>
      </c>
      <c r="D51" s="43"/>
      <c r="E51" s="45"/>
      <c r="F51" s="46"/>
      <c r="G51" s="48"/>
      <c r="H51" s="43"/>
      <c r="I51" s="43"/>
    </row>
    <row r="52" customFormat="false" ht="21.75" hidden="false" customHeight="true" outlineLevel="0" collapsed="false">
      <c r="A52" s="41"/>
      <c r="B52" s="44"/>
      <c r="C52" s="36" t="str">
        <f aca="false">IF(B52="","",IFERROR(INDEX(①出口报关!$I$4:$I$303,MATCH(B52,①出口报关!$A$4:$A$303,0)),"编号不存在"))</f>
        <v/>
      </c>
      <c r="D52" s="43"/>
      <c r="E52" s="45"/>
      <c r="F52" s="46"/>
      <c r="G52" s="48"/>
      <c r="H52" s="43"/>
      <c r="I52" s="43"/>
    </row>
    <row r="53" customFormat="false" ht="21.75" hidden="false" customHeight="true" outlineLevel="0" collapsed="false">
      <c r="A53" s="41"/>
      <c r="B53" s="44"/>
      <c r="C53" s="36" t="str">
        <f aca="false">IF(B53="","",IFERROR(INDEX(①出口报关!$I$4:$I$303,MATCH(B53,①出口报关!$A$4:$A$303,0)),"编号不存在"))</f>
        <v/>
      </c>
      <c r="D53" s="43"/>
      <c r="E53" s="45"/>
      <c r="F53" s="46"/>
      <c r="G53" s="48"/>
      <c r="H53" s="43"/>
      <c r="I53" s="43"/>
    </row>
    <row r="54" customFormat="false" ht="21.75" hidden="false" customHeight="true" outlineLevel="0" collapsed="false">
      <c r="A54" s="41"/>
      <c r="B54" s="44"/>
      <c r="C54" s="36" t="str">
        <f aca="false">IF(B54="","",IFERROR(INDEX(①出口报关!$I$4:$I$303,MATCH(B54,①出口报关!$A$4:$A$303,0)),"编号不存在"))</f>
        <v/>
      </c>
      <c r="D54" s="43"/>
      <c r="E54" s="45"/>
      <c r="F54" s="46"/>
      <c r="G54" s="48"/>
      <c r="H54" s="43"/>
      <c r="I54" s="43"/>
    </row>
    <row r="55" customFormat="false" ht="21.75" hidden="false" customHeight="true" outlineLevel="0" collapsed="false">
      <c r="A55" s="41"/>
      <c r="B55" s="44"/>
      <c r="C55" s="36" t="str">
        <f aca="false">IF(B55="","",IFERROR(INDEX(①出口报关!$I$4:$I$303,MATCH(B55,①出口报关!$A$4:$A$303,0)),"编号不存在"))</f>
        <v/>
      </c>
      <c r="D55" s="43"/>
      <c r="E55" s="45"/>
      <c r="F55" s="46"/>
      <c r="G55" s="48"/>
      <c r="H55" s="43"/>
      <c r="I55" s="43"/>
    </row>
    <row r="56" customFormat="false" ht="21.75" hidden="false" customHeight="true" outlineLevel="0" collapsed="false">
      <c r="A56" s="41"/>
      <c r="B56" s="44"/>
      <c r="C56" s="36" t="str">
        <f aca="false">IF(B56="","",IFERROR(INDEX(①出口报关!$I$4:$I$303,MATCH(B56,①出口报关!$A$4:$A$303,0)),"编号不存在"))</f>
        <v/>
      </c>
      <c r="D56" s="43"/>
      <c r="E56" s="45"/>
      <c r="F56" s="46"/>
      <c r="G56" s="48"/>
      <c r="H56" s="43"/>
      <c r="I56" s="43"/>
    </row>
    <row r="57" customFormat="false" ht="21.75" hidden="false" customHeight="true" outlineLevel="0" collapsed="false">
      <c r="A57" s="41"/>
      <c r="B57" s="44"/>
      <c r="C57" s="36" t="str">
        <f aca="false">IF(B57="","",IFERROR(INDEX(①出口报关!$I$4:$I$303,MATCH(B57,①出口报关!$A$4:$A$303,0)),"编号不存在"))</f>
        <v/>
      </c>
      <c r="D57" s="43"/>
      <c r="E57" s="45"/>
      <c r="F57" s="46"/>
      <c r="G57" s="48"/>
      <c r="H57" s="43"/>
      <c r="I57" s="43"/>
    </row>
    <row r="58" customFormat="false" ht="21.75" hidden="false" customHeight="true" outlineLevel="0" collapsed="false">
      <c r="A58" s="41"/>
      <c r="B58" s="44"/>
      <c r="C58" s="36" t="str">
        <f aca="false">IF(B58="","",IFERROR(INDEX(①出口报关!$I$4:$I$303,MATCH(B58,①出口报关!$A$4:$A$303,0)),"编号不存在"))</f>
        <v/>
      </c>
      <c r="D58" s="43"/>
      <c r="E58" s="45"/>
      <c r="F58" s="46"/>
      <c r="G58" s="48"/>
      <c r="H58" s="43"/>
      <c r="I58" s="43"/>
    </row>
    <row r="59" customFormat="false" ht="21.75" hidden="false" customHeight="true" outlineLevel="0" collapsed="false">
      <c r="A59" s="41"/>
      <c r="B59" s="44"/>
      <c r="C59" s="36" t="str">
        <f aca="false">IF(B59="","",IFERROR(INDEX(①出口报关!$I$4:$I$303,MATCH(B59,①出口报关!$A$4:$A$303,0)),"编号不存在"))</f>
        <v/>
      </c>
      <c r="D59" s="43"/>
      <c r="E59" s="45"/>
      <c r="F59" s="46"/>
      <c r="G59" s="48"/>
      <c r="H59" s="43"/>
      <c r="I59" s="43"/>
    </row>
    <row r="60" customFormat="false" ht="21.75" hidden="false" customHeight="true" outlineLevel="0" collapsed="false">
      <c r="A60" s="41"/>
      <c r="B60" s="44"/>
      <c r="C60" s="36" t="str">
        <f aca="false">IF(B60="","",IFERROR(INDEX(①出口报关!$I$4:$I$303,MATCH(B60,①出口报关!$A$4:$A$303,0)),"编号不存在"))</f>
        <v/>
      </c>
      <c r="D60" s="43"/>
      <c r="E60" s="45"/>
      <c r="F60" s="46"/>
      <c r="G60" s="48"/>
      <c r="H60" s="43"/>
      <c r="I60" s="43"/>
    </row>
    <row r="61" customFormat="false" ht="21.75" hidden="false" customHeight="true" outlineLevel="0" collapsed="false">
      <c r="A61" s="41"/>
      <c r="B61" s="44"/>
      <c r="C61" s="36" t="str">
        <f aca="false">IF(B61="","",IFERROR(INDEX(①出口报关!$I$4:$I$303,MATCH(B61,①出口报关!$A$4:$A$303,0)),"编号不存在"))</f>
        <v/>
      </c>
      <c r="D61" s="43"/>
      <c r="E61" s="45"/>
      <c r="F61" s="46"/>
      <c r="G61" s="48"/>
      <c r="H61" s="43"/>
      <c r="I61" s="43"/>
    </row>
    <row r="62" customFormat="false" ht="21.75" hidden="false" customHeight="true" outlineLevel="0" collapsed="false">
      <c r="A62" s="41"/>
      <c r="B62" s="44"/>
      <c r="C62" s="36" t="str">
        <f aca="false">IF(B62="","",IFERROR(INDEX(①出口报关!$I$4:$I$303,MATCH(B62,①出口报关!$A$4:$A$303,0)),"编号不存在"))</f>
        <v/>
      </c>
      <c r="D62" s="43"/>
      <c r="E62" s="45"/>
      <c r="F62" s="46"/>
      <c r="G62" s="48"/>
      <c r="H62" s="43"/>
      <c r="I62" s="43"/>
    </row>
    <row r="63" customFormat="false" ht="21.75" hidden="false" customHeight="true" outlineLevel="0" collapsed="false">
      <c r="A63" s="41"/>
      <c r="B63" s="44"/>
      <c r="C63" s="36" t="str">
        <f aca="false">IF(B63="","",IFERROR(INDEX(①出口报关!$I$4:$I$303,MATCH(B63,①出口报关!$A$4:$A$303,0)),"编号不存在"))</f>
        <v/>
      </c>
      <c r="D63" s="43"/>
      <c r="E63" s="45"/>
      <c r="F63" s="46"/>
      <c r="G63" s="48"/>
      <c r="H63" s="43"/>
      <c r="I63" s="43"/>
    </row>
    <row r="64" customFormat="false" ht="21.75" hidden="false" customHeight="true" outlineLevel="0" collapsed="false">
      <c r="A64" s="41"/>
      <c r="B64" s="44"/>
      <c r="C64" s="36" t="str">
        <f aca="false">IF(B64="","",IFERROR(INDEX(①出口报关!$I$4:$I$303,MATCH(B64,①出口报关!$A$4:$A$303,0)),"编号不存在"))</f>
        <v/>
      </c>
      <c r="D64" s="43"/>
      <c r="E64" s="45"/>
      <c r="F64" s="46"/>
      <c r="G64" s="48"/>
      <c r="H64" s="43"/>
      <c r="I64" s="43"/>
    </row>
    <row r="65" customFormat="false" ht="21.75" hidden="false" customHeight="true" outlineLevel="0" collapsed="false">
      <c r="A65" s="41"/>
      <c r="B65" s="44"/>
      <c r="C65" s="36" t="str">
        <f aca="false">IF(B65="","",IFERROR(INDEX(①出口报关!$I$4:$I$303,MATCH(B65,①出口报关!$A$4:$A$303,0)),"编号不存在"))</f>
        <v/>
      </c>
      <c r="D65" s="43"/>
      <c r="E65" s="45"/>
      <c r="F65" s="46"/>
      <c r="G65" s="48"/>
      <c r="H65" s="43"/>
      <c r="I65" s="43"/>
    </row>
    <row r="66" customFormat="false" ht="21.75" hidden="false" customHeight="true" outlineLevel="0" collapsed="false">
      <c r="A66" s="41"/>
      <c r="B66" s="44"/>
      <c r="C66" s="36" t="str">
        <f aca="false">IF(B66="","",IFERROR(INDEX(①出口报关!$I$4:$I$303,MATCH(B66,①出口报关!$A$4:$A$303,0)),"编号不存在"))</f>
        <v/>
      </c>
      <c r="D66" s="43"/>
      <c r="E66" s="45"/>
      <c r="F66" s="46"/>
      <c r="G66" s="48"/>
      <c r="H66" s="43"/>
      <c r="I66" s="43"/>
    </row>
    <row r="67" customFormat="false" ht="21.75" hidden="false" customHeight="true" outlineLevel="0" collapsed="false">
      <c r="A67" s="41"/>
      <c r="B67" s="44"/>
      <c r="C67" s="36" t="str">
        <f aca="false">IF(B67="","",IFERROR(INDEX(①出口报关!$I$4:$I$303,MATCH(B67,①出口报关!$A$4:$A$303,0)),"编号不存在"))</f>
        <v/>
      </c>
      <c r="D67" s="43"/>
      <c r="E67" s="45"/>
      <c r="F67" s="46"/>
      <c r="G67" s="48"/>
      <c r="H67" s="43"/>
      <c r="I67" s="43"/>
    </row>
    <row r="68" customFormat="false" ht="21.75" hidden="false" customHeight="true" outlineLevel="0" collapsed="false">
      <c r="A68" s="41"/>
      <c r="B68" s="44"/>
      <c r="C68" s="36" t="str">
        <f aca="false">IF(B68="","",IFERROR(INDEX(①出口报关!$I$4:$I$303,MATCH(B68,①出口报关!$A$4:$A$303,0)),"编号不存在"))</f>
        <v/>
      </c>
      <c r="D68" s="43"/>
      <c r="E68" s="45"/>
      <c r="F68" s="46"/>
      <c r="G68" s="48"/>
      <c r="H68" s="43"/>
      <c r="I68" s="43"/>
    </row>
    <row r="69" customFormat="false" ht="21.75" hidden="false" customHeight="true" outlineLevel="0" collapsed="false">
      <c r="A69" s="41"/>
      <c r="B69" s="44"/>
      <c r="C69" s="36" t="str">
        <f aca="false">IF(B69="","",IFERROR(INDEX(①出口报关!$I$4:$I$303,MATCH(B69,①出口报关!$A$4:$A$303,0)),"编号不存在"))</f>
        <v/>
      </c>
      <c r="D69" s="43"/>
      <c r="E69" s="45"/>
      <c r="F69" s="46"/>
      <c r="G69" s="48"/>
      <c r="H69" s="43"/>
      <c r="I69" s="43"/>
    </row>
    <row r="70" customFormat="false" ht="21.75" hidden="false" customHeight="true" outlineLevel="0" collapsed="false">
      <c r="A70" s="41"/>
      <c r="B70" s="44"/>
      <c r="C70" s="36" t="str">
        <f aca="false">IF(B70="","",IFERROR(INDEX(①出口报关!$I$4:$I$303,MATCH(B70,①出口报关!$A$4:$A$303,0)),"编号不存在"))</f>
        <v/>
      </c>
      <c r="D70" s="43"/>
      <c r="E70" s="45"/>
      <c r="F70" s="46"/>
      <c r="G70" s="48"/>
      <c r="H70" s="43"/>
      <c r="I70" s="43"/>
    </row>
    <row r="71" customFormat="false" ht="21.75" hidden="false" customHeight="true" outlineLevel="0" collapsed="false">
      <c r="A71" s="41"/>
      <c r="B71" s="44"/>
      <c r="C71" s="36" t="str">
        <f aca="false">IF(B71="","",IFERROR(INDEX(①出口报关!$I$4:$I$303,MATCH(B71,①出口报关!$A$4:$A$303,0)),"编号不存在"))</f>
        <v/>
      </c>
      <c r="D71" s="43"/>
      <c r="E71" s="45"/>
      <c r="F71" s="46"/>
      <c r="G71" s="48"/>
      <c r="H71" s="43"/>
      <c r="I71" s="43"/>
    </row>
    <row r="72" customFormat="false" ht="21.75" hidden="false" customHeight="true" outlineLevel="0" collapsed="false">
      <c r="A72" s="41"/>
      <c r="B72" s="44"/>
      <c r="C72" s="36" t="str">
        <f aca="false">IF(B72="","",IFERROR(INDEX(①出口报关!$I$4:$I$303,MATCH(B72,①出口报关!$A$4:$A$303,0)),"编号不存在"))</f>
        <v/>
      </c>
      <c r="D72" s="43"/>
      <c r="E72" s="45"/>
      <c r="F72" s="46"/>
      <c r="G72" s="48"/>
      <c r="H72" s="43"/>
      <c r="I72" s="43"/>
    </row>
    <row r="73" customFormat="false" ht="21.75" hidden="false" customHeight="true" outlineLevel="0" collapsed="false">
      <c r="A73" s="41"/>
      <c r="B73" s="44"/>
      <c r="C73" s="36" t="str">
        <f aca="false">IF(B73="","",IFERROR(INDEX(①出口报关!$I$4:$I$303,MATCH(B73,①出口报关!$A$4:$A$303,0)),"编号不存在"))</f>
        <v/>
      </c>
      <c r="D73" s="43"/>
      <c r="E73" s="45"/>
      <c r="F73" s="46"/>
      <c r="G73" s="48"/>
      <c r="H73" s="43"/>
      <c r="I73" s="43"/>
    </row>
    <row r="74" customFormat="false" ht="21.75" hidden="false" customHeight="true" outlineLevel="0" collapsed="false">
      <c r="A74" s="41"/>
      <c r="B74" s="44"/>
      <c r="C74" s="36" t="str">
        <f aca="false">IF(B74="","",IFERROR(INDEX(①出口报关!$I$4:$I$303,MATCH(B74,①出口报关!$A$4:$A$303,0)),"编号不存在"))</f>
        <v/>
      </c>
      <c r="D74" s="43"/>
      <c r="E74" s="45"/>
      <c r="F74" s="46"/>
      <c r="G74" s="48"/>
      <c r="H74" s="43"/>
      <c r="I74" s="43"/>
    </row>
    <row r="75" customFormat="false" ht="21.75" hidden="false" customHeight="true" outlineLevel="0" collapsed="false">
      <c r="A75" s="41"/>
      <c r="B75" s="44"/>
      <c r="C75" s="36" t="str">
        <f aca="false">IF(B75="","",IFERROR(INDEX(①出口报关!$I$4:$I$303,MATCH(B75,①出口报关!$A$4:$A$303,0)),"编号不存在"))</f>
        <v/>
      </c>
      <c r="D75" s="43"/>
      <c r="E75" s="45"/>
      <c r="F75" s="46"/>
      <c r="G75" s="48"/>
      <c r="H75" s="43"/>
      <c r="I75" s="43"/>
    </row>
    <row r="76" customFormat="false" ht="21.75" hidden="false" customHeight="true" outlineLevel="0" collapsed="false">
      <c r="A76" s="41"/>
      <c r="B76" s="44"/>
      <c r="C76" s="36" t="str">
        <f aca="false">IF(B76="","",IFERROR(INDEX(①出口报关!$I$4:$I$303,MATCH(B76,①出口报关!$A$4:$A$303,0)),"编号不存在"))</f>
        <v/>
      </c>
      <c r="D76" s="43"/>
      <c r="E76" s="45"/>
      <c r="F76" s="46"/>
      <c r="G76" s="48"/>
      <c r="H76" s="43"/>
      <c r="I76" s="43"/>
    </row>
    <row r="77" customFormat="false" ht="21.75" hidden="false" customHeight="true" outlineLevel="0" collapsed="false">
      <c r="A77" s="41"/>
      <c r="B77" s="44"/>
      <c r="C77" s="36" t="str">
        <f aca="false">IF(B77="","",IFERROR(INDEX(①出口报关!$I$4:$I$303,MATCH(B77,①出口报关!$A$4:$A$303,0)),"编号不存在"))</f>
        <v/>
      </c>
      <c r="D77" s="43"/>
      <c r="E77" s="45"/>
      <c r="F77" s="46"/>
      <c r="G77" s="48"/>
      <c r="H77" s="43"/>
      <c r="I77" s="43"/>
    </row>
    <row r="78" customFormat="false" ht="21.75" hidden="false" customHeight="true" outlineLevel="0" collapsed="false">
      <c r="A78" s="41"/>
      <c r="B78" s="44"/>
      <c r="C78" s="36" t="str">
        <f aca="false">IF(B78="","",IFERROR(INDEX(①出口报关!$I$4:$I$303,MATCH(B78,①出口报关!$A$4:$A$303,0)),"编号不存在"))</f>
        <v/>
      </c>
      <c r="D78" s="43"/>
      <c r="E78" s="45"/>
      <c r="F78" s="46"/>
      <c r="G78" s="48"/>
      <c r="H78" s="43"/>
      <c r="I78" s="43"/>
    </row>
    <row r="79" customFormat="false" ht="21.75" hidden="false" customHeight="true" outlineLevel="0" collapsed="false">
      <c r="A79" s="41"/>
      <c r="B79" s="44"/>
      <c r="C79" s="36" t="str">
        <f aca="false">IF(B79="","",IFERROR(INDEX(①出口报关!$I$4:$I$303,MATCH(B79,①出口报关!$A$4:$A$303,0)),"编号不存在"))</f>
        <v/>
      </c>
      <c r="D79" s="43"/>
      <c r="E79" s="45"/>
      <c r="F79" s="46"/>
      <c r="G79" s="48"/>
      <c r="H79" s="43"/>
      <c r="I79" s="43"/>
    </row>
    <row r="80" customFormat="false" ht="21.75" hidden="false" customHeight="true" outlineLevel="0" collapsed="false">
      <c r="A80" s="41"/>
      <c r="B80" s="44"/>
      <c r="C80" s="36" t="str">
        <f aca="false">IF(B80="","",IFERROR(INDEX(①出口报关!$I$4:$I$303,MATCH(B80,①出口报关!$A$4:$A$303,0)),"编号不存在"))</f>
        <v/>
      </c>
      <c r="D80" s="43"/>
      <c r="E80" s="45"/>
      <c r="F80" s="46"/>
      <c r="G80" s="48"/>
      <c r="H80" s="43"/>
      <c r="I80" s="43"/>
    </row>
    <row r="81" customFormat="false" ht="21.75" hidden="false" customHeight="true" outlineLevel="0" collapsed="false">
      <c r="A81" s="41"/>
      <c r="B81" s="44"/>
      <c r="C81" s="36" t="str">
        <f aca="false">IF(B81="","",IFERROR(INDEX(①出口报关!$I$4:$I$303,MATCH(B81,①出口报关!$A$4:$A$303,0)),"编号不存在"))</f>
        <v/>
      </c>
      <c r="D81" s="43"/>
      <c r="E81" s="45"/>
      <c r="F81" s="46"/>
      <c r="G81" s="48"/>
      <c r="H81" s="43"/>
      <c r="I81" s="43"/>
    </row>
    <row r="82" customFormat="false" ht="21.75" hidden="false" customHeight="true" outlineLevel="0" collapsed="false">
      <c r="A82" s="41"/>
      <c r="B82" s="44"/>
      <c r="C82" s="36" t="str">
        <f aca="false">IF(B82="","",IFERROR(INDEX(①出口报关!$I$4:$I$303,MATCH(B82,①出口报关!$A$4:$A$303,0)),"编号不存在"))</f>
        <v/>
      </c>
      <c r="D82" s="43"/>
      <c r="E82" s="45"/>
      <c r="F82" s="46"/>
      <c r="G82" s="48"/>
      <c r="H82" s="43"/>
      <c r="I82" s="43"/>
    </row>
    <row r="83" customFormat="false" ht="21.75" hidden="false" customHeight="true" outlineLevel="0" collapsed="false">
      <c r="A83" s="41"/>
      <c r="B83" s="44"/>
      <c r="C83" s="36" t="str">
        <f aca="false">IF(B83="","",IFERROR(INDEX(①出口报关!$I$4:$I$303,MATCH(B83,①出口报关!$A$4:$A$303,0)),"编号不存在"))</f>
        <v/>
      </c>
      <c r="D83" s="43"/>
      <c r="E83" s="45"/>
      <c r="F83" s="46"/>
      <c r="G83" s="48"/>
      <c r="H83" s="43"/>
      <c r="I83" s="43"/>
    </row>
    <row r="84" customFormat="false" ht="21.75" hidden="false" customHeight="true" outlineLevel="0" collapsed="false">
      <c r="A84" s="41"/>
      <c r="B84" s="44"/>
      <c r="C84" s="36" t="str">
        <f aca="false">IF(B84="","",IFERROR(INDEX(①出口报关!$I$4:$I$303,MATCH(B84,①出口报关!$A$4:$A$303,0)),"编号不存在"))</f>
        <v/>
      </c>
      <c r="D84" s="43"/>
      <c r="E84" s="45"/>
      <c r="F84" s="46"/>
      <c r="G84" s="48"/>
      <c r="H84" s="43"/>
      <c r="I84" s="43"/>
    </row>
    <row r="85" customFormat="false" ht="21.75" hidden="false" customHeight="true" outlineLevel="0" collapsed="false">
      <c r="A85" s="41"/>
      <c r="B85" s="44"/>
      <c r="C85" s="36" t="str">
        <f aca="false">IF(B85="","",IFERROR(INDEX(①出口报关!$I$4:$I$303,MATCH(B85,①出口报关!$A$4:$A$303,0)),"编号不存在"))</f>
        <v/>
      </c>
      <c r="D85" s="43"/>
      <c r="E85" s="45"/>
      <c r="F85" s="46"/>
      <c r="G85" s="48"/>
      <c r="H85" s="43"/>
      <c r="I85" s="43"/>
    </row>
    <row r="86" customFormat="false" ht="21.75" hidden="false" customHeight="true" outlineLevel="0" collapsed="false">
      <c r="A86" s="41"/>
      <c r="B86" s="44"/>
      <c r="C86" s="36" t="str">
        <f aca="false">IF(B86="","",IFERROR(INDEX(①出口报关!$I$4:$I$303,MATCH(B86,①出口报关!$A$4:$A$303,0)),"编号不存在"))</f>
        <v/>
      </c>
      <c r="D86" s="43"/>
      <c r="E86" s="45"/>
      <c r="F86" s="46"/>
      <c r="G86" s="48"/>
      <c r="H86" s="43"/>
      <c r="I86" s="43"/>
    </row>
    <row r="87" customFormat="false" ht="21.75" hidden="false" customHeight="true" outlineLevel="0" collapsed="false">
      <c r="A87" s="41"/>
      <c r="B87" s="44"/>
      <c r="C87" s="36" t="str">
        <f aca="false">IF(B87="","",IFERROR(INDEX(①出口报关!$I$4:$I$303,MATCH(B87,①出口报关!$A$4:$A$303,0)),"编号不存在"))</f>
        <v/>
      </c>
      <c r="D87" s="43"/>
      <c r="E87" s="45"/>
      <c r="F87" s="46"/>
      <c r="G87" s="48"/>
      <c r="H87" s="43"/>
      <c r="I87" s="43"/>
    </row>
    <row r="88" customFormat="false" ht="21.75" hidden="false" customHeight="true" outlineLevel="0" collapsed="false">
      <c r="A88" s="41"/>
      <c r="B88" s="44"/>
      <c r="C88" s="36" t="str">
        <f aca="false">IF(B88="","",IFERROR(INDEX(①出口报关!$I$4:$I$303,MATCH(B88,①出口报关!$A$4:$A$303,0)),"编号不存在"))</f>
        <v/>
      </c>
      <c r="D88" s="43"/>
      <c r="E88" s="45"/>
      <c r="F88" s="46"/>
      <c r="G88" s="48"/>
      <c r="H88" s="43"/>
      <c r="I88" s="43"/>
    </row>
    <row r="89" customFormat="false" ht="21.75" hidden="false" customHeight="true" outlineLevel="0" collapsed="false">
      <c r="A89" s="41"/>
      <c r="B89" s="44"/>
      <c r="C89" s="36" t="str">
        <f aca="false">IF(B89="","",IFERROR(INDEX(①出口报关!$I$4:$I$303,MATCH(B89,①出口报关!$A$4:$A$303,0)),"编号不存在"))</f>
        <v/>
      </c>
      <c r="D89" s="43"/>
      <c r="E89" s="45"/>
      <c r="F89" s="46"/>
      <c r="G89" s="48"/>
      <c r="H89" s="43"/>
      <c r="I89" s="43"/>
    </row>
    <row r="90" customFormat="false" ht="21.75" hidden="false" customHeight="true" outlineLevel="0" collapsed="false">
      <c r="A90" s="41"/>
      <c r="B90" s="44"/>
      <c r="C90" s="36" t="str">
        <f aca="false">IF(B90="","",IFERROR(INDEX(①出口报关!$I$4:$I$303,MATCH(B90,①出口报关!$A$4:$A$303,0)),"编号不存在"))</f>
        <v/>
      </c>
      <c r="D90" s="43"/>
      <c r="E90" s="45"/>
      <c r="F90" s="46"/>
      <c r="G90" s="48"/>
      <c r="H90" s="43"/>
      <c r="I90" s="43"/>
    </row>
    <row r="91" customFormat="false" ht="21.75" hidden="false" customHeight="true" outlineLevel="0" collapsed="false">
      <c r="A91" s="41"/>
      <c r="B91" s="44"/>
      <c r="C91" s="36" t="str">
        <f aca="false">IF(B91="","",IFERROR(INDEX(①出口报关!$I$4:$I$303,MATCH(B91,①出口报关!$A$4:$A$303,0)),"编号不存在"))</f>
        <v/>
      </c>
      <c r="D91" s="43"/>
      <c r="E91" s="45"/>
      <c r="F91" s="46"/>
      <c r="G91" s="48"/>
      <c r="H91" s="43"/>
      <c r="I91" s="43"/>
    </row>
    <row r="92" customFormat="false" ht="21.75" hidden="false" customHeight="true" outlineLevel="0" collapsed="false">
      <c r="A92" s="41"/>
      <c r="B92" s="44"/>
      <c r="C92" s="36" t="str">
        <f aca="false">IF(B92="","",IFERROR(INDEX(①出口报关!$I$4:$I$303,MATCH(B92,①出口报关!$A$4:$A$303,0)),"编号不存在"))</f>
        <v/>
      </c>
      <c r="D92" s="43"/>
      <c r="E92" s="45"/>
      <c r="F92" s="46"/>
      <c r="G92" s="48"/>
      <c r="H92" s="43"/>
      <c r="I92" s="43"/>
    </row>
    <row r="93" customFormat="false" ht="21.75" hidden="false" customHeight="true" outlineLevel="0" collapsed="false">
      <c r="A93" s="41"/>
      <c r="B93" s="44"/>
      <c r="C93" s="36" t="str">
        <f aca="false">IF(B93="","",IFERROR(INDEX(①出口报关!$I$4:$I$303,MATCH(B93,①出口报关!$A$4:$A$303,0)),"编号不存在"))</f>
        <v/>
      </c>
      <c r="D93" s="43"/>
      <c r="E93" s="45"/>
      <c r="F93" s="46"/>
      <c r="G93" s="48"/>
      <c r="H93" s="43"/>
      <c r="I93" s="43"/>
    </row>
    <row r="94" customFormat="false" ht="21.75" hidden="false" customHeight="true" outlineLevel="0" collapsed="false">
      <c r="A94" s="41"/>
      <c r="B94" s="44"/>
      <c r="C94" s="36" t="str">
        <f aca="false">IF(B94="","",IFERROR(INDEX(①出口报关!$I$4:$I$303,MATCH(B94,①出口报关!$A$4:$A$303,0)),"编号不存在"))</f>
        <v/>
      </c>
      <c r="D94" s="43"/>
      <c r="E94" s="45"/>
      <c r="F94" s="46"/>
      <c r="G94" s="48"/>
      <c r="H94" s="43"/>
      <c r="I94" s="43"/>
    </row>
    <row r="95" customFormat="false" ht="21.75" hidden="false" customHeight="true" outlineLevel="0" collapsed="false">
      <c r="A95" s="41"/>
      <c r="B95" s="44"/>
      <c r="C95" s="36" t="str">
        <f aca="false">IF(B95="","",IFERROR(INDEX(①出口报关!$I$4:$I$303,MATCH(B95,①出口报关!$A$4:$A$303,0)),"编号不存在"))</f>
        <v/>
      </c>
      <c r="D95" s="43"/>
      <c r="E95" s="45"/>
      <c r="F95" s="46"/>
      <c r="G95" s="48"/>
      <c r="H95" s="43"/>
      <c r="I95" s="43"/>
    </row>
    <row r="96" customFormat="false" ht="21.75" hidden="false" customHeight="true" outlineLevel="0" collapsed="false">
      <c r="A96" s="41"/>
      <c r="B96" s="44"/>
      <c r="C96" s="36" t="str">
        <f aca="false">IF(B96="","",IFERROR(INDEX(①出口报关!$I$4:$I$303,MATCH(B96,①出口报关!$A$4:$A$303,0)),"编号不存在"))</f>
        <v/>
      </c>
      <c r="D96" s="43"/>
      <c r="E96" s="45"/>
      <c r="F96" s="46"/>
      <c r="G96" s="48"/>
      <c r="H96" s="43"/>
      <c r="I96" s="43"/>
    </row>
    <row r="97" customFormat="false" ht="21.75" hidden="false" customHeight="true" outlineLevel="0" collapsed="false">
      <c r="A97" s="41"/>
      <c r="B97" s="44"/>
      <c r="C97" s="36" t="str">
        <f aca="false">IF(B97="","",IFERROR(INDEX(①出口报关!$I$4:$I$303,MATCH(B97,①出口报关!$A$4:$A$303,0)),"编号不存在"))</f>
        <v/>
      </c>
      <c r="D97" s="43"/>
      <c r="E97" s="45"/>
      <c r="F97" s="46"/>
      <c r="G97" s="48"/>
      <c r="H97" s="43"/>
      <c r="I97" s="43"/>
    </row>
    <row r="98" customFormat="false" ht="21.75" hidden="false" customHeight="true" outlineLevel="0" collapsed="false">
      <c r="A98" s="41"/>
      <c r="B98" s="44"/>
      <c r="C98" s="36" t="str">
        <f aca="false">IF(B98="","",IFERROR(INDEX(①出口报关!$I$4:$I$303,MATCH(B98,①出口报关!$A$4:$A$303,0)),"编号不存在"))</f>
        <v/>
      </c>
      <c r="D98" s="43"/>
      <c r="E98" s="45"/>
      <c r="F98" s="46"/>
      <c r="G98" s="48"/>
      <c r="H98" s="43"/>
      <c r="I98" s="43"/>
    </row>
    <row r="99" customFormat="false" ht="21.75" hidden="false" customHeight="true" outlineLevel="0" collapsed="false">
      <c r="A99" s="41"/>
      <c r="B99" s="44"/>
      <c r="C99" s="36" t="str">
        <f aca="false">IF(B99="","",IFERROR(INDEX(①出口报关!$I$4:$I$303,MATCH(B99,①出口报关!$A$4:$A$303,0)),"编号不存在"))</f>
        <v/>
      </c>
      <c r="D99" s="43"/>
      <c r="E99" s="45"/>
      <c r="F99" s="46"/>
      <c r="G99" s="48"/>
      <c r="H99" s="43"/>
      <c r="I99" s="43"/>
    </row>
    <row r="100" customFormat="false" ht="21.75" hidden="false" customHeight="true" outlineLevel="0" collapsed="false">
      <c r="A100" s="41"/>
      <c r="B100" s="44"/>
      <c r="C100" s="36" t="str">
        <f aca="false">IF(B100="","",IFERROR(INDEX(①出口报关!$I$4:$I$303,MATCH(B100,①出口报关!$A$4:$A$303,0)),"编号不存在"))</f>
        <v/>
      </c>
      <c r="D100" s="43"/>
      <c r="E100" s="45"/>
      <c r="F100" s="46"/>
      <c r="G100" s="48"/>
      <c r="H100" s="43"/>
      <c r="I100" s="43"/>
    </row>
    <row r="101" customFormat="false" ht="21.75" hidden="false" customHeight="true" outlineLevel="0" collapsed="false">
      <c r="A101" s="41"/>
      <c r="B101" s="44"/>
      <c r="C101" s="36" t="str">
        <f aca="false">IF(B101="","",IFERROR(INDEX(①出口报关!$I$4:$I$303,MATCH(B101,①出口报关!$A$4:$A$303,0)),"编号不存在"))</f>
        <v/>
      </c>
      <c r="D101" s="43"/>
      <c r="E101" s="45"/>
      <c r="F101" s="46"/>
      <c r="G101" s="48"/>
      <c r="H101" s="43"/>
      <c r="I101" s="43"/>
    </row>
    <row r="102" customFormat="false" ht="21.75" hidden="false" customHeight="true" outlineLevel="0" collapsed="false">
      <c r="A102" s="41"/>
      <c r="B102" s="44"/>
      <c r="C102" s="36" t="str">
        <f aca="false">IF(B102="","",IFERROR(INDEX(①出口报关!$I$4:$I$303,MATCH(B102,①出口报关!$A$4:$A$303,0)),"编号不存在"))</f>
        <v/>
      </c>
      <c r="D102" s="43"/>
      <c r="E102" s="45"/>
      <c r="F102" s="46"/>
      <c r="G102" s="48"/>
      <c r="H102" s="43"/>
      <c r="I102" s="43"/>
    </row>
    <row r="103" customFormat="false" ht="21.75" hidden="false" customHeight="true" outlineLevel="0" collapsed="false">
      <c r="A103" s="41"/>
      <c r="B103" s="44"/>
      <c r="C103" s="36" t="str">
        <f aca="false">IF(B103="","",IFERROR(INDEX(①出口报关!$I$4:$I$303,MATCH(B103,①出口报关!$A$4:$A$303,0)),"编号不存在"))</f>
        <v/>
      </c>
      <c r="D103" s="43"/>
      <c r="E103" s="45"/>
      <c r="F103" s="46"/>
      <c r="G103" s="48"/>
      <c r="H103" s="43"/>
      <c r="I103" s="43"/>
    </row>
    <row r="104" customFormat="false" ht="21.75" hidden="false" customHeight="true" outlineLevel="0" collapsed="false">
      <c r="A104" s="41"/>
      <c r="B104" s="44"/>
      <c r="C104" s="36" t="str">
        <f aca="false">IF(B104="","",IFERROR(INDEX(①出口报关!$I$4:$I$303,MATCH(B104,①出口报关!$A$4:$A$303,0)),"编号不存在"))</f>
        <v/>
      </c>
      <c r="D104" s="43"/>
      <c r="E104" s="45"/>
      <c r="F104" s="46"/>
      <c r="G104" s="48"/>
      <c r="H104" s="43"/>
      <c r="I104" s="43"/>
    </row>
    <row r="105" customFormat="false" ht="21.75" hidden="false" customHeight="true" outlineLevel="0" collapsed="false">
      <c r="A105" s="41"/>
      <c r="B105" s="44"/>
      <c r="C105" s="36" t="str">
        <f aca="false">IF(B105="","",IFERROR(INDEX(①出口报关!$I$4:$I$303,MATCH(B105,①出口报关!$A$4:$A$303,0)),"编号不存在"))</f>
        <v/>
      </c>
      <c r="D105" s="43"/>
      <c r="E105" s="45"/>
      <c r="F105" s="46"/>
      <c r="G105" s="48"/>
      <c r="H105" s="43"/>
      <c r="I105" s="43"/>
    </row>
    <row r="106" customFormat="false" ht="21.75" hidden="false" customHeight="true" outlineLevel="0" collapsed="false">
      <c r="A106" s="41"/>
      <c r="B106" s="44"/>
      <c r="C106" s="36" t="str">
        <f aca="false">IF(B106="","",IFERROR(INDEX(①出口报关!$I$4:$I$303,MATCH(B106,①出口报关!$A$4:$A$303,0)),"编号不存在"))</f>
        <v/>
      </c>
      <c r="D106" s="43"/>
      <c r="E106" s="45"/>
      <c r="F106" s="46"/>
      <c r="G106" s="48"/>
      <c r="H106" s="43"/>
      <c r="I106" s="43"/>
    </row>
    <row r="107" customFormat="false" ht="21.75" hidden="false" customHeight="true" outlineLevel="0" collapsed="false">
      <c r="A107" s="41"/>
      <c r="B107" s="44"/>
      <c r="C107" s="36" t="str">
        <f aca="false">IF(B107="","",IFERROR(INDEX(①出口报关!$I$4:$I$303,MATCH(B107,①出口报关!$A$4:$A$303,0)),"编号不存在"))</f>
        <v/>
      </c>
      <c r="D107" s="43"/>
      <c r="E107" s="45"/>
      <c r="F107" s="46"/>
      <c r="G107" s="48"/>
      <c r="H107" s="43"/>
      <c r="I107" s="43"/>
    </row>
    <row r="108" customFormat="false" ht="21.75" hidden="false" customHeight="true" outlineLevel="0" collapsed="false">
      <c r="A108" s="41"/>
      <c r="B108" s="44"/>
      <c r="C108" s="36" t="str">
        <f aca="false">IF(B108="","",IFERROR(INDEX(①出口报关!$I$4:$I$303,MATCH(B108,①出口报关!$A$4:$A$303,0)),"编号不存在"))</f>
        <v/>
      </c>
      <c r="D108" s="43"/>
      <c r="E108" s="45"/>
      <c r="F108" s="46"/>
      <c r="G108" s="48"/>
      <c r="H108" s="43"/>
      <c r="I108" s="43"/>
    </row>
    <row r="109" customFormat="false" ht="21.75" hidden="false" customHeight="true" outlineLevel="0" collapsed="false">
      <c r="A109" s="41"/>
      <c r="B109" s="44"/>
      <c r="C109" s="36" t="str">
        <f aca="false">IF(B109="","",IFERROR(INDEX(①出口报关!$I$4:$I$303,MATCH(B109,①出口报关!$A$4:$A$303,0)),"编号不存在"))</f>
        <v/>
      </c>
      <c r="D109" s="43"/>
      <c r="E109" s="45"/>
      <c r="F109" s="46"/>
      <c r="G109" s="48"/>
      <c r="H109" s="43"/>
      <c r="I109" s="43"/>
    </row>
    <row r="110" customFormat="false" ht="21.75" hidden="false" customHeight="true" outlineLevel="0" collapsed="false">
      <c r="A110" s="41"/>
      <c r="B110" s="44"/>
      <c r="C110" s="36" t="str">
        <f aca="false">IF(B110="","",IFERROR(INDEX(①出口报关!$I$4:$I$303,MATCH(B110,①出口报关!$A$4:$A$303,0)),"编号不存在"))</f>
        <v/>
      </c>
      <c r="D110" s="43"/>
      <c r="E110" s="45"/>
      <c r="F110" s="46"/>
      <c r="G110" s="48"/>
      <c r="H110" s="43"/>
      <c r="I110" s="43"/>
    </row>
    <row r="111" customFormat="false" ht="21.75" hidden="false" customHeight="true" outlineLevel="0" collapsed="false">
      <c r="A111" s="41"/>
      <c r="B111" s="44"/>
      <c r="C111" s="36" t="str">
        <f aca="false">IF(B111="","",IFERROR(INDEX(①出口报关!$I$4:$I$303,MATCH(B111,①出口报关!$A$4:$A$303,0)),"编号不存在"))</f>
        <v/>
      </c>
      <c r="D111" s="43"/>
      <c r="E111" s="45"/>
      <c r="F111" s="46"/>
      <c r="G111" s="48"/>
      <c r="H111" s="43"/>
      <c r="I111" s="43"/>
    </row>
    <row r="112" customFormat="false" ht="21.75" hidden="false" customHeight="true" outlineLevel="0" collapsed="false">
      <c r="A112" s="41"/>
      <c r="B112" s="44"/>
      <c r="C112" s="36" t="str">
        <f aca="false">IF(B112="","",IFERROR(INDEX(①出口报关!$I$4:$I$303,MATCH(B112,①出口报关!$A$4:$A$303,0)),"编号不存在"))</f>
        <v/>
      </c>
      <c r="D112" s="43"/>
      <c r="E112" s="45"/>
      <c r="F112" s="46"/>
      <c r="G112" s="48"/>
      <c r="H112" s="43"/>
      <c r="I112" s="43"/>
    </row>
    <row r="113" customFormat="false" ht="21.75" hidden="false" customHeight="true" outlineLevel="0" collapsed="false">
      <c r="A113" s="41"/>
      <c r="B113" s="44"/>
      <c r="C113" s="36" t="str">
        <f aca="false">IF(B113="","",IFERROR(INDEX(①出口报关!$I$4:$I$303,MATCH(B113,①出口报关!$A$4:$A$303,0)),"编号不存在"))</f>
        <v/>
      </c>
      <c r="D113" s="43"/>
      <c r="E113" s="45"/>
      <c r="F113" s="46"/>
      <c r="G113" s="48"/>
      <c r="H113" s="43"/>
      <c r="I113" s="43"/>
    </row>
    <row r="114" customFormat="false" ht="21.75" hidden="false" customHeight="true" outlineLevel="0" collapsed="false">
      <c r="A114" s="41"/>
      <c r="B114" s="44"/>
      <c r="C114" s="36" t="str">
        <f aca="false">IF(B114="","",IFERROR(INDEX(①出口报关!$I$4:$I$303,MATCH(B114,①出口报关!$A$4:$A$303,0)),"编号不存在"))</f>
        <v/>
      </c>
      <c r="D114" s="43"/>
      <c r="E114" s="45"/>
      <c r="F114" s="46"/>
      <c r="G114" s="48"/>
      <c r="H114" s="43"/>
      <c r="I114" s="43"/>
    </row>
    <row r="115" customFormat="false" ht="21.75" hidden="false" customHeight="true" outlineLevel="0" collapsed="false">
      <c r="A115" s="41"/>
      <c r="B115" s="44"/>
      <c r="C115" s="36" t="str">
        <f aca="false">IF(B115="","",IFERROR(INDEX(①出口报关!$I$4:$I$303,MATCH(B115,①出口报关!$A$4:$A$303,0)),"编号不存在"))</f>
        <v/>
      </c>
      <c r="D115" s="43"/>
      <c r="E115" s="45"/>
      <c r="F115" s="46"/>
      <c r="G115" s="48"/>
      <c r="H115" s="43"/>
      <c r="I115" s="43"/>
    </row>
    <row r="116" customFormat="false" ht="21.75" hidden="false" customHeight="true" outlineLevel="0" collapsed="false">
      <c r="A116" s="41"/>
      <c r="B116" s="44"/>
      <c r="C116" s="36" t="str">
        <f aca="false">IF(B116="","",IFERROR(INDEX(①出口报关!$I$4:$I$303,MATCH(B116,①出口报关!$A$4:$A$303,0)),"编号不存在"))</f>
        <v/>
      </c>
      <c r="D116" s="43"/>
      <c r="E116" s="45"/>
      <c r="F116" s="46"/>
      <c r="G116" s="48"/>
      <c r="H116" s="43"/>
      <c r="I116" s="43"/>
    </row>
    <row r="117" customFormat="false" ht="21.75" hidden="false" customHeight="true" outlineLevel="0" collapsed="false">
      <c r="A117" s="41"/>
      <c r="B117" s="44"/>
      <c r="C117" s="36" t="str">
        <f aca="false">IF(B117="","",IFERROR(INDEX(①出口报关!$I$4:$I$303,MATCH(B117,①出口报关!$A$4:$A$303,0)),"编号不存在"))</f>
        <v/>
      </c>
      <c r="D117" s="43"/>
      <c r="E117" s="45"/>
      <c r="F117" s="46"/>
      <c r="G117" s="48"/>
      <c r="H117" s="43"/>
      <c r="I117" s="43"/>
    </row>
    <row r="118" customFormat="false" ht="21.75" hidden="false" customHeight="true" outlineLevel="0" collapsed="false">
      <c r="A118" s="41"/>
      <c r="B118" s="44"/>
      <c r="C118" s="36" t="str">
        <f aca="false">IF(B118="","",IFERROR(INDEX(①出口报关!$I$4:$I$303,MATCH(B118,①出口报关!$A$4:$A$303,0)),"编号不存在"))</f>
        <v/>
      </c>
      <c r="D118" s="43"/>
      <c r="E118" s="45"/>
      <c r="F118" s="46"/>
      <c r="G118" s="48"/>
      <c r="H118" s="43"/>
      <c r="I118" s="43"/>
    </row>
    <row r="119" customFormat="false" ht="21.75" hidden="false" customHeight="true" outlineLevel="0" collapsed="false">
      <c r="A119" s="41"/>
      <c r="B119" s="44"/>
      <c r="C119" s="36" t="str">
        <f aca="false">IF(B119="","",IFERROR(INDEX(①出口报关!$I$4:$I$303,MATCH(B119,①出口报关!$A$4:$A$303,0)),"编号不存在"))</f>
        <v/>
      </c>
      <c r="D119" s="43"/>
      <c r="E119" s="45"/>
      <c r="F119" s="46"/>
      <c r="G119" s="48"/>
      <c r="H119" s="43"/>
      <c r="I119" s="43"/>
    </row>
    <row r="120" customFormat="false" ht="21.75" hidden="false" customHeight="true" outlineLevel="0" collapsed="false">
      <c r="A120" s="41"/>
      <c r="B120" s="44"/>
      <c r="C120" s="36" t="str">
        <f aca="false">IF(B120="","",IFERROR(INDEX(①出口报关!$I$4:$I$303,MATCH(B120,①出口报关!$A$4:$A$303,0)),"编号不存在"))</f>
        <v/>
      </c>
      <c r="D120" s="43"/>
      <c r="E120" s="45"/>
      <c r="F120" s="46"/>
      <c r="G120" s="48"/>
      <c r="H120" s="43"/>
      <c r="I120" s="43"/>
    </row>
    <row r="121" customFormat="false" ht="21.75" hidden="false" customHeight="true" outlineLevel="0" collapsed="false">
      <c r="A121" s="41"/>
      <c r="B121" s="44"/>
      <c r="C121" s="36" t="str">
        <f aca="false">IF(B121="","",IFERROR(INDEX(①出口报关!$I$4:$I$303,MATCH(B121,①出口报关!$A$4:$A$303,0)),"编号不存在"))</f>
        <v/>
      </c>
      <c r="D121" s="43"/>
      <c r="E121" s="45"/>
      <c r="F121" s="46"/>
      <c r="G121" s="48"/>
      <c r="H121" s="43"/>
      <c r="I121" s="43"/>
    </row>
    <row r="122" customFormat="false" ht="21.75" hidden="false" customHeight="true" outlineLevel="0" collapsed="false">
      <c r="A122" s="41"/>
      <c r="B122" s="44"/>
      <c r="C122" s="36" t="str">
        <f aca="false">IF(B122="","",IFERROR(INDEX(①出口报关!$I$4:$I$303,MATCH(B122,①出口报关!$A$4:$A$303,0)),"编号不存在"))</f>
        <v/>
      </c>
      <c r="D122" s="43"/>
      <c r="E122" s="45"/>
      <c r="F122" s="46"/>
      <c r="G122" s="48"/>
      <c r="H122" s="43"/>
      <c r="I122" s="43"/>
    </row>
    <row r="123" customFormat="false" ht="21.75" hidden="false" customHeight="true" outlineLevel="0" collapsed="false">
      <c r="A123" s="41"/>
      <c r="B123" s="44"/>
      <c r="C123" s="36" t="str">
        <f aca="false">IF(B123="","",IFERROR(INDEX(①出口报关!$I$4:$I$303,MATCH(B123,①出口报关!$A$4:$A$303,0)),"编号不存在"))</f>
        <v/>
      </c>
      <c r="D123" s="43"/>
      <c r="E123" s="45"/>
      <c r="F123" s="46"/>
      <c r="G123" s="48"/>
      <c r="H123" s="43"/>
      <c r="I123" s="43"/>
    </row>
    <row r="124" customFormat="false" ht="21.75" hidden="false" customHeight="true" outlineLevel="0" collapsed="false">
      <c r="A124" s="41"/>
      <c r="B124" s="44"/>
      <c r="C124" s="36" t="str">
        <f aca="false">IF(B124="","",IFERROR(INDEX(①出口报关!$I$4:$I$303,MATCH(B124,①出口报关!$A$4:$A$303,0)),"编号不存在"))</f>
        <v/>
      </c>
      <c r="D124" s="43"/>
      <c r="E124" s="45"/>
      <c r="F124" s="46"/>
      <c r="G124" s="48"/>
      <c r="H124" s="43"/>
      <c r="I124" s="43"/>
    </row>
    <row r="125" customFormat="false" ht="21.75" hidden="false" customHeight="true" outlineLevel="0" collapsed="false">
      <c r="A125" s="41"/>
      <c r="B125" s="44"/>
      <c r="C125" s="36" t="str">
        <f aca="false">IF(B125="","",IFERROR(INDEX(①出口报关!$I$4:$I$303,MATCH(B125,①出口报关!$A$4:$A$303,0)),"编号不存在"))</f>
        <v/>
      </c>
      <c r="D125" s="43"/>
      <c r="E125" s="45"/>
      <c r="F125" s="46"/>
      <c r="G125" s="48"/>
      <c r="H125" s="43"/>
      <c r="I125" s="43"/>
    </row>
    <row r="126" customFormat="false" ht="21.75" hidden="false" customHeight="true" outlineLevel="0" collapsed="false">
      <c r="A126" s="41"/>
      <c r="B126" s="44"/>
      <c r="C126" s="36" t="str">
        <f aca="false">IF(B126="","",IFERROR(INDEX(①出口报关!$I$4:$I$303,MATCH(B126,①出口报关!$A$4:$A$303,0)),"编号不存在"))</f>
        <v/>
      </c>
      <c r="D126" s="43"/>
      <c r="E126" s="45"/>
      <c r="F126" s="46"/>
      <c r="G126" s="48"/>
      <c r="H126" s="43"/>
      <c r="I126" s="43"/>
    </row>
    <row r="127" customFormat="false" ht="21.75" hidden="false" customHeight="true" outlineLevel="0" collapsed="false">
      <c r="A127" s="41"/>
      <c r="B127" s="44"/>
      <c r="C127" s="36" t="str">
        <f aca="false">IF(B127="","",IFERROR(INDEX(①出口报关!$I$4:$I$303,MATCH(B127,①出口报关!$A$4:$A$303,0)),"编号不存在"))</f>
        <v/>
      </c>
      <c r="D127" s="43"/>
      <c r="E127" s="45"/>
      <c r="F127" s="46"/>
      <c r="G127" s="48"/>
      <c r="H127" s="43"/>
      <c r="I127" s="43"/>
    </row>
    <row r="128" customFormat="false" ht="21.75" hidden="false" customHeight="true" outlineLevel="0" collapsed="false">
      <c r="A128" s="41"/>
      <c r="B128" s="44"/>
      <c r="C128" s="36" t="str">
        <f aca="false">IF(B128="","",IFERROR(INDEX(①出口报关!$I$4:$I$303,MATCH(B128,①出口报关!$A$4:$A$303,0)),"编号不存在"))</f>
        <v/>
      </c>
      <c r="D128" s="43"/>
      <c r="E128" s="45"/>
      <c r="F128" s="46"/>
      <c r="G128" s="48"/>
      <c r="H128" s="43"/>
      <c r="I128" s="43"/>
    </row>
    <row r="129" customFormat="false" ht="21.75" hidden="false" customHeight="true" outlineLevel="0" collapsed="false">
      <c r="A129" s="41"/>
      <c r="B129" s="44"/>
      <c r="C129" s="36" t="str">
        <f aca="false">IF(B129="","",IFERROR(INDEX(①出口报关!$I$4:$I$303,MATCH(B129,①出口报关!$A$4:$A$303,0)),"编号不存在"))</f>
        <v/>
      </c>
      <c r="D129" s="43"/>
      <c r="E129" s="45"/>
      <c r="F129" s="46"/>
      <c r="G129" s="48"/>
      <c r="H129" s="43"/>
      <c r="I129" s="43"/>
    </row>
    <row r="130" customFormat="false" ht="21.75" hidden="false" customHeight="true" outlineLevel="0" collapsed="false">
      <c r="A130" s="41"/>
      <c r="B130" s="44"/>
      <c r="C130" s="36" t="str">
        <f aca="false">IF(B130="","",IFERROR(INDEX(①出口报关!$I$4:$I$303,MATCH(B130,①出口报关!$A$4:$A$303,0)),"编号不存在"))</f>
        <v/>
      </c>
      <c r="D130" s="43"/>
      <c r="E130" s="45"/>
      <c r="F130" s="46"/>
      <c r="G130" s="48"/>
      <c r="H130" s="43"/>
      <c r="I130" s="43"/>
    </row>
    <row r="131" customFormat="false" ht="21.75" hidden="false" customHeight="true" outlineLevel="0" collapsed="false">
      <c r="A131" s="41"/>
      <c r="B131" s="44"/>
      <c r="C131" s="36" t="str">
        <f aca="false">IF(B131="","",IFERROR(INDEX(①出口报关!$I$4:$I$303,MATCH(B131,①出口报关!$A$4:$A$303,0)),"编号不存在"))</f>
        <v/>
      </c>
      <c r="D131" s="43"/>
      <c r="E131" s="45"/>
      <c r="F131" s="46"/>
      <c r="G131" s="48"/>
      <c r="H131" s="43"/>
      <c r="I131" s="43"/>
    </row>
    <row r="132" customFormat="false" ht="21.75" hidden="false" customHeight="true" outlineLevel="0" collapsed="false">
      <c r="A132" s="41"/>
      <c r="B132" s="44"/>
      <c r="C132" s="36" t="str">
        <f aca="false">IF(B132="","",IFERROR(INDEX(①出口报关!$I$4:$I$303,MATCH(B132,①出口报关!$A$4:$A$303,0)),"编号不存在"))</f>
        <v/>
      </c>
      <c r="D132" s="43"/>
      <c r="E132" s="45"/>
      <c r="F132" s="46"/>
      <c r="G132" s="48"/>
      <c r="H132" s="43"/>
      <c r="I132" s="43"/>
    </row>
    <row r="133" customFormat="false" ht="21.75" hidden="false" customHeight="true" outlineLevel="0" collapsed="false">
      <c r="A133" s="41"/>
      <c r="B133" s="44"/>
      <c r="C133" s="36" t="str">
        <f aca="false">IF(B133="","",IFERROR(INDEX(①出口报关!$I$4:$I$303,MATCH(B133,①出口报关!$A$4:$A$303,0)),"编号不存在"))</f>
        <v/>
      </c>
      <c r="D133" s="43"/>
      <c r="E133" s="45"/>
      <c r="F133" s="46"/>
      <c r="G133" s="48"/>
      <c r="H133" s="43"/>
      <c r="I133" s="43"/>
    </row>
    <row r="134" customFormat="false" ht="21.75" hidden="false" customHeight="true" outlineLevel="0" collapsed="false">
      <c r="A134" s="41"/>
      <c r="B134" s="44"/>
      <c r="C134" s="36" t="str">
        <f aca="false">IF(B134="","",IFERROR(INDEX(①出口报关!$I$4:$I$303,MATCH(B134,①出口报关!$A$4:$A$303,0)),"编号不存在"))</f>
        <v/>
      </c>
      <c r="D134" s="43"/>
      <c r="E134" s="45"/>
      <c r="F134" s="46"/>
      <c r="G134" s="48"/>
      <c r="H134" s="43"/>
      <c r="I134" s="43"/>
    </row>
    <row r="135" customFormat="false" ht="21.75" hidden="false" customHeight="true" outlineLevel="0" collapsed="false">
      <c r="A135" s="41"/>
      <c r="B135" s="44"/>
      <c r="C135" s="36" t="str">
        <f aca="false">IF(B135="","",IFERROR(INDEX(①出口报关!$I$4:$I$303,MATCH(B135,①出口报关!$A$4:$A$303,0)),"编号不存在"))</f>
        <v/>
      </c>
      <c r="D135" s="43"/>
      <c r="E135" s="45"/>
      <c r="F135" s="46"/>
      <c r="G135" s="48"/>
      <c r="H135" s="43"/>
      <c r="I135" s="43"/>
    </row>
    <row r="136" customFormat="false" ht="21.75" hidden="false" customHeight="true" outlineLevel="0" collapsed="false">
      <c r="A136" s="41"/>
      <c r="B136" s="44"/>
      <c r="C136" s="36" t="str">
        <f aca="false">IF(B136="","",IFERROR(INDEX(①出口报关!$I$4:$I$303,MATCH(B136,①出口报关!$A$4:$A$303,0)),"编号不存在"))</f>
        <v/>
      </c>
      <c r="D136" s="43"/>
      <c r="E136" s="45"/>
      <c r="F136" s="46"/>
      <c r="G136" s="48"/>
      <c r="H136" s="43"/>
      <c r="I136" s="43"/>
    </row>
    <row r="137" customFormat="false" ht="21.75" hidden="false" customHeight="true" outlineLevel="0" collapsed="false">
      <c r="A137" s="41"/>
      <c r="B137" s="44"/>
      <c r="C137" s="36" t="str">
        <f aca="false">IF(B137="","",IFERROR(INDEX(①出口报关!$I$4:$I$303,MATCH(B137,①出口报关!$A$4:$A$303,0)),"编号不存在"))</f>
        <v/>
      </c>
      <c r="D137" s="43"/>
      <c r="E137" s="45"/>
      <c r="F137" s="46"/>
      <c r="G137" s="48"/>
      <c r="H137" s="43"/>
      <c r="I137" s="43"/>
    </row>
    <row r="138" customFormat="false" ht="21.75" hidden="false" customHeight="true" outlineLevel="0" collapsed="false">
      <c r="A138" s="41"/>
      <c r="B138" s="44"/>
      <c r="C138" s="36" t="str">
        <f aca="false">IF(B138="","",IFERROR(INDEX(①出口报关!$I$4:$I$303,MATCH(B138,①出口报关!$A$4:$A$303,0)),"编号不存在"))</f>
        <v/>
      </c>
      <c r="D138" s="43"/>
      <c r="E138" s="45"/>
      <c r="F138" s="46"/>
      <c r="G138" s="48"/>
      <c r="H138" s="43"/>
      <c r="I138" s="43"/>
    </row>
    <row r="139" customFormat="false" ht="21.75" hidden="false" customHeight="true" outlineLevel="0" collapsed="false">
      <c r="A139" s="41"/>
      <c r="B139" s="44"/>
      <c r="C139" s="36" t="str">
        <f aca="false">IF(B139="","",IFERROR(INDEX(①出口报关!$I$4:$I$303,MATCH(B139,①出口报关!$A$4:$A$303,0)),"编号不存在"))</f>
        <v/>
      </c>
      <c r="D139" s="43"/>
      <c r="E139" s="45"/>
      <c r="F139" s="46"/>
      <c r="G139" s="48"/>
      <c r="H139" s="43"/>
      <c r="I139" s="43"/>
    </row>
    <row r="140" customFormat="false" ht="21.75" hidden="false" customHeight="true" outlineLevel="0" collapsed="false">
      <c r="A140" s="41"/>
      <c r="B140" s="44"/>
      <c r="C140" s="36" t="str">
        <f aca="false">IF(B140="","",IFERROR(INDEX(①出口报关!$I$4:$I$303,MATCH(B140,①出口报关!$A$4:$A$303,0)),"编号不存在"))</f>
        <v/>
      </c>
      <c r="D140" s="43"/>
      <c r="E140" s="45"/>
      <c r="F140" s="46"/>
      <c r="G140" s="48"/>
      <c r="H140" s="43"/>
      <c r="I140" s="43"/>
    </row>
    <row r="141" customFormat="false" ht="21.75" hidden="false" customHeight="true" outlineLevel="0" collapsed="false">
      <c r="A141" s="41"/>
      <c r="B141" s="44"/>
      <c r="C141" s="36" t="str">
        <f aca="false">IF(B141="","",IFERROR(INDEX(①出口报关!$I$4:$I$303,MATCH(B141,①出口报关!$A$4:$A$303,0)),"编号不存在"))</f>
        <v/>
      </c>
      <c r="D141" s="43"/>
      <c r="E141" s="45"/>
      <c r="F141" s="46"/>
      <c r="G141" s="48"/>
      <c r="H141" s="43"/>
      <c r="I141" s="43"/>
    </row>
    <row r="142" customFormat="false" ht="21.75" hidden="false" customHeight="true" outlineLevel="0" collapsed="false">
      <c r="A142" s="41"/>
      <c r="B142" s="44"/>
      <c r="C142" s="36" t="str">
        <f aca="false">IF(B142="","",IFERROR(INDEX(①出口报关!$I$4:$I$303,MATCH(B142,①出口报关!$A$4:$A$303,0)),"编号不存在"))</f>
        <v/>
      </c>
      <c r="D142" s="43"/>
      <c r="E142" s="45"/>
      <c r="F142" s="46"/>
      <c r="G142" s="48"/>
      <c r="H142" s="43"/>
      <c r="I142" s="43"/>
    </row>
    <row r="143" customFormat="false" ht="21.75" hidden="false" customHeight="true" outlineLevel="0" collapsed="false">
      <c r="A143" s="41"/>
      <c r="B143" s="44"/>
      <c r="C143" s="36" t="str">
        <f aca="false">IF(B143="","",IFERROR(INDEX(①出口报关!$I$4:$I$303,MATCH(B143,①出口报关!$A$4:$A$303,0)),"编号不存在"))</f>
        <v/>
      </c>
      <c r="D143" s="43"/>
      <c r="E143" s="45"/>
      <c r="F143" s="46"/>
      <c r="G143" s="48"/>
      <c r="H143" s="43"/>
      <c r="I143" s="43"/>
    </row>
    <row r="144" customFormat="false" ht="21.75" hidden="false" customHeight="true" outlineLevel="0" collapsed="false">
      <c r="A144" s="41"/>
      <c r="B144" s="44"/>
      <c r="C144" s="36" t="str">
        <f aca="false">IF(B144="","",IFERROR(INDEX(①出口报关!$I$4:$I$303,MATCH(B144,①出口报关!$A$4:$A$303,0)),"编号不存在"))</f>
        <v/>
      </c>
      <c r="D144" s="43"/>
      <c r="E144" s="45"/>
      <c r="F144" s="46"/>
      <c r="G144" s="48"/>
      <c r="H144" s="43"/>
      <c r="I144" s="43"/>
    </row>
    <row r="145" customFormat="false" ht="21.75" hidden="false" customHeight="true" outlineLevel="0" collapsed="false">
      <c r="A145" s="41"/>
      <c r="B145" s="44"/>
      <c r="C145" s="36" t="str">
        <f aca="false">IF(B145="","",IFERROR(INDEX(①出口报关!$I$4:$I$303,MATCH(B145,①出口报关!$A$4:$A$303,0)),"编号不存在"))</f>
        <v/>
      </c>
      <c r="D145" s="43"/>
      <c r="E145" s="45"/>
      <c r="F145" s="46"/>
      <c r="G145" s="48"/>
      <c r="H145" s="43"/>
      <c r="I145" s="43"/>
    </row>
    <row r="146" customFormat="false" ht="21.75" hidden="false" customHeight="true" outlineLevel="0" collapsed="false">
      <c r="A146" s="41"/>
      <c r="B146" s="44"/>
      <c r="C146" s="36" t="str">
        <f aca="false">IF(B146="","",IFERROR(INDEX(①出口报关!$I$4:$I$303,MATCH(B146,①出口报关!$A$4:$A$303,0)),"编号不存在"))</f>
        <v/>
      </c>
      <c r="D146" s="43"/>
      <c r="E146" s="45"/>
      <c r="F146" s="46"/>
      <c r="G146" s="48"/>
      <c r="H146" s="43"/>
      <c r="I146" s="43"/>
    </row>
    <row r="147" customFormat="false" ht="21.75" hidden="false" customHeight="true" outlineLevel="0" collapsed="false">
      <c r="A147" s="41"/>
      <c r="B147" s="44"/>
      <c r="C147" s="36" t="str">
        <f aca="false">IF(B147="","",IFERROR(INDEX(①出口报关!$I$4:$I$303,MATCH(B147,①出口报关!$A$4:$A$303,0)),"编号不存在"))</f>
        <v/>
      </c>
      <c r="D147" s="43"/>
      <c r="E147" s="45"/>
      <c r="F147" s="46"/>
      <c r="G147" s="48"/>
      <c r="H147" s="43"/>
      <c r="I147" s="43"/>
    </row>
    <row r="148" customFormat="false" ht="21.75" hidden="false" customHeight="true" outlineLevel="0" collapsed="false">
      <c r="A148" s="41"/>
      <c r="B148" s="44"/>
      <c r="C148" s="36" t="str">
        <f aca="false">IF(B148="","",IFERROR(INDEX(①出口报关!$I$4:$I$303,MATCH(B148,①出口报关!$A$4:$A$303,0)),"编号不存在"))</f>
        <v/>
      </c>
      <c r="D148" s="43"/>
      <c r="E148" s="45"/>
      <c r="F148" s="46"/>
      <c r="G148" s="48"/>
      <c r="H148" s="43"/>
      <c r="I148" s="43"/>
    </row>
    <row r="149" customFormat="false" ht="21.75" hidden="false" customHeight="true" outlineLevel="0" collapsed="false">
      <c r="A149" s="41"/>
      <c r="B149" s="44"/>
      <c r="C149" s="36" t="str">
        <f aca="false">IF(B149="","",IFERROR(INDEX(①出口报关!$I$4:$I$303,MATCH(B149,①出口报关!$A$4:$A$303,0)),"编号不存在"))</f>
        <v/>
      </c>
      <c r="D149" s="43"/>
      <c r="E149" s="45"/>
      <c r="F149" s="46"/>
      <c r="G149" s="48"/>
      <c r="H149" s="43"/>
      <c r="I149" s="43"/>
    </row>
    <row r="150" customFormat="false" ht="21.75" hidden="false" customHeight="true" outlineLevel="0" collapsed="false">
      <c r="A150" s="41"/>
      <c r="B150" s="44"/>
      <c r="C150" s="36" t="str">
        <f aca="false">IF(B150="","",IFERROR(INDEX(①出口报关!$I$4:$I$303,MATCH(B150,①出口报关!$A$4:$A$303,0)),"编号不存在"))</f>
        <v/>
      </c>
      <c r="D150" s="43"/>
      <c r="E150" s="45"/>
      <c r="F150" s="46"/>
      <c r="G150" s="48"/>
      <c r="H150" s="43"/>
      <c r="I150" s="43"/>
    </row>
    <row r="151" customFormat="false" ht="21.75" hidden="false" customHeight="true" outlineLevel="0" collapsed="false">
      <c r="A151" s="41"/>
      <c r="B151" s="44"/>
      <c r="C151" s="36" t="str">
        <f aca="false">IF(B151="","",IFERROR(INDEX(①出口报关!$I$4:$I$303,MATCH(B151,①出口报关!$A$4:$A$303,0)),"编号不存在"))</f>
        <v/>
      </c>
      <c r="D151" s="43"/>
      <c r="E151" s="45"/>
      <c r="F151" s="46"/>
      <c r="G151" s="48"/>
      <c r="H151" s="43"/>
      <c r="I151" s="43"/>
    </row>
    <row r="152" customFormat="false" ht="21.75" hidden="false" customHeight="true" outlineLevel="0" collapsed="false">
      <c r="A152" s="41"/>
      <c r="B152" s="44"/>
      <c r="C152" s="36" t="str">
        <f aca="false">IF(B152="","",IFERROR(INDEX(①出口报关!$I$4:$I$303,MATCH(B152,①出口报关!$A$4:$A$303,0)),"编号不存在"))</f>
        <v/>
      </c>
      <c r="D152" s="43"/>
      <c r="E152" s="45"/>
      <c r="F152" s="46"/>
      <c r="G152" s="48"/>
      <c r="H152" s="43"/>
      <c r="I152" s="43"/>
    </row>
    <row r="153" customFormat="false" ht="21.75" hidden="false" customHeight="true" outlineLevel="0" collapsed="false">
      <c r="A153" s="41"/>
      <c r="B153" s="44"/>
      <c r="C153" s="36" t="str">
        <f aca="false">IF(B153="","",IFERROR(INDEX(①出口报关!$I$4:$I$303,MATCH(B153,①出口报关!$A$4:$A$303,0)),"编号不存在"))</f>
        <v/>
      </c>
      <c r="D153" s="43"/>
      <c r="E153" s="45"/>
      <c r="F153" s="46"/>
      <c r="G153" s="48"/>
      <c r="H153" s="43"/>
      <c r="I153" s="43"/>
    </row>
    <row r="154" customFormat="false" ht="21.75" hidden="false" customHeight="true" outlineLevel="0" collapsed="false">
      <c r="A154" s="41"/>
      <c r="B154" s="44"/>
      <c r="C154" s="36" t="str">
        <f aca="false">IF(B154="","",IFERROR(INDEX(①出口报关!$I$4:$I$303,MATCH(B154,①出口报关!$A$4:$A$303,0)),"编号不存在"))</f>
        <v/>
      </c>
      <c r="D154" s="43"/>
      <c r="E154" s="45"/>
      <c r="F154" s="46"/>
      <c r="G154" s="48"/>
      <c r="H154" s="43"/>
      <c r="I154" s="43"/>
    </row>
    <row r="155" customFormat="false" ht="21.75" hidden="false" customHeight="true" outlineLevel="0" collapsed="false">
      <c r="A155" s="41"/>
      <c r="B155" s="44"/>
      <c r="C155" s="36" t="str">
        <f aca="false">IF(B155="","",IFERROR(INDEX(①出口报关!$I$4:$I$303,MATCH(B155,①出口报关!$A$4:$A$303,0)),"编号不存在"))</f>
        <v/>
      </c>
      <c r="D155" s="43"/>
      <c r="E155" s="45"/>
      <c r="F155" s="46"/>
      <c r="G155" s="48"/>
      <c r="H155" s="43"/>
      <c r="I155" s="43"/>
    </row>
    <row r="156" customFormat="false" ht="21.75" hidden="false" customHeight="true" outlineLevel="0" collapsed="false">
      <c r="A156" s="41"/>
      <c r="B156" s="44"/>
      <c r="C156" s="36" t="str">
        <f aca="false">IF(B156="","",IFERROR(INDEX(①出口报关!$I$4:$I$303,MATCH(B156,①出口报关!$A$4:$A$303,0)),"编号不存在"))</f>
        <v/>
      </c>
      <c r="D156" s="43"/>
      <c r="E156" s="45"/>
      <c r="F156" s="46"/>
      <c r="G156" s="48"/>
      <c r="H156" s="43"/>
      <c r="I156" s="43"/>
    </row>
    <row r="157" customFormat="false" ht="21.75" hidden="false" customHeight="true" outlineLevel="0" collapsed="false">
      <c r="A157" s="41"/>
      <c r="B157" s="44"/>
      <c r="C157" s="36" t="str">
        <f aca="false">IF(B157="","",IFERROR(INDEX(①出口报关!$I$4:$I$303,MATCH(B157,①出口报关!$A$4:$A$303,0)),"编号不存在"))</f>
        <v/>
      </c>
      <c r="D157" s="43"/>
      <c r="E157" s="45"/>
      <c r="F157" s="46"/>
      <c r="G157" s="48"/>
      <c r="H157" s="43"/>
      <c r="I157" s="43"/>
    </row>
    <row r="158" customFormat="false" ht="21.75" hidden="false" customHeight="true" outlineLevel="0" collapsed="false">
      <c r="A158" s="41"/>
      <c r="B158" s="44"/>
      <c r="C158" s="36" t="str">
        <f aca="false">IF(B158="","",IFERROR(INDEX(①出口报关!$I$4:$I$303,MATCH(B158,①出口报关!$A$4:$A$303,0)),"编号不存在"))</f>
        <v/>
      </c>
      <c r="D158" s="43"/>
      <c r="E158" s="45"/>
      <c r="F158" s="46"/>
      <c r="G158" s="48"/>
      <c r="H158" s="43"/>
      <c r="I158" s="43"/>
    </row>
    <row r="159" customFormat="false" ht="21.75" hidden="false" customHeight="true" outlineLevel="0" collapsed="false">
      <c r="A159" s="41"/>
      <c r="B159" s="44"/>
      <c r="C159" s="36" t="str">
        <f aca="false">IF(B159="","",IFERROR(INDEX(①出口报关!$I$4:$I$303,MATCH(B159,①出口报关!$A$4:$A$303,0)),"编号不存在"))</f>
        <v/>
      </c>
      <c r="D159" s="43"/>
      <c r="E159" s="45"/>
      <c r="F159" s="46"/>
      <c r="G159" s="48"/>
      <c r="H159" s="43"/>
      <c r="I159" s="43"/>
    </row>
    <row r="160" customFormat="false" ht="21.75" hidden="false" customHeight="true" outlineLevel="0" collapsed="false">
      <c r="A160" s="41"/>
      <c r="B160" s="44"/>
      <c r="C160" s="36" t="str">
        <f aca="false">IF(B160="","",IFERROR(INDEX(①出口报关!$I$4:$I$303,MATCH(B160,①出口报关!$A$4:$A$303,0)),"编号不存在"))</f>
        <v/>
      </c>
      <c r="D160" s="43"/>
      <c r="E160" s="45"/>
      <c r="F160" s="46"/>
      <c r="G160" s="48"/>
      <c r="H160" s="43"/>
      <c r="I160" s="43"/>
    </row>
    <row r="161" customFormat="false" ht="21.75" hidden="false" customHeight="true" outlineLevel="0" collapsed="false">
      <c r="A161" s="41"/>
      <c r="B161" s="44"/>
      <c r="C161" s="36" t="str">
        <f aca="false">IF(B161="","",IFERROR(INDEX(①出口报关!$I$4:$I$303,MATCH(B161,①出口报关!$A$4:$A$303,0)),"编号不存在"))</f>
        <v/>
      </c>
      <c r="D161" s="43"/>
      <c r="E161" s="45"/>
      <c r="F161" s="46"/>
      <c r="G161" s="48"/>
      <c r="H161" s="43"/>
      <c r="I161" s="43"/>
    </row>
    <row r="162" customFormat="false" ht="21.75" hidden="false" customHeight="true" outlineLevel="0" collapsed="false">
      <c r="A162" s="41"/>
      <c r="B162" s="44"/>
      <c r="C162" s="36" t="str">
        <f aca="false">IF(B162="","",IFERROR(INDEX(①出口报关!$I$4:$I$303,MATCH(B162,①出口报关!$A$4:$A$303,0)),"编号不存在"))</f>
        <v/>
      </c>
      <c r="D162" s="43"/>
      <c r="E162" s="45"/>
      <c r="F162" s="46"/>
      <c r="G162" s="48"/>
      <c r="H162" s="43"/>
      <c r="I162" s="43"/>
    </row>
    <row r="163" customFormat="false" ht="21.75" hidden="false" customHeight="true" outlineLevel="0" collapsed="false">
      <c r="A163" s="41"/>
      <c r="B163" s="44"/>
      <c r="C163" s="36" t="str">
        <f aca="false">IF(B163="","",IFERROR(INDEX(①出口报关!$I$4:$I$303,MATCH(B163,①出口报关!$A$4:$A$303,0)),"编号不存在"))</f>
        <v/>
      </c>
      <c r="D163" s="43"/>
      <c r="E163" s="45"/>
      <c r="F163" s="46"/>
      <c r="G163" s="48"/>
      <c r="H163" s="43"/>
      <c r="I163" s="43"/>
    </row>
    <row r="164" customFormat="false" ht="21.75" hidden="false" customHeight="true" outlineLevel="0" collapsed="false">
      <c r="A164" s="41"/>
      <c r="B164" s="44"/>
      <c r="C164" s="36" t="str">
        <f aca="false">IF(B164="","",IFERROR(INDEX(①出口报关!$I$4:$I$303,MATCH(B164,①出口报关!$A$4:$A$303,0)),"编号不存在"))</f>
        <v/>
      </c>
      <c r="D164" s="43"/>
      <c r="E164" s="45"/>
      <c r="F164" s="46"/>
      <c r="G164" s="48"/>
      <c r="H164" s="43"/>
      <c r="I164" s="43"/>
    </row>
    <row r="165" customFormat="false" ht="21.75" hidden="false" customHeight="true" outlineLevel="0" collapsed="false">
      <c r="A165" s="41"/>
      <c r="B165" s="44"/>
      <c r="C165" s="36" t="str">
        <f aca="false">IF(B165="","",IFERROR(INDEX(①出口报关!$I$4:$I$303,MATCH(B165,①出口报关!$A$4:$A$303,0)),"编号不存在"))</f>
        <v/>
      </c>
      <c r="D165" s="43"/>
      <c r="E165" s="45"/>
      <c r="F165" s="46"/>
      <c r="G165" s="48"/>
      <c r="H165" s="43"/>
      <c r="I165" s="43"/>
    </row>
    <row r="166" customFormat="false" ht="21.75" hidden="false" customHeight="true" outlineLevel="0" collapsed="false">
      <c r="A166" s="41"/>
      <c r="B166" s="44"/>
      <c r="C166" s="36" t="str">
        <f aca="false">IF(B166="","",IFERROR(INDEX(①出口报关!$I$4:$I$303,MATCH(B166,①出口报关!$A$4:$A$303,0)),"编号不存在"))</f>
        <v/>
      </c>
      <c r="D166" s="43"/>
      <c r="E166" s="45"/>
      <c r="F166" s="46"/>
      <c r="G166" s="48"/>
      <c r="H166" s="43"/>
      <c r="I166" s="43"/>
    </row>
    <row r="167" customFormat="false" ht="21.75" hidden="false" customHeight="true" outlineLevel="0" collapsed="false">
      <c r="A167" s="41"/>
      <c r="B167" s="44"/>
      <c r="C167" s="36" t="str">
        <f aca="false">IF(B167="","",IFERROR(INDEX(①出口报关!$I$4:$I$303,MATCH(B167,①出口报关!$A$4:$A$303,0)),"编号不存在"))</f>
        <v/>
      </c>
      <c r="D167" s="43"/>
      <c r="E167" s="45"/>
      <c r="F167" s="46"/>
      <c r="G167" s="48"/>
      <c r="H167" s="43"/>
      <c r="I167" s="43"/>
    </row>
    <row r="168" customFormat="false" ht="21.75" hidden="false" customHeight="true" outlineLevel="0" collapsed="false">
      <c r="A168" s="41"/>
      <c r="B168" s="44"/>
      <c r="C168" s="36" t="str">
        <f aca="false">IF(B168="","",IFERROR(INDEX(①出口报关!$I$4:$I$303,MATCH(B168,①出口报关!$A$4:$A$303,0)),"编号不存在"))</f>
        <v/>
      </c>
      <c r="D168" s="43"/>
      <c r="E168" s="45"/>
      <c r="F168" s="46"/>
      <c r="G168" s="48"/>
      <c r="H168" s="43"/>
      <c r="I168" s="43"/>
    </row>
    <row r="169" customFormat="false" ht="21.75" hidden="false" customHeight="true" outlineLevel="0" collapsed="false">
      <c r="A169" s="41"/>
      <c r="B169" s="44"/>
      <c r="C169" s="36" t="str">
        <f aca="false">IF(B169="","",IFERROR(INDEX(①出口报关!$I$4:$I$303,MATCH(B169,①出口报关!$A$4:$A$303,0)),"编号不存在"))</f>
        <v/>
      </c>
      <c r="D169" s="43"/>
      <c r="E169" s="45"/>
      <c r="F169" s="46"/>
      <c r="G169" s="48"/>
      <c r="H169" s="43"/>
      <c r="I169" s="43"/>
    </row>
    <row r="170" customFormat="false" ht="21.75" hidden="false" customHeight="true" outlineLevel="0" collapsed="false">
      <c r="A170" s="41"/>
      <c r="B170" s="44"/>
      <c r="C170" s="36" t="str">
        <f aca="false">IF(B170="","",IFERROR(INDEX(①出口报关!$I$4:$I$303,MATCH(B170,①出口报关!$A$4:$A$303,0)),"编号不存在"))</f>
        <v/>
      </c>
      <c r="D170" s="43"/>
      <c r="E170" s="45"/>
      <c r="F170" s="46"/>
      <c r="G170" s="48"/>
      <c r="H170" s="43"/>
      <c r="I170" s="43"/>
    </row>
    <row r="171" customFormat="false" ht="21.75" hidden="false" customHeight="true" outlineLevel="0" collapsed="false">
      <c r="A171" s="41"/>
      <c r="B171" s="44"/>
      <c r="C171" s="36" t="str">
        <f aca="false">IF(B171="","",IFERROR(INDEX(①出口报关!$I$4:$I$303,MATCH(B171,①出口报关!$A$4:$A$303,0)),"编号不存在"))</f>
        <v/>
      </c>
      <c r="D171" s="43"/>
      <c r="E171" s="45"/>
      <c r="F171" s="46"/>
      <c r="G171" s="48"/>
      <c r="H171" s="43"/>
      <c r="I171" s="43"/>
    </row>
    <row r="172" customFormat="false" ht="21.75" hidden="false" customHeight="true" outlineLevel="0" collapsed="false">
      <c r="A172" s="41"/>
      <c r="B172" s="44"/>
      <c r="C172" s="36" t="str">
        <f aca="false">IF(B172="","",IFERROR(INDEX(①出口报关!$I$4:$I$303,MATCH(B172,①出口报关!$A$4:$A$303,0)),"编号不存在"))</f>
        <v/>
      </c>
      <c r="D172" s="43"/>
      <c r="E172" s="45"/>
      <c r="F172" s="46"/>
      <c r="G172" s="48"/>
      <c r="H172" s="43"/>
      <c r="I172" s="43"/>
    </row>
    <row r="173" customFormat="false" ht="21.75" hidden="false" customHeight="true" outlineLevel="0" collapsed="false">
      <c r="A173" s="41"/>
      <c r="B173" s="44"/>
      <c r="C173" s="36" t="str">
        <f aca="false">IF(B173="","",IFERROR(INDEX(①出口报关!$I$4:$I$303,MATCH(B173,①出口报关!$A$4:$A$303,0)),"编号不存在"))</f>
        <v/>
      </c>
      <c r="D173" s="43"/>
      <c r="E173" s="45"/>
      <c r="F173" s="46"/>
      <c r="G173" s="48"/>
      <c r="H173" s="43"/>
      <c r="I173" s="43"/>
    </row>
    <row r="174" customFormat="false" ht="21.75" hidden="false" customHeight="true" outlineLevel="0" collapsed="false">
      <c r="A174" s="41"/>
      <c r="B174" s="44"/>
      <c r="C174" s="36" t="str">
        <f aca="false">IF(B174="","",IFERROR(INDEX(①出口报关!$I$4:$I$303,MATCH(B174,①出口报关!$A$4:$A$303,0)),"编号不存在"))</f>
        <v/>
      </c>
      <c r="D174" s="43"/>
      <c r="E174" s="45"/>
      <c r="F174" s="46"/>
      <c r="G174" s="48"/>
      <c r="H174" s="43"/>
      <c r="I174" s="43"/>
    </row>
    <row r="175" customFormat="false" ht="21.75" hidden="false" customHeight="true" outlineLevel="0" collapsed="false">
      <c r="A175" s="41"/>
      <c r="B175" s="44"/>
      <c r="C175" s="36" t="str">
        <f aca="false">IF(B175="","",IFERROR(INDEX(①出口报关!$I$4:$I$303,MATCH(B175,①出口报关!$A$4:$A$303,0)),"编号不存在"))</f>
        <v/>
      </c>
      <c r="D175" s="43"/>
      <c r="E175" s="45"/>
      <c r="F175" s="46"/>
      <c r="G175" s="48"/>
      <c r="H175" s="43"/>
      <c r="I175" s="43"/>
    </row>
    <row r="176" customFormat="false" ht="21.75" hidden="false" customHeight="true" outlineLevel="0" collapsed="false">
      <c r="A176" s="41"/>
      <c r="B176" s="44"/>
      <c r="C176" s="36" t="str">
        <f aca="false">IF(B176="","",IFERROR(INDEX(①出口报关!$I$4:$I$303,MATCH(B176,①出口报关!$A$4:$A$303,0)),"编号不存在"))</f>
        <v/>
      </c>
      <c r="D176" s="43"/>
      <c r="E176" s="45"/>
      <c r="F176" s="46"/>
      <c r="G176" s="48"/>
      <c r="H176" s="43"/>
      <c r="I176" s="43"/>
    </row>
    <row r="177" customFormat="false" ht="21.75" hidden="false" customHeight="true" outlineLevel="0" collapsed="false">
      <c r="A177" s="41"/>
      <c r="B177" s="44"/>
      <c r="C177" s="36" t="str">
        <f aca="false">IF(B177="","",IFERROR(INDEX(①出口报关!$I$4:$I$303,MATCH(B177,①出口报关!$A$4:$A$303,0)),"编号不存在"))</f>
        <v/>
      </c>
      <c r="D177" s="43"/>
      <c r="E177" s="45"/>
      <c r="F177" s="46"/>
      <c r="G177" s="48"/>
      <c r="H177" s="43"/>
      <c r="I177" s="43"/>
    </row>
    <row r="178" customFormat="false" ht="21.75" hidden="false" customHeight="true" outlineLevel="0" collapsed="false">
      <c r="A178" s="41"/>
      <c r="B178" s="44"/>
      <c r="C178" s="36" t="str">
        <f aca="false">IF(B178="","",IFERROR(INDEX(①出口报关!$I$4:$I$303,MATCH(B178,①出口报关!$A$4:$A$303,0)),"编号不存在"))</f>
        <v/>
      </c>
      <c r="D178" s="43"/>
      <c r="E178" s="45"/>
      <c r="F178" s="46"/>
      <c r="G178" s="48"/>
      <c r="H178" s="43"/>
      <c r="I178" s="43"/>
    </row>
    <row r="179" customFormat="false" ht="21.75" hidden="false" customHeight="true" outlineLevel="0" collapsed="false">
      <c r="A179" s="41"/>
      <c r="B179" s="44"/>
      <c r="C179" s="36" t="str">
        <f aca="false">IF(B179="","",IFERROR(INDEX(①出口报关!$I$4:$I$303,MATCH(B179,①出口报关!$A$4:$A$303,0)),"编号不存在"))</f>
        <v/>
      </c>
      <c r="D179" s="43"/>
      <c r="E179" s="45"/>
      <c r="F179" s="46"/>
      <c r="G179" s="48"/>
      <c r="H179" s="43"/>
      <c r="I179" s="43"/>
    </row>
    <row r="180" customFormat="false" ht="21.75" hidden="false" customHeight="true" outlineLevel="0" collapsed="false">
      <c r="A180" s="41"/>
      <c r="B180" s="44"/>
      <c r="C180" s="36" t="str">
        <f aca="false">IF(B180="","",IFERROR(INDEX(①出口报关!$I$4:$I$303,MATCH(B180,①出口报关!$A$4:$A$303,0)),"编号不存在"))</f>
        <v/>
      </c>
      <c r="D180" s="43"/>
      <c r="E180" s="45"/>
      <c r="F180" s="46"/>
      <c r="G180" s="48"/>
      <c r="H180" s="43"/>
      <c r="I180" s="43"/>
    </row>
    <row r="181" customFormat="false" ht="21.75" hidden="false" customHeight="true" outlineLevel="0" collapsed="false">
      <c r="A181" s="41"/>
      <c r="B181" s="44"/>
      <c r="C181" s="36" t="str">
        <f aca="false">IF(B181="","",IFERROR(INDEX(①出口报关!$I$4:$I$303,MATCH(B181,①出口报关!$A$4:$A$303,0)),"编号不存在"))</f>
        <v/>
      </c>
      <c r="D181" s="43"/>
      <c r="E181" s="45"/>
      <c r="F181" s="46"/>
      <c r="G181" s="48"/>
      <c r="H181" s="43"/>
      <c r="I181" s="43"/>
    </row>
    <row r="182" customFormat="false" ht="21.75" hidden="false" customHeight="true" outlineLevel="0" collapsed="false">
      <c r="A182" s="41"/>
      <c r="B182" s="44"/>
      <c r="C182" s="36" t="str">
        <f aca="false">IF(B182="","",IFERROR(INDEX(①出口报关!$I$4:$I$303,MATCH(B182,①出口报关!$A$4:$A$303,0)),"编号不存在"))</f>
        <v/>
      </c>
      <c r="D182" s="43"/>
      <c r="E182" s="45"/>
      <c r="F182" s="46"/>
      <c r="G182" s="48"/>
      <c r="H182" s="43"/>
      <c r="I182" s="43"/>
    </row>
    <row r="183" customFormat="false" ht="21.75" hidden="false" customHeight="true" outlineLevel="0" collapsed="false">
      <c r="A183" s="41"/>
      <c r="B183" s="44"/>
      <c r="C183" s="36" t="str">
        <f aca="false">IF(B183="","",IFERROR(INDEX(①出口报关!$I$4:$I$303,MATCH(B183,①出口报关!$A$4:$A$303,0)),"编号不存在"))</f>
        <v/>
      </c>
      <c r="D183" s="43"/>
      <c r="E183" s="45"/>
      <c r="F183" s="46"/>
      <c r="G183" s="48"/>
      <c r="H183" s="43"/>
      <c r="I183" s="43"/>
    </row>
    <row r="184" customFormat="false" ht="21.75" hidden="false" customHeight="true" outlineLevel="0" collapsed="false">
      <c r="A184" s="41"/>
      <c r="B184" s="44"/>
      <c r="C184" s="36" t="str">
        <f aca="false">IF(B184="","",IFERROR(INDEX(①出口报关!$I$4:$I$303,MATCH(B184,①出口报关!$A$4:$A$303,0)),"编号不存在"))</f>
        <v/>
      </c>
      <c r="D184" s="43"/>
      <c r="E184" s="45"/>
      <c r="F184" s="46"/>
      <c r="G184" s="48"/>
      <c r="H184" s="43"/>
      <c r="I184" s="43"/>
    </row>
    <row r="185" customFormat="false" ht="21.75" hidden="false" customHeight="true" outlineLevel="0" collapsed="false">
      <c r="A185" s="41"/>
      <c r="B185" s="44"/>
      <c r="C185" s="36" t="str">
        <f aca="false">IF(B185="","",IFERROR(INDEX(①出口报关!$I$4:$I$303,MATCH(B185,①出口报关!$A$4:$A$303,0)),"编号不存在"))</f>
        <v/>
      </c>
      <c r="D185" s="43"/>
      <c r="E185" s="45"/>
      <c r="F185" s="46"/>
      <c r="G185" s="48"/>
      <c r="H185" s="43"/>
      <c r="I185" s="43"/>
    </row>
    <row r="186" customFormat="false" ht="21.75" hidden="false" customHeight="true" outlineLevel="0" collapsed="false">
      <c r="A186" s="41"/>
      <c r="B186" s="44"/>
      <c r="C186" s="36" t="str">
        <f aca="false">IF(B186="","",IFERROR(INDEX(①出口报关!$I$4:$I$303,MATCH(B186,①出口报关!$A$4:$A$303,0)),"编号不存在"))</f>
        <v/>
      </c>
      <c r="D186" s="43"/>
      <c r="E186" s="45"/>
      <c r="F186" s="46"/>
      <c r="G186" s="48"/>
      <c r="H186" s="43"/>
      <c r="I186" s="43"/>
    </row>
    <row r="187" customFormat="false" ht="21.75" hidden="false" customHeight="true" outlineLevel="0" collapsed="false">
      <c r="A187" s="41"/>
      <c r="B187" s="44"/>
      <c r="C187" s="36" t="str">
        <f aca="false">IF(B187="","",IFERROR(INDEX(①出口报关!$I$4:$I$303,MATCH(B187,①出口报关!$A$4:$A$303,0)),"编号不存在"))</f>
        <v/>
      </c>
      <c r="D187" s="43"/>
      <c r="E187" s="45"/>
      <c r="F187" s="46"/>
      <c r="G187" s="48"/>
      <c r="H187" s="43"/>
      <c r="I187" s="43"/>
    </row>
    <row r="188" customFormat="false" ht="21.75" hidden="false" customHeight="true" outlineLevel="0" collapsed="false">
      <c r="A188" s="41"/>
      <c r="B188" s="44"/>
      <c r="C188" s="36" t="str">
        <f aca="false">IF(B188="","",IFERROR(INDEX(①出口报关!$I$4:$I$303,MATCH(B188,①出口报关!$A$4:$A$303,0)),"编号不存在"))</f>
        <v/>
      </c>
      <c r="D188" s="43"/>
      <c r="E188" s="45"/>
      <c r="F188" s="46"/>
      <c r="G188" s="48"/>
      <c r="H188" s="43"/>
      <c r="I188" s="43"/>
    </row>
    <row r="189" customFormat="false" ht="21.75" hidden="false" customHeight="true" outlineLevel="0" collapsed="false">
      <c r="A189" s="41"/>
      <c r="B189" s="44"/>
      <c r="C189" s="36" t="str">
        <f aca="false">IF(B189="","",IFERROR(INDEX(①出口报关!$I$4:$I$303,MATCH(B189,①出口报关!$A$4:$A$303,0)),"编号不存在"))</f>
        <v/>
      </c>
      <c r="D189" s="43"/>
      <c r="E189" s="45"/>
      <c r="F189" s="46"/>
      <c r="G189" s="48"/>
      <c r="H189" s="43"/>
      <c r="I189" s="43"/>
    </row>
    <row r="190" customFormat="false" ht="21.75" hidden="false" customHeight="true" outlineLevel="0" collapsed="false">
      <c r="A190" s="41"/>
      <c r="B190" s="44"/>
      <c r="C190" s="36" t="str">
        <f aca="false">IF(B190="","",IFERROR(INDEX(①出口报关!$I$4:$I$303,MATCH(B190,①出口报关!$A$4:$A$303,0)),"编号不存在"))</f>
        <v/>
      </c>
      <c r="D190" s="43"/>
      <c r="E190" s="45"/>
      <c r="F190" s="46"/>
      <c r="G190" s="48"/>
      <c r="H190" s="43"/>
      <c r="I190" s="43"/>
    </row>
    <row r="191" customFormat="false" ht="21.75" hidden="false" customHeight="true" outlineLevel="0" collapsed="false">
      <c r="A191" s="41"/>
      <c r="B191" s="44"/>
      <c r="C191" s="36" t="str">
        <f aca="false">IF(B191="","",IFERROR(INDEX(①出口报关!$I$4:$I$303,MATCH(B191,①出口报关!$A$4:$A$303,0)),"编号不存在"))</f>
        <v/>
      </c>
      <c r="D191" s="43"/>
      <c r="E191" s="45"/>
      <c r="F191" s="46"/>
      <c r="G191" s="48"/>
      <c r="H191" s="43"/>
      <c r="I191" s="43"/>
    </row>
    <row r="192" customFormat="false" ht="21.75" hidden="false" customHeight="true" outlineLevel="0" collapsed="false">
      <c r="A192" s="41"/>
      <c r="B192" s="44"/>
      <c r="C192" s="36" t="str">
        <f aca="false">IF(B192="","",IFERROR(INDEX(①出口报关!$I$4:$I$303,MATCH(B192,①出口报关!$A$4:$A$303,0)),"编号不存在"))</f>
        <v/>
      </c>
      <c r="D192" s="43"/>
      <c r="E192" s="45"/>
      <c r="F192" s="46"/>
      <c r="G192" s="48"/>
      <c r="H192" s="43"/>
      <c r="I192" s="43"/>
    </row>
    <row r="193" customFormat="false" ht="21.75" hidden="false" customHeight="true" outlineLevel="0" collapsed="false">
      <c r="A193" s="41"/>
      <c r="B193" s="44"/>
      <c r="C193" s="36" t="str">
        <f aca="false">IF(B193="","",IFERROR(INDEX(①出口报关!$I$4:$I$303,MATCH(B193,①出口报关!$A$4:$A$303,0)),"编号不存在"))</f>
        <v/>
      </c>
      <c r="D193" s="43"/>
      <c r="E193" s="45"/>
      <c r="F193" s="46"/>
      <c r="G193" s="48"/>
      <c r="H193" s="43"/>
      <c r="I193" s="43"/>
    </row>
    <row r="194" customFormat="false" ht="21.75" hidden="false" customHeight="true" outlineLevel="0" collapsed="false">
      <c r="A194" s="41"/>
      <c r="B194" s="44"/>
      <c r="C194" s="36" t="str">
        <f aca="false">IF(B194="","",IFERROR(INDEX(①出口报关!$I$4:$I$303,MATCH(B194,①出口报关!$A$4:$A$303,0)),"编号不存在"))</f>
        <v/>
      </c>
      <c r="D194" s="43"/>
      <c r="E194" s="45"/>
      <c r="F194" s="46"/>
      <c r="G194" s="48"/>
      <c r="H194" s="43"/>
      <c r="I194" s="43"/>
    </row>
    <row r="195" customFormat="false" ht="21.75" hidden="false" customHeight="true" outlineLevel="0" collapsed="false">
      <c r="A195" s="41"/>
      <c r="B195" s="44"/>
      <c r="C195" s="36" t="str">
        <f aca="false">IF(B195="","",IFERROR(INDEX(①出口报关!$I$4:$I$303,MATCH(B195,①出口报关!$A$4:$A$303,0)),"编号不存在"))</f>
        <v/>
      </c>
      <c r="D195" s="43"/>
      <c r="E195" s="45"/>
      <c r="F195" s="46"/>
      <c r="G195" s="48"/>
      <c r="H195" s="43"/>
      <c r="I195" s="43"/>
    </row>
    <row r="196" customFormat="false" ht="21.75" hidden="false" customHeight="true" outlineLevel="0" collapsed="false">
      <c r="A196" s="41"/>
      <c r="B196" s="44"/>
      <c r="C196" s="36" t="str">
        <f aca="false">IF(B196="","",IFERROR(INDEX(①出口报关!$I$4:$I$303,MATCH(B196,①出口报关!$A$4:$A$303,0)),"编号不存在"))</f>
        <v/>
      </c>
      <c r="D196" s="43"/>
      <c r="E196" s="45"/>
      <c r="F196" s="46"/>
      <c r="G196" s="48"/>
      <c r="H196" s="43"/>
      <c r="I196" s="43"/>
    </row>
    <row r="197" customFormat="false" ht="21.75" hidden="false" customHeight="true" outlineLevel="0" collapsed="false">
      <c r="A197" s="41"/>
      <c r="B197" s="44"/>
      <c r="C197" s="36" t="str">
        <f aca="false">IF(B197="","",IFERROR(INDEX(①出口报关!$I$4:$I$303,MATCH(B197,①出口报关!$A$4:$A$303,0)),"编号不存在"))</f>
        <v/>
      </c>
      <c r="D197" s="43"/>
      <c r="E197" s="45"/>
      <c r="F197" s="46"/>
      <c r="G197" s="48"/>
      <c r="H197" s="43"/>
      <c r="I197" s="43"/>
    </row>
    <row r="198" customFormat="false" ht="21.75" hidden="false" customHeight="true" outlineLevel="0" collapsed="false">
      <c r="A198" s="41"/>
      <c r="B198" s="44"/>
      <c r="C198" s="36" t="str">
        <f aca="false">IF(B198="","",IFERROR(INDEX(①出口报关!$I$4:$I$303,MATCH(B198,①出口报关!$A$4:$A$303,0)),"编号不存在"))</f>
        <v/>
      </c>
      <c r="D198" s="43"/>
      <c r="E198" s="45"/>
      <c r="F198" s="46"/>
      <c r="G198" s="48"/>
      <c r="H198" s="43"/>
      <c r="I198" s="43"/>
    </row>
    <row r="199" customFormat="false" ht="21.75" hidden="false" customHeight="true" outlineLevel="0" collapsed="false">
      <c r="A199" s="41"/>
      <c r="B199" s="44"/>
      <c r="C199" s="36" t="str">
        <f aca="false">IF(B199="","",IFERROR(INDEX(①出口报关!$I$4:$I$303,MATCH(B199,①出口报关!$A$4:$A$303,0)),"编号不存在"))</f>
        <v/>
      </c>
      <c r="D199" s="43"/>
      <c r="E199" s="45"/>
      <c r="F199" s="46"/>
      <c r="G199" s="48"/>
      <c r="H199" s="43"/>
      <c r="I199" s="43"/>
    </row>
    <row r="200" customFormat="false" ht="21.75" hidden="false" customHeight="true" outlineLevel="0" collapsed="false">
      <c r="A200" s="41"/>
      <c r="B200" s="44"/>
      <c r="C200" s="36" t="str">
        <f aca="false">IF(B200="","",IFERROR(INDEX(①出口报关!$I$4:$I$303,MATCH(B200,①出口报关!$A$4:$A$303,0)),"编号不存在"))</f>
        <v/>
      </c>
      <c r="D200" s="43"/>
      <c r="E200" s="45"/>
      <c r="F200" s="46"/>
      <c r="G200" s="48"/>
      <c r="H200" s="43"/>
      <c r="I200" s="43"/>
    </row>
    <row r="201" customFormat="false" ht="21.75" hidden="false" customHeight="true" outlineLevel="0" collapsed="false">
      <c r="A201" s="41"/>
      <c r="B201" s="44"/>
      <c r="C201" s="36" t="str">
        <f aca="false">IF(B201="","",IFERROR(INDEX(①出口报关!$I$4:$I$303,MATCH(B201,①出口报关!$A$4:$A$303,0)),"编号不存在"))</f>
        <v/>
      </c>
      <c r="D201" s="43"/>
      <c r="E201" s="45"/>
      <c r="F201" s="46"/>
      <c r="G201" s="48"/>
      <c r="H201" s="43"/>
      <c r="I201" s="43"/>
    </row>
    <row r="202" customFormat="false" ht="21.75" hidden="false" customHeight="true" outlineLevel="0" collapsed="false">
      <c r="A202" s="41"/>
      <c r="B202" s="44"/>
      <c r="C202" s="36" t="str">
        <f aca="false">IF(B202="","",IFERROR(INDEX(①出口报关!$I$4:$I$303,MATCH(B202,①出口报关!$A$4:$A$303,0)),"编号不存在"))</f>
        <v/>
      </c>
      <c r="D202" s="43"/>
      <c r="E202" s="45"/>
      <c r="F202" s="46"/>
      <c r="G202" s="48"/>
      <c r="H202" s="43"/>
      <c r="I202" s="43"/>
    </row>
    <row r="203" customFormat="false" ht="21.75" hidden="false" customHeight="true" outlineLevel="0" collapsed="false">
      <c r="A203" s="41"/>
      <c r="B203" s="44"/>
      <c r="C203" s="36" t="str">
        <f aca="false">IF(B203="","",IFERROR(INDEX(①出口报关!$I$4:$I$303,MATCH(B203,①出口报关!$A$4:$A$303,0)),"编号不存在"))</f>
        <v/>
      </c>
      <c r="D203" s="43"/>
      <c r="E203" s="45"/>
      <c r="F203" s="46"/>
      <c r="G203" s="48"/>
      <c r="H203" s="43"/>
      <c r="I203" s="43"/>
    </row>
  </sheetData>
  <mergeCells count="1">
    <mergeCell ref="A2:I2"/>
  </mergeCells>
  <conditionalFormatting sqref="C4:C203">
    <cfRule type="expression" priority="2" aboveAverage="0" equalAverage="0" bottom="0" percent="0" rank="0" text="" dxfId="0">
      <formula>OR(ISNUMBER(SEARCH("逾期",C4)),ISNUMBER(SEARCH("超期",C4)),ISNUMBER(SEARCH("缺",C4)),ISNUMBER(SEARCH("未收汇",C4)),ISNUMBER(SEARCH("不符",C4)),ISNUMBER(SEARCH("未建档",C4)),ISNUMBER(SEARCH("超过",C4)),ISNUMBER(SEARCH("未登记",C4)),ISNUMBER(SEARCH("不存在",C4)),ISNUMBER(SEARCH("差异",C4)))</formula>
    </cfRule>
    <cfRule type="expression" priority="3" aboveAverage="0" equalAverage="0" bottom="0" percent="0" rank="0" text="" dxfId="2">
      <formula>OR(ISNUMBER(SEARCH("临近",C4)),ISNUMBER(SEARCH("仍未销售",C4)),ISNUMBER(SEARCH("需要调整",C4)),ISNUMBER(SEARCH("待",C4)),ISNUMBER(SEARCH("尚未",C4)),ISNUMBER(SEARCH("请选择",C4)),ISNUMBER(SEARCH("未签收",C4)))</formula>
    </cfRule>
    <cfRule type="expression" priority="4" aboveAverage="0" equalAverage="0" bottom="0" percent="0" rank="0" text="" dxfId="3">
      <formula>OR(ISNUMBER(SEARCH("已收汇",C4)),ISNUMBER(SEARCH("及时",C4)),ISNUMBER(SEARCH("按时",C4)),ISNUMBER(SEARCH("齐全",C4)),ISNUMBER(SEARCH("已核算",C4)),C4="正常",C4="一致",ISNUMBER(SEARCH("无需调整",C4)))</formula>
    </cfRule>
  </conditionalFormatting>
  <conditionalFormatting sqref="H4:H203">
    <cfRule type="expression" priority="5" aboveAverage="0" equalAverage="0" bottom="0" percent="0" rank="0" text="" dxfId="0">
      <formula>OR(ISNUMBER(SEARCH("逾期",H4)),ISNUMBER(SEARCH("超期",H4)),ISNUMBER(SEARCH("缺",H4)),ISNUMBER(SEARCH("未收汇",H4)),ISNUMBER(SEARCH("不符",H4)),ISNUMBER(SEARCH("未建档",H4)),ISNUMBER(SEARCH("超过",H4)),ISNUMBER(SEARCH("未登记",H4)),ISNUMBER(SEARCH("不存在",H4)),ISNUMBER(SEARCH("差异",H4)))</formula>
    </cfRule>
    <cfRule type="expression" priority="6" aboveAverage="0" equalAverage="0" bottom="0" percent="0" rank="0" text="" dxfId="2">
      <formula>OR(ISNUMBER(SEARCH("临近",H4)),ISNUMBER(SEARCH("仍未销售",H4)),ISNUMBER(SEARCH("需要调整",H4)),ISNUMBER(SEARCH("待",H4)),ISNUMBER(SEARCH("尚未",H4)),ISNUMBER(SEARCH("请选择",H4)),ISNUMBER(SEARCH("未签收",H4)))</formula>
    </cfRule>
    <cfRule type="expression" priority="7" aboveAverage="0" equalAverage="0" bottom="0" percent="0" rank="0" text="" dxfId="3">
      <formula>OR(ISNUMBER(SEARCH("已收汇",H4)),ISNUMBER(SEARCH("及时",H4)),ISNUMBER(SEARCH("按时",H4)),ISNUMBER(SEARCH("齐全",H4)),ISNUMBER(SEARCH("已核算",H4)),H4="正常",H4="一致",ISNUMBER(SEARCH("无需调整",H4)))</formula>
    </cfRule>
  </conditionalFormatting>
  <dataValidations count="3">
    <dataValidation allowBlank="true" error="请从下拉列表中选择，或先在参数表/出口报关中登记。" errorStyle="stop" errorTitle="请从下拉中选择" operator="between" showDropDown="false" showErrorMessage="true" showInputMessage="false" sqref="B4:B203" type="list">
      <formula1>①出口报关!$A$4:$A$303</formula1>
      <formula2>0</formula2>
    </dataValidation>
    <dataValidation allowBlank="true" errorStyle="stop" operator="between" showDropDown="false" showErrorMessage="false" showInputMessage="false" sqref="D4:D203" type="list">
      <formula1>参数表!$O$13:$O$40</formula1>
      <formula2>0</formula2>
    </dataValidation>
    <dataValidation allowBlank="true" errorStyle="stop" operator="between" showDropDown="false" showErrorMessage="false" showInputMessage="false" sqref="H4:H203" type="list">
      <formula1>参数表!$T$13:$T$40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6C8"/>
    <pageSetUpPr fitToPage="true"/>
  </sheetPr>
  <dimension ref="A1:S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12" min="4" style="0" width="13"/>
    <col collapsed="false" customWidth="true" hidden="false" outlineLevel="0" max="13" min="13" style="0" width="9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9" min="17" style="0" width="12"/>
  </cols>
  <sheetData>
    <row r="1" customFormat="false" ht="36" hidden="false" customHeight="true" outlineLevel="0" collapsed="false">
      <c r="A1" s="23" t="s">
        <v>269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3.75" hidden="false" customHeight="true" outlineLevel="0" collapsed="false">
      <c r="A2" s="22" t="s">
        <v>270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customFormat="false" ht="61.5" hidden="false" customHeight="true" outlineLevel="0" collapsed="false">
      <c r="A3" s="37" t="s">
        <v>144</v>
      </c>
      <c r="B3" s="37" t="s">
        <v>271</v>
      </c>
      <c r="C3" s="27" t="s">
        <v>272</v>
      </c>
      <c r="D3" s="37" t="s">
        <v>273</v>
      </c>
      <c r="E3" s="37" t="s">
        <v>274</v>
      </c>
      <c r="F3" s="37" t="s">
        <v>275</v>
      </c>
      <c r="G3" s="37" t="s">
        <v>276</v>
      </c>
      <c r="H3" s="37" t="s">
        <v>277</v>
      </c>
      <c r="I3" s="37" t="s">
        <v>278</v>
      </c>
      <c r="J3" s="37" t="s">
        <v>279</v>
      </c>
      <c r="K3" s="37" t="s">
        <v>280</v>
      </c>
      <c r="L3" s="37" t="s">
        <v>281</v>
      </c>
      <c r="M3" s="37" t="s">
        <v>282</v>
      </c>
      <c r="N3" s="37" t="s">
        <v>283</v>
      </c>
      <c r="O3" s="37" t="s">
        <v>284</v>
      </c>
      <c r="P3" s="27" t="s">
        <v>285</v>
      </c>
      <c r="Q3" s="27" t="s">
        <v>286</v>
      </c>
      <c r="R3" s="27" t="s">
        <v>287</v>
      </c>
      <c r="S3" s="37" t="s">
        <v>168</v>
      </c>
    </row>
    <row r="4" customFormat="false" ht="21.75" hidden="false" customHeight="true" outlineLevel="0" collapsed="false">
      <c r="A4" s="39" t="s">
        <v>169</v>
      </c>
      <c r="B4" s="41" t="n">
        <v>46101</v>
      </c>
      <c r="C4" s="30" t="n">
        <f aca="false">IF(ISNUMBER(B4),B4+15,"")</f>
        <v>46116</v>
      </c>
      <c r="D4" s="50" t="s">
        <v>288</v>
      </c>
      <c r="E4" s="50" t="s">
        <v>288</v>
      </c>
      <c r="F4" s="50" t="s">
        <v>288</v>
      </c>
      <c r="G4" s="50" t="s">
        <v>288</v>
      </c>
      <c r="H4" s="50" t="s">
        <v>288</v>
      </c>
      <c r="I4" s="50" t="s">
        <v>288</v>
      </c>
      <c r="J4" s="50" t="s">
        <v>288</v>
      </c>
      <c r="K4" s="50" t="s">
        <v>289</v>
      </c>
      <c r="L4" s="50" t="s">
        <v>289</v>
      </c>
      <c r="M4" s="50" t="s">
        <v>290</v>
      </c>
      <c r="N4" s="43" t="s">
        <v>291</v>
      </c>
      <c r="O4" s="41" t="n">
        <v>46114</v>
      </c>
      <c r="P4" s="35" t="str">
        <f aca="false">IF(A4="","",IF(COUNTIF(D4:L4,"未留存")+COUNTBLANK(D4:L4)=0,"齐全","缺"&amp;(COUNTIF(D4:L4,"未留存")+COUNTBLANK(D4:L4))&amp;"项"))</f>
        <v>齐全</v>
      </c>
      <c r="Q4" s="35" t="str">
        <f aca="true">IF(NOT(ISNUMBER(B4)),"",IF(ISNUMBER(O4),IF(O4&lt;=C4,"按时","超期"),IF(TODAY()&gt;C4,"已超期未完成","待完成")))</f>
        <v>按时</v>
      </c>
      <c r="R4" s="30" t="n">
        <f aca="false">IF(ISNUMBER(B4),EDATE(B4,120),"")</f>
        <v>49754</v>
      </c>
      <c r="S4" s="43" t="s">
        <v>180</v>
      </c>
    </row>
    <row r="5" customFormat="false" ht="21.75" hidden="false" customHeight="true" outlineLevel="0" collapsed="false">
      <c r="A5" s="48"/>
      <c r="B5" s="41"/>
      <c r="C5" s="30" t="str">
        <f aca="false">IF(ISNUMBER(B5),B5+15,"")</f>
        <v/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43"/>
      <c r="O5" s="41"/>
      <c r="P5" s="35" t="str">
        <f aca="false">IF(A5="","",IF(COUNTIF(D5:L5,"未留存")+COUNTBLANK(D5:L5)=0,"齐全","缺"&amp;(COUNTIF(D5:L5,"未留存")+COUNTBLANK(D5:L5))&amp;"项"))</f>
        <v/>
      </c>
      <c r="Q5" s="35" t="str">
        <f aca="true">IF(NOT(ISNUMBER(B5)),"",IF(ISNUMBER(O5),IF(O5&lt;=C5,"按时","超期"),IF(TODAY()&gt;C5,"已超期未完成","待完成")))</f>
        <v/>
      </c>
      <c r="R5" s="30" t="str">
        <f aca="false">IF(ISNUMBER(B5),EDATE(B5,120),"")</f>
        <v/>
      </c>
      <c r="S5" s="43"/>
    </row>
    <row r="6" customFormat="false" ht="21.75" hidden="false" customHeight="true" outlineLevel="0" collapsed="false">
      <c r="A6" s="48"/>
      <c r="B6" s="41"/>
      <c r="C6" s="30" t="str">
        <f aca="false">IF(ISNUMBER(B6),B6+15,"")</f>
        <v/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43"/>
      <c r="O6" s="41"/>
      <c r="P6" s="35" t="str">
        <f aca="false">IF(A6="","",IF(COUNTIF(D6:L6,"未留存")+COUNTBLANK(D6:L6)=0,"齐全","缺"&amp;(COUNTIF(D6:L6,"未留存")+COUNTBLANK(D6:L6))&amp;"项"))</f>
        <v/>
      </c>
      <c r="Q6" s="35" t="str">
        <f aca="true">IF(NOT(ISNUMBER(B6)),"",IF(ISNUMBER(O6),IF(O6&lt;=C6,"按时","超期"),IF(TODAY()&gt;C6,"已超期未完成","待完成")))</f>
        <v/>
      </c>
      <c r="R6" s="30" t="str">
        <f aca="false">IF(ISNUMBER(B6),EDATE(B6,120),"")</f>
        <v/>
      </c>
      <c r="S6" s="43"/>
    </row>
    <row r="7" customFormat="false" ht="21.75" hidden="false" customHeight="true" outlineLevel="0" collapsed="false">
      <c r="A7" s="48"/>
      <c r="B7" s="41"/>
      <c r="C7" s="30" t="str">
        <f aca="false">IF(ISNUMBER(B7),B7+15,"")</f>
        <v/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43"/>
      <c r="O7" s="41"/>
      <c r="P7" s="35" t="str">
        <f aca="false">IF(A7="","",IF(COUNTIF(D7:L7,"未留存")+COUNTBLANK(D7:L7)=0,"齐全","缺"&amp;(COUNTIF(D7:L7,"未留存")+COUNTBLANK(D7:L7))&amp;"项"))</f>
        <v/>
      </c>
      <c r="Q7" s="35" t="str">
        <f aca="true">IF(NOT(ISNUMBER(B7)),"",IF(ISNUMBER(O7),IF(O7&lt;=C7,"按时","超期"),IF(TODAY()&gt;C7,"已超期未完成","待完成")))</f>
        <v/>
      </c>
      <c r="R7" s="30" t="str">
        <f aca="false">IF(ISNUMBER(B7),EDATE(B7,120),"")</f>
        <v/>
      </c>
      <c r="S7" s="43"/>
    </row>
    <row r="8" customFormat="false" ht="21.75" hidden="false" customHeight="true" outlineLevel="0" collapsed="false">
      <c r="A8" s="48"/>
      <c r="B8" s="41"/>
      <c r="C8" s="30" t="str">
        <f aca="false">IF(ISNUMBER(B8),B8+15,"")</f>
        <v/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43"/>
      <c r="O8" s="41"/>
      <c r="P8" s="35" t="str">
        <f aca="false">IF(A8="","",IF(COUNTIF(D8:L8,"未留存")+COUNTBLANK(D8:L8)=0,"齐全","缺"&amp;(COUNTIF(D8:L8,"未留存")+COUNTBLANK(D8:L8))&amp;"项"))</f>
        <v/>
      </c>
      <c r="Q8" s="35" t="str">
        <f aca="true">IF(NOT(ISNUMBER(B8)),"",IF(ISNUMBER(O8),IF(O8&lt;=C8,"按时","超期"),IF(TODAY()&gt;C8,"已超期未完成","待完成")))</f>
        <v/>
      </c>
      <c r="R8" s="30" t="str">
        <f aca="false">IF(ISNUMBER(B8),EDATE(B8,120),"")</f>
        <v/>
      </c>
      <c r="S8" s="43"/>
    </row>
    <row r="9" customFormat="false" ht="21.75" hidden="false" customHeight="true" outlineLevel="0" collapsed="false">
      <c r="A9" s="48"/>
      <c r="B9" s="41"/>
      <c r="C9" s="30" t="str">
        <f aca="false">IF(ISNUMBER(B9),B9+15,"")</f>
        <v/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43"/>
      <c r="O9" s="41"/>
      <c r="P9" s="35" t="str">
        <f aca="false">IF(A9="","",IF(COUNTIF(D9:L9,"未留存")+COUNTBLANK(D9:L9)=0,"齐全","缺"&amp;(COUNTIF(D9:L9,"未留存")+COUNTBLANK(D9:L9))&amp;"项"))</f>
        <v/>
      </c>
      <c r="Q9" s="35" t="str">
        <f aca="true">IF(NOT(ISNUMBER(B9)),"",IF(ISNUMBER(O9),IF(O9&lt;=C9,"按时","超期"),IF(TODAY()&gt;C9,"已超期未完成","待完成")))</f>
        <v/>
      </c>
      <c r="R9" s="30" t="str">
        <f aca="false">IF(ISNUMBER(B9),EDATE(B9,120),"")</f>
        <v/>
      </c>
      <c r="S9" s="43"/>
    </row>
    <row r="10" customFormat="false" ht="21.75" hidden="false" customHeight="true" outlineLevel="0" collapsed="false">
      <c r="A10" s="48"/>
      <c r="B10" s="41"/>
      <c r="C10" s="30" t="str">
        <f aca="false">IF(ISNUMBER(B10),B10+15,"")</f>
        <v/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43"/>
      <c r="O10" s="41"/>
      <c r="P10" s="35" t="str">
        <f aca="false">IF(A10="","",IF(COUNTIF(D10:L10,"未留存")+COUNTBLANK(D10:L10)=0,"齐全","缺"&amp;(COUNTIF(D10:L10,"未留存")+COUNTBLANK(D10:L10))&amp;"项"))</f>
        <v/>
      </c>
      <c r="Q10" s="35" t="str">
        <f aca="true">IF(NOT(ISNUMBER(B10)),"",IF(ISNUMBER(O10),IF(O10&lt;=C10,"按时","超期"),IF(TODAY()&gt;C10,"已超期未完成","待完成")))</f>
        <v/>
      </c>
      <c r="R10" s="30" t="str">
        <f aca="false">IF(ISNUMBER(B10),EDATE(B10,120),"")</f>
        <v/>
      </c>
      <c r="S10" s="43"/>
    </row>
    <row r="11" customFormat="false" ht="21.75" hidden="false" customHeight="true" outlineLevel="0" collapsed="false">
      <c r="A11" s="48"/>
      <c r="B11" s="41"/>
      <c r="C11" s="30" t="str">
        <f aca="false">IF(ISNUMBER(B11),B11+15,"")</f>
        <v/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43"/>
      <c r="O11" s="41"/>
      <c r="P11" s="35" t="str">
        <f aca="false">IF(A11="","",IF(COUNTIF(D11:L11,"未留存")+COUNTBLANK(D11:L11)=0,"齐全","缺"&amp;(COUNTIF(D11:L11,"未留存")+COUNTBLANK(D11:L11))&amp;"项"))</f>
        <v/>
      </c>
      <c r="Q11" s="35" t="str">
        <f aca="true">IF(NOT(ISNUMBER(B11)),"",IF(ISNUMBER(O11),IF(O11&lt;=C11,"按时","超期"),IF(TODAY()&gt;C11,"已超期未完成","待完成")))</f>
        <v/>
      </c>
      <c r="R11" s="30" t="str">
        <f aca="false">IF(ISNUMBER(B11),EDATE(B11,120),"")</f>
        <v/>
      </c>
      <c r="S11" s="43"/>
    </row>
    <row r="12" customFormat="false" ht="21.75" hidden="false" customHeight="true" outlineLevel="0" collapsed="false">
      <c r="A12" s="48"/>
      <c r="B12" s="41"/>
      <c r="C12" s="30" t="str">
        <f aca="false">IF(ISNUMBER(B12),B12+15,"")</f>
        <v/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43"/>
      <c r="O12" s="41"/>
      <c r="P12" s="35" t="str">
        <f aca="false">IF(A12="","",IF(COUNTIF(D12:L12,"未留存")+COUNTBLANK(D12:L12)=0,"齐全","缺"&amp;(COUNTIF(D12:L12,"未留存")+COUNTBLANK(D12:L12))&amp;"项"))</f>
        <v/>
      </c>
      <c r="Q12" s="35" t="str">
        <f aca="true">IF(NOT(ISNUMBER(B12)),"",IF(ISNUMBER(O12),IF(O12&lt;=C12,"按时","超期"),IF(TODAY()&gt;C12,"已超期未完成","待完成")))</f>
        <v/>
      </c>
      <c r="R12" s="30" t="str">
        <f aca="false">IF(ISNUMBER(B12),EDATE(B12,120),"")</f>
        <v/>
      </c>
      <c r="S12" s="43"/>
    </row>
    <row r="13" customFormat="false" ht="21.75" hidden="false" customHeight="true" outlineLevel="0" collapsed="false">
      <c r="A13" s="48"/>
      <c r="B13" s="41"/>
      <c r="C13" s="30" t="str">
        <f aca="false">IF(ISNUMBER(B13),B13+15,"")</f>
        <v/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43"/>
      <c r="O13" s="41"/>
      <c r="P13" s="35" t="str">
        <f aca="false">IF(A13="","",IF(COUNTIF(D13:L13,"未留存")+COUNTBLANK(D13:L13)=0,"齐全","缺"&amp;(COUNTIF(D13:L13,"未留存")+COUNTBLANK(D13:L13))&amp;"项"))</f>
        <v/>
      </c>
      <c r="Q13" s="35" t="str">
        <f aca="true">IF(NOT(ISNUMBER(B13)),"",IF(ISNUMBER(O13),IF(O13&lt;=C13,"按时","超期"),IF(TODAY()&gt;C13,"已超期未完成","待完成")))</f>
        <v/>
      </c>
      <c r="R13" s="30" t="str">
        <f aca="false">IF(ISNUMBER(B13),EDATE(B13,120),"")</f>
        <v/>
      </c>
      <c r="S13" s="43"/>
    </row>
    <row r="14" customFormat="false" ht="21.75" hidden="false" customHeight="true" outlineLevel="0" collapsed="false">
      <c r="A14" s="48"/>
      <c r="B14" s="41"/>
      <c r="C14" s="30" t="str">
        <f aca="false">IF(ISNUMBER(B14),B14+15,"")</f>
        <v/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43"/>
      <c r="O14" s="41"/>
      <c r="P14" s="35" t="str">
        <f aca="false">IF(A14="","",IF(COUNTIF(D14:L14,"未留存")+COUNTBLANK(D14:L14)=0,"齐全","缺"&amp;(COUNTIF(D14:L14,"未留存")+COUNTBLANK(D14:L14))&amp;"项"))</f>
        <v/>
      </c>
      <c r="Q14" s="35" t="str">
        <f aca="true">IF(NOT(ISNUMBER(B14)),"",IF(ISNUMBER(O14),IF(O14&lt;=C14,"按时","超期"),IF(TODAY()&gt;C14,"已超期未完成","待完成")))</f>
        <v/>
      </c>
      <c r="R14" s="30" t="str">
        <f aca="false">IF(ISNUMBER(B14),EDATE(B14,120),"")</f>
        <v/>
      </c>
      <c r="S14" s="43"/>
    </row>
    <row r="15" customFormat="false" ht="21.75" hidden="false" customHeight="true" outlineLevel="0" collapsed="false">
      <c r="A15" s="48"/>
      <c r="B15" s="41"/>
      <c r="C15" s="30" t="str">
        <f aca="false">IF(ISNUMBER(B15),B15+15,"")</f>
        <v/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43"/>
      <c r="O15" s="41"/>
      <c r="P15" s="35" t="str">
        <f aca="false">IF(A15="","",IF(COUNTIF(D15:L15,"未留存")+COUNTBLANK(D15:L15)=0,"齐全","缺"&amp;(COUNTIF(D15:L15,"未留存")+COUNTBLANK(D15:L15))&amp;"项"))</f>
        <v/>
      </c>
      <c r="Q15" s="35" t="str">
        <f aca="true">IF(NOT(ISNUMBER(B15)),"",IF(ISNUMBER(O15),IF(O15&lt;=C15,"按时","超期"),IF(TODAY()&gt;C15,"已超期未完成","待完成")))</f>
        <v/>
      </c>
      <c r="R15" s="30" t="str">
        <f aca="false">IF(ISNUMBER(B15),EDATE(B15,120),"")</f>
        <v/>
      </c>
      <c r="S15" s="43"/>
    </row>
    <row r="16" customFormat="false" ht="21.75" hidden="false" customHeight="true" outlineLevel="0" collapsed="false">
      <c r="A16" s="48"/>
      <c r="B16" s="41"/>
      <c r="C16" s="30" t="str">
        <f aca="false">IF(ISNUMBER(B16),B16+15,"")</f>
        <v/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43"/>
      <c r="O16" s="41"/>
      <c r="P16" s="35" t="str">
        <f aca="false">IF(A16="","",IF(COUNTIF(D16:L16,"未留存")+COUNTBLANK(D16:L16)=0,"齐全","缺"&amp;(COUNTIF(D16:L16,"未留存")+COUNTBLANK(D16:L16))&amp;"项"))</f>
        <v/>
      </c>
      <c r="Q16" s="35" t="str">
        <f aca="true">IF(NOT(ISNUMBER(B16)),"",IF(ISNUMBER(O16),IF(O16&lt;=C16,"按时","超期"),IF(TODAY()&gt;C16,"已超期未完成","待完成")))</f>
        <v/>
      </c>
      <c r="R16" s="30" t="str">
        <f aca="false">IF(ISNUMBER(B16),EDATE(B16,120),"")</f>
        <v/>
      </c>
      <c r="S16" s="43"/>
    </row>
    <row r="17" customFormat="false" ht="21.75" hidden="false" customHeight="true" outlineLevel="0" collapsed="false">
      <c r="A17" s="48"/>
      <c r="B17" s="41"/>
      <c r="C17" s="30" t="str">
        <f aca="false">IF(ISNUMBER(B17),B17+15,"")</f>
        <v/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43"/>
      <c r="O17" s="41"/>
      <c r="P17" s="35" t="str">
        <f aca="false">IF(A17="","",IF(COUNTIF(D17:L17,"未留存")+COUNTBLANK(D17:L17)=0,"齐全","缺"&amp;(COUNTIF(D17:L17,"未留存")+COUNTBLANK(D17:L17))&amp;"项"))</f>
        <v/>
      </c>
      <c r="Q17" s="35" t="str">
        <f aca="true">IF(NOT(ISNUMBER(B17)),"",IF(ISNUMBER(O17),IF(O17&lt;=C17,"按时","超期"),IF(TODAY()&gt;C17,"已超期未完成","待完成")))</f>
        <v/>
      </c>
      <c r="R17" s="30" t="str">
        <f aca="false">IF(ISNUMBER(B17),EDATE(B17,120),"")</f>
        <v/>
      </c>
      <c r="S17" s="43"/>
    </row>
    <row r="18" customFormat="false" ht="21.75" hidden="false" customHeight="true" outlineLevel="0" collapsed="false">
      <c r="A18" s="48"/>
      <c r="B18" s="41"/>
      <c r="C18" s="30" t="str">
        <f aca="false">IF(ISNUMBER(B18),B18+15,"")</f>
        <v/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43"/>
      <c r="O18" s="41"/>
      <c r="P18" s="35" t="str">
        <f aca="false">IF(A18="","",IF(COUNTIF(D18:L18,"未留存")+COUNTBLANK(D18:L18)=0,"齐全","缺"&amp;(COUNTIF(D18:L18,"未留存")+COUNTBLANK(D18:L18))&amp;"项"))</f>
        <v/>
      </c>
      <c r="Q18" s="35" t="str">
        <f aca="true">IF(NOT(ISNUMBER(B18)),"",IF(ISNUMBER(O18),IF(O18&lt;=C18,"按时","超期"),IF(TODAY()&gt;C18,"已超期未完成","待完成")))</f>
        <v/>
      </c>
      <c r="R18" s="30" t="str">
        <f aca="false">IF(ISNUMBER(B18),EDATE(B18,120),"")</f>
        <v/>
      </c>
      <c r="S18" s="43"/>
    </row>
    <row r="19" customFormat="false" ht="21.75" hidden="false" customHeight="true" outlineLevel="0" collapsed="false">
      <c r="A19" s="48"/>
      <c r="B19" s="41"/>
      <c r="C19" s="30" t="str">
        <f aca="false">IF(ISNUMBER(B19),B19+15,"")</f>
        <v/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43"/>
      <c r="O19" s="41"/>
      <c r="P19" s="35" t="str">
        <f aca="false">IF(A19="","",IF(COUNTIF(D19:L19,"未留存")+COUNTBLANK(D19:L19)=0,"齐全","缺"&amp;(COUNTIF(D19:L19,"未留存")+COUNTBLANK(D19:L19))&amp;"项"))</f>
        <v/>
      </c>
      <c r="Q19" s="35" t="str">
        <f aca="true">IF(NOT(ISNUMBER(B19)),"",IF(ISNUMBER(O19),IF(O19&lt;=C19,"按时","超期"),IF(TODAY()&gt;C19,"已超期未完成","待完成")))</f>
        <v/>
      </c>
      <c r="R19" s="30" t="str">
        <f aca="false">IF(ISNUMBER(B19),EDATE(B19,120),"")</f>
        <v/>
      </c>
      <c r="S19" s="43"/>
    </row>
    <row r="20" customFormat="false" ht="21.75" hidden="false" customHeight="true" outlineLevel="0" collapsed="false">
      <c r="A20" s="48"/>
      <c r="B20" s="41"/>
      <c r="C20" s="30" t="str">
        <f aca="false">IF(ISNUMBER(B20),B20+15,"")</f>
        <v/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43"/>
      <c r="O20" s="41"/>
      <c r="P20" s="35" t="str">
        <f aca="false">IF(A20="","",IF(COUNTIF(D20:L20,"未留存")+COUNTBLANK(D20:L20)=0,"齐全","缺"&amp;(COUNTIF(D20:L20,"未留存")+COUNTBLANK(D20:L20))&amp;"项"))</f>
        <v/>
      </c>
      <c r="Q20" s="35" t="str">
        <f aca="true">IF(NOT(ISNUMBER(B20)),"",IF(ISNUMBER(O20),IF(O20&lt;=C20,"按时","超期"),IF(TODAY()&gt;C20,"已超期未完成","待完成")))</f>
        <v/>
      </c>
      <c r="R20" s="30" t="str">
        <f aca="false">IF(ISNUMBER(B20),EDATE(B20,120),"")</f>
        <v/>
      </c>
      <c r="S20" s="43"/>
    </row>
    <row r="21" customFormat="false" ht="21.75" hidden="false" customHeight="true" outlineLevel="0" collapsed="false">
      <c r="A21" s="48"/>
      <c r="B21" s="41"/>
      <c r="C21" s="30" t="str">
        <f aca="false">IF(ISNUMBER(B21),B21+15,"")</f>
        <v/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43"/>
      <c r="O21" s="41"/>
      <c r="P21" s="35" t="str">
        <f aca="false">IF(A21="","",IF(COUNTIF(D21:L21,"未留存")+COUNTBLANK(D21:L21)=0,"齐全","缺"&amp;(COUNTIF(D21:L21,"未留存")+COUNTBLANK(D21:L21))&amp;"项"))</f>
        <v/>
      </c>
      <c r="Q21" s="35" t="str">
        <f aca="true">IF(NOT(ISNUMBER(B21)),"",IF(ISNUMBER(O21),IF(O21&lt;=C21,"按时","超期"),IF(TODAY()&gt;C21,"已超期未完成","待完成")))</f>
        <v/>
      </c>
      <c r="R21" s="30" t="str">
        <f aca="false">IF(ISNUMBER(B21),EDATE(B21,120),"")</f>
        <v/>
      </c>
      <c r="S21" s="43"/>
    </row>
    <row r="22" customFormat="false" ht="21.75" hidden="false" customHeight="true" outlineLevel="0" collapsed="false">
      <c r="A22" s="48"/>
      <c r="B22" s="41"/>
      <c r="C22" s="30" t="str">
        <f aca="false">IF(ISNUMBER(B22),B22+15,"")</f>
        <v/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43"/>
      <c r="O22" s="41"/>
      <c r="P22" s="35" t="str">
        <f aca="false">IF(A22="","",IF(COUNTIF(D22:L22,"未留存")+COUNTBLANK(D22:L22)=0,"齐全","缺"&amp;(COUNTIF(D22:L22,"未留存")+COUNTBLANK(D22:L22))&amp;"项"))</f>
        <v/>
      </c>
      <c r="Q22" s="35" t="str">
        <f aca="true">IF(NOT(ISNUMBER(B22)),"",IF(ISNUMBER(O22),IF(O22&lt;=C22,"按时","超期"),IF(TODAY()&gt;C22,"已超期未完成","待完成")))</f>
        <v/>
      </c>
      <c r="R22" s="30" t="str">
        <f aca="false">IF(ISNUMBER(B22),EDATE(B22,120),"")</f>
        <v/>
      </c>
      <c r="S22" s="43"/>
    </row>
    <row r="23" customFormat="false" ht="21.75" hidden="false" customHeight="true" outlineLevel="0" collapsed="false">
      <c r="A23" s="48"/>
      <c r="B23" s="41"/>
      <c r="C23" s="30" t="str">
        <f aca="false">IF(ISNUMBER(B23),B23+15,"")</f>
        <v/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43"/>
      <c r="O23" s="41"/>
      <c r="P23" s="35" t="str">
        <f aca="false">IF(A23="","",IF(COUNTIF(D23:L23,"未留存")+COUNTBLANK(D23:L23)=0,"齐全","缺"&amp;(COUNTIF(D23:L23,"未留存")+COUNTBLANK(D23:L23))&amp;"项"))</f>
        <v/>
      </c>
      <c r="Q23" s="35" t="str">
        <f aca="true">IF(NOT(ISNUMBER(B23)),"",IF(ISNUMBER(O23),IF(O23&lt;=C23,"按时","超期"),IF(TODAY()&gt;C23,"已超期未完成","待完成")))</f>
        <v/>
      </c>
      <c r="R23" s="30" t="str">
        <f aca="false">IF(ISNUMBER(B23),EDATE(B23,120),"")</f>
        <v/>
      </c>
      <c r="S23" s="43"/>
    </row>
    <row r="24" customFormat="false" ht="21.75" hidden="false" customHeight="true" outlineLevel="0" collapsed="false">
      <c r="A24" s="48"/>
      <c r="B24" s="41"/>
      <c r="C24" s="30" t="str">
        <f aca="false">IF(ISNUMBER(B24),B24+15,"")</f>
        <v/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43"/>
      <c r="O24" s="41"/>
      <c r="P24" s="35" t="str">
        <f aca="false">IF(A24="","",IF(COUNTIF(D24:L24,"未留存")+COUNTBLANK(D24:L24)=0,"齐全","缺"&amp;(COUNTIF(D24:L24,"未留存")+COUNTBLANK(D24:L24))&amp;"项"))</f>
        <v/>
      </c>
      <c r="Q24" s="35" t="str">
        <f aca="true">IF(NOT(ISNUMBER(B24)),"",IF(ISNUMBER(O24),IF(O24&lt;=C24,"按时","超期"),IF(TODAY()&gt;C24,"已超期未完成","待完成")))</f>
        <v/>
      </c>
      <c r="R24" s="30" t="str">
        <f aca="false">IF(ISNUMBER(B24),EDATE(B24,120),"")</f>
        <v/>
      </c>
      <c r="S24" s="43"/>
    </row>
    <row r="25" customFormat="false" ht="21.75" hidden="false" customHeight="true" outlineLevel="0" collapsed="false">
      <c r="A25" s="48"/>
      <c r="B25" s="41"/>
      <c r="C25" s="30" t="str">
        <f aca="false">IF(ISNUMBER(B25),B25+15,"")</f>
        <v/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43"/>
      <c r="O25" s="41"/>
      <c r="P25" s="35" t="str">
        <f aca="false">IF(A25="","",IF(COUNTIF(D25:L25,"未留存")+COUNTBLANK(D25:L25)=0,"齐全","缺"&amp;(COUNTIF(D25:L25,"未留存")+COUNTBLANK(D25:L25))&amp;"项"))</f>
        <v/>
      </c>
      <c r="Q25" s="35" t="str">
        <f aca="true">IF(NOT(ISNUMBER(B25)),"",IF(ISNUMBER(O25),IF(O25&lt;=C25,"按时","超期"),IF(TODAY()&gt;C25,"已超期未完成","待完成")))</f>
        <v/>
      </c>
      <c r="R25" s="30" t="str">
        <f aca="false">IF(ISNUMBER(B25),EDATE(B25,120),"")</f>
        <v/>
      </c>
      <c r="S25" s="43"/>
    </row>
    <row r="26" customFormat="false" ht="21.75" hidden="false" customHeight="true" outlineLevel="0" collapsed="false">
      <c r="A26" s="48"/>
      <c r="B26" s="41"/>
      <c r="C26" s="30" t="str">
        <f aca="false">IF(ISNUMBER(B26),B26+15,"")</f>
        <v/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43"/>
      <c r="O26" s="41"/>
      <c r="P26" s="35" t="str">
        <f aca="false">IF(A26="","",IF(COUNTIF(D26:L26,"未留存")+COUNTBLANK(D26:L26)=0,"齐全","缺"&amp;(COUNTIF(D26:L26,"未留存")+COUNTBLANK(D26:L26))&amp;"项"))</f>
        <v/>
      </c>
      <c r="Q26" s="35" t="str">
        <f aca="true">IF(NOT(ISNUMBER(B26)),"",IF(ISNUMBER(O26),IF(O26&lt;=C26,"按时","超期"),IF(TODAY()&gt;C26,"已超期未完成","待完成")))</f>
        <v/>
      </c>
      <c r="R26" s="30" t="str">
        <f aca="false">IF(ISNUMBER(B26),EDATE(B26,120),"")</f>
        <v/>
      </c>
      <c r="S26" s="43"/>
    </row>
    <row r="27" customFormat="false" ht="21.75" hidden="false" customHeight="true" outlineLevel="0" collapsed="false">
      <c r="A27" s="48"/>
      <c r="B27" s="41"/>
      <c r="C27" s="30" t="str">
        <f aca="false">IF(ISNUMBER(B27),B27+15,"")</f>
        <v/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43"/>
      <c r="O27" s="41"/>
      <c r="P27" s="35" t="str">
        <f aca="false">IF(A27="","",IF(COUNTIF(D27:L27,"未留存")+COUNTBLANK(D27:L27)=0,"齐全","缺"&amp;(COUNTIF(D27:L27,"未留存")+COUNTBLANK(D27:L27))&amp;"项"))</f>
        <v/>
      </c>
      <c r="Q27" s="35" t="str">
        <f aca="true">IF(NOT(ISNUMBER(B27)),"",IF(ISNUMBER(O27),IF(O27&lt;=C27,"按时","超期"),IF(TODAY()&gt;C27,"已超期未完成","待完成")))</f>
        <v/>
      </c>
      <c r="R27" s="30" t="str">
        <f aca="false">IF(ISNUMBER(B27),EDATE(B27,120),"")</f>
        <v/>
      </c>
      <c r="S27" s="43"/>
    </row>
    <row r="28" customFormat="false" ht="21.75" hidden="false" customHeight="true" outlineLevel="0" collapsed="false">
      <c r="A28" s="48"/>
      <c r="B28" s="41"/>
      <c r="C28" s="30" t="str">
        <f aca="false">IF(ISNUMBER(B28),B28+15,"")</f>
        <v/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43"/>
      <c r="O28" s="41"/>
      <c r="P28" s="35" t="str">
        <f aca="false">IF(A28="","",IF(COUNTIF(D28:L28,"未留存")+COUNTBLANK(D28:L28)=0,"齐全","缺"&amp;(COUNTIF(D28:L28,"未留存")+COUNTBLANK(D28:L28))&amp;"项"))</f>
        <v/>
      </c>
      <c r="Q28" s="35" t="str">
        <f aca="true">IF(NOT(ISNUMBER(B28)),"",IF(ISNUMBER(O28),IF(O28&lt;=C28,"按时","超期"),IF(TODAY()&gt;C28,"已超期未完成","待完成")))</f>
        <v/>
      </c>
      <c r="R28" s="30" t="str">
        <f aca="false">IF(ISNUMBER(B28),EDATE(B28,120),"")</f>
        <v/>
      </c>
      <c r="S28" s="43"/>
    </row>
    <row r="29" customFormat="false" ht="21.75" hidden="false" customHeight="true" outlineLevel="0" collapsed="false">
      <c r="A29" s="48"/>
      <c r="B29" s="41"/>
      <c r="C29" s="30" t="str">
        <f aca="false">IF(ISNUMBER(B29),B29+15,"")</f>
        <v/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43"/>
      <c r="O29" s="41"/>
      <c r="P29" s="35" t="str">
        <f aca="false">IF(A29="","",IF(COUNTIF(D29:L29,"未留存")+COUNTBLANK(D29:L29)=0,"齐全","缺"&amp;(COUNTIF(D29:L29,"未留存")+COUNTBLANK(D29:L29))&amp;"项"))</f>
        <v/>
      </c>
      <c r="Q29" s="35" t="str">
        <f aca="true">IF(NOT(ISNUMBER(B29)),"",IF(ISNUMBER(O29),IF(O29&lt;=C29,"按时","超期"),IF(TODAY()&gt;C29,"已超期未完成","待完成")))</f>
        <v/>
      </c>
      <c r="R29" s="30" t="str">
        <f aca="false">IF(ISNUMBER(B29),EDATE(B29,120),"")</f>
        <v/>
      </c>
      <c r="S29" s="43"/>
    </row>
    <row r="30" customFormat="false" ht="21.75" hidden="false" customHeight="true" outlineLevel="0" collapsed="false">
      <c r="A30" s="48"/>
      <c r="B30" s="41"/>
      <c r="C30" s="30" t="str">
        <f aca="false">IF(ISNUMBER(B30),B30+15,"")</f>
        <v/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43"/>
      <c r="O30" s="41"/>
      <c r="P30" s="35" t="str">
        <f aca="false">IF(A30="","",IF(COUNTIF(D30:L30,"未留存")+COUNTBLANK(D30:L30)=0,"齐全","缺"&amp;(COUNTIF(D30:L30,"未留存")+COUNTBLANK(D30:L30))&amp;"项"))</f>
        <v/>
      </c>
      <c r="Q30" s="35" t="str">
        <f aca="true">IF(NOT(ISNUMBER(B30)),"",IF(ISNUMBER(O30),IF(O30&lt;=C30,"按时","超期"),IF(TODAY()&gt;C30,"已超期未完成","待完成")))</f>
        <v/>
      </c>
      <c r="R30" s="30" t="str">
        <f aca="false">IF(ISNUMBER(B30),EDATE(B30,120),"")</f>
        <v/>
      </c>
      <c r="S30" s="43"/>
    </row>
    <row r="31" customFormat="false" ht="21.75" hidden="false" customHeight="true" outlineLevel="0" collapsed="false">
      <c r="A31" s="48"/>
      <c r="B31" s="41"/>
      <c r="C31" s="30" t="str">
        <f aca="false">IF(ISNUMBER(B31),B31+15,"")</f>
        <v/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43"/>
      <c r="O31" s="41"/>
      <c r="P31" s="35" t="str">
        <f aca="false">IF(A31="","",IF(COUNTIF(D31:L31,"未留存")+COUNTBLANK(D31:L31)=0,"齐全","缺"&amp;(COUNTIF(D31:L31,"未留存")+COUNTBLANK(D31:L31))&amp;"项"))</f>
        <v/>
      </c>
      <c r="Q31" s="35" t="str">
        <f aca="true">IF(NOT(ISNUMBER(B31)),"",IF(ISNUMBER(O31),IF(O31&lt;=C31,"按时","超期"),IF(TODAY()&gt;C31,"已超期未完成","待完成")))</f>
        <v/>
      </c>
      <c r="R31" s="30" t="str">
        <f aca="false">IF(ISNUMBER(B31),EDATE(B31,120),"")</f>
        <v/>
      </c>
      <c r="S31" s="43"/>
    </row>
    <row r="32" customFormat="false" ht="21.75" hidden="false" customHeight="true" outlineLevel="0" collapsed="false">
      <c r="A32" s="48"/>
      <c r="B32" s="41"/>
      <c r="C32" s="30" t="str">
        <f aca="false">IF(ISNUMBER(B32),B32+15,"")</f>
        <v/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43"/>
      <c r="O32" s="41"/>
      <c r="P32" s="35" t="str">
        <f aca="false">IF(A32="","",IF(COUNTIF(D32:L32,"未留存")+COUNTBLANK(D32:L32)=0,"齐全","缺"&amp;(COUNTIF(D32:L32,"未留存")+COUNTBLANK(D32:L32))&amp;"项"))</f>
        <v/>
      </c>
      <c r="Q32" s="35" t="str">
        <f aca="true">IF(NOT(ISNUMBER(B32)),"",IF(ISNUMBER(O32),IF(O32&lt;=C32,"按时","超期"),IF(TODAY()&gt;C32,"已超期未完成","待完成")))</f>
        <v/>
      </c>
      <c r="R32" s="30" t="str">
        <f aca="false">IF(ISNUMBER(B32),EDATE(B32,120),"")</f>
        <v/>
      </c>
      <c r="S32" s="43"/>
    </row>
    <row r="33" customFormat="false" ht="21.75" hidden="false" customHeight="true" outlineLevel="0" collapsed="false">
      <c r="A33" s="48"/>
      <c r="B33" s="41"/>
      <c r="C33" s="30" t="str">
        <f aca="false">IF(ISNUMBER(B33),B33+15,"")</f>
        <v/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43"/>
      <c r="O33" s="41"/>
      <c r="P33" s="35" t="str">
        <f aca="false">IF(A33="","",IF(COUNTIF(D33:L33,"未留存")+COUNTBLANK(D33:L33)=0,"齐全","缺"&amp;(COUNTIF(D33:L33,"未留存")+COUNTBLANK(D33:L33))&amp;"项"))</f>
        <v/>
      </c>
      <c r="Q33" s="35" t="str">
        <f aca="true">IF(NOT(ISNUMBER(B33)),"",IF(ISNUMBER(O33),IF(O33&lt;=C33,"按时","超期"),IF(TODAY()&gt;C33,"已超期未完成","待完成")))</f>
        <v/>
      </c>
      <c r="R33" s="30" t="str">
        <f aca="false">IF(ISNUMBER(B33),EDATE(B33,120),"")</f>
        <v/>
      </c>
      <c r="S33" s="43"/>
    </row>
    <row r="34" customFormat="false" ht="21.75" hidden="false" customHeight="true" outlineLevel="0" collapsed="false">
      <c r="A34" s="48"/>
      <c r="B34" s="41"/>
      <c r="C34" s="30" t="str">
        <f aca="false">IF(ISNUMBER(B34),B34+15,"")</f>
        <v/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43"/>
      <c r="O34" s="41"/>
      <c r="P34" s="35" t="str">
        <f aca="false">IF(A34="","",IF(COUNTIF(D34:L34,"未留存")+COUNTBLANK(D34:L34)=0,"齐全","缺"&amp;(COUNTIF(D34:L34,"未留存")+COUNTBLANK(D34:L34))&amp;"项"))</f>
        <v/>
      </c>
      <c r="Q34" s="35" t="str">
        <f aca="true">IF(NOT(ISNUMBER(B34)),"",IF(ISNUMBER(O34),IF(O34&lt;=C34,"按时","超期"),IF(TODAY()&gt;C34,"已超期未完成","待完成")))</f>
        <v/>
      </c>
      <c r="R34" s="30" t="str">
        <f aca="false">IF(ISNUMBER(B34),EDATE(B34,120),"")</f>
        <v/>
      </c>
      <c r="S34" s="43"/>
    </row>
    <row r="35" customFormat="false" ht="21.75" hidden="false" customHeight="true" outlineLevel="0" collapsed="false">
      <c r="A35" s="48"/>
      <c r="B35" s="41"/>
      <c r="C35" s="30" t="str">
        <f aca="false">IF(ISNUMBER(B35),B35+15,"")</f>
        <v/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43"/>
      <c r="O35" s="41"/>
      <c r="P35" s="35" t="str">
        <f aca="false">IF(A35="","",IF(COUNTIF(D35:L35,"未留存")+COUNTBLANK(D35:L35)=0,"齐全","缺"&amp;(COUNTIF(D35:L35,"未留存")+COUNTBLANK(D35:L35))&amp;"项"))</f>
        <v/>
      </c>
      <c r="Q35" s="35" t="str">
        <f aca="true">IF(NOT(ISNUMBER(B35)),"",IF(ISNUMBER(O35),IF(O35&lt;=C35,"按时","超期"),IF(TODAY()&gt;C35,"已超期未完成","待完成")))</f>
        <v/>
      </c>
      <c r="R35" s="30" t="str">
        <f aca="false">IF(ISNUMBER(B35),EDATE(B35,120),"")</f>
        <v/>
      </c>
      <c r="S35" s="43"/>
    </row>
    <row r="36" customFormat="false" ht="21.75" hidden="false" customHeight="true" outlineLevel="0" collapsed="false">
      <c r="A36" s="48"/>
      <c r="B36" s="41"/>
      <c r="C36" s="30" t="str">
        <f aca="false">IF(ISNUMBER(B36),B36+15,"")</f>
        <v/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43"/>
      <c r="O36" s="41"/>
      <c r="P36" s="35" t="str">
        <f aca="false">IF(A36="","",IF(COUNTIF(D36:L36,"未留存")+COUNTBLANK(D36:L36)=0,"齐全","缺"&amp;(COUNTIF(D36:L36,"未留存")+COUNTBLANK(D36:L36))&amp;"项"))</f>
        <v/>
      </c>
      <c r="Q36" s="35" t="str">
        <f aca="true">IF(NOT(ISNUMBER(B36)),"",IF(ISNUMBER(O36),IF(O36&lt;=C36,"按时","超期"),IF(TODAY()&gt;C36,"已超期未完成","待完成")))</f>
        <v/>
      </c>
      <c r="R36" s="30" t="str">
        <f aca="false">IF(ISNUMBER(B36),EDATE(B36,120),"")</f>
        <v/>
      </c>
      <c r="S36" s="43"/>
    </row>
    <row r="37" customFormat="false" ht="21.75" hidden="false" customHeight="true" outlineLevel="0" collapsed="false">
      <c r="A37" s="48"/>
      <c r="B37" s="41"/>
      <c r="C37" s="30" t="str">
        <f aca="false">IF(ISNUMBER(B37),B37+15,"")</f>
        <v/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43"/>
      <c r="O37" s="41"/>
      <c r="P37" s="35" t="str">
        <f aca="false">IF(A37="","",IF(COUNTIF(D37:L37,"未留存")+COUNTBLANK(D37:L37)=0,"齐全","缺"&amp;(COUNTIF(D37:L37,"未留存")+COUNTBLANK(D37:L37))&amp;"项"))</f>
        <v/>
      </c>
      <c r="Q37" s="35" t="str">
        <f aca="true">IF(NOT(ISNUMBER(B37)),"",IF(ISNUMBER(O37),IF(O37&lt;=C37,"按时","超期"),IF(TODAY()&gt;C37,"已超期未完成","待完成")))</f>
        <v/>
      </c>
      <c r="R37" s="30" t="str">
        <f aca="false">IF(ISNUMBER(B37),EDATE(B37,120),"")</f>
        <v/>
      </c>
      <c r="S37" s="43"/>
    </row>
    <row r="38" customFormat="false" ht="21.75" hidden="false" customHeight="true" outlineLevel="0" collapsed="false">
      <c r="A38" s="48"/>
      <c r="B38" s="41"/>
      <c r="C38" s="30" t="str">
        <f aca="false">IF(ISNUMBER(B38),B38+15,"")</f>
        <v/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43"/>
      <c r="O38" s="41"/>
      <c r="P38" s="35" t="str">
        <f aca="false">IF(A38="","",IF(COUNTIF(D38:L38,"未留存")+COUNTBLANK(D38:L38)=0,"齐全","缺"&amp;(COUNTIF(D38:L38,"未留存")+COUNTBLANK(D38:L38))&amp;"项"))</f>
        <v/>
      </c>
      <c r="Q38" s="35" t="str">
        <f aca="true">IF(NOT(ISNUMBER(B38)),"",IF(ISNUMBER(O38),IF(O38&lt;=C38,"按时","超期"),IF(TODAY()&gt;C38,"已超期未完成","待完成")))</f>
        <v/>
      </c>
      <c r="R38" s="30" t="str">
        <f aca="false">IF(ISNUMBER(B38),EDATE(B38,120),"")</f>
        <v/>
      </c>
      <c r="S38" s="43"/>
    </row>
    <row r="39" customFormat="false" ht="21.75" hidden="false" customHeight="true" outlineLevel="0" collapsed="false">
      <c r="A39" s="48"/>
      <c r="B39" s="41"/>
      <c r="C39" s="30" t="str">
        <f aca="false">IF(ISNUMBER(B39),B39+15,"")</f>
        <v/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43"/>
      <c r="O39" s="41"/>
      <c r="P39" s="35" t="str">
        <f aca="false">IF(A39="","",IF(COUNTIF(D39:L39,"未留存")+COUNTBLANK(D39:L39)=0,"齐全","缺"&amp;(COUNTIF(D39:L39,"未留存")+COUNTBLANK(D39:L39))&amp;"项"))</f>
        <v/>
      </c>
      <c r="Q39" s="35" t="str">
        <f aca="true">IF(NOT(ISNUMBER(B39)),"",IF(ISNUMBER(O39),IF(O39&lt;=C39,"按时","超期"),IF(TODAY()&gt;C39,"已超期未完成","待完成")))</f>
        <v/>
      </c>
      <c r="R39" s="30" t="str">
        <f aca="false">IF(ISNUMBER(B39),EDATE(B39,120),"")</f>
        <v/>
      </c>
      <c r="S39" s="43"/>
    </row>
    <row r="40" customFormat="false" ht="21.75" hidden="false" customHeight="true" outlineLevel="0" collapsed="false">
      <c r="A40" s="48"/>
      <c r="B40" s="41"/>
      <c r="C40" s="30" t="str">
        <f aca="false">IF(ISNUMBER(B40),B40+15,"")</f>
        <v/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43"/>
      <c r="O40" s="41"/>
      <c r="P40" s="35" t="str">
        <f aca="false">IF(A40="","",IF(COUNTIF(D40:L40,"未留存")+COUNTBLANK(D40:L40)=0,"齐全","缺"&amp;(COUNTIF(D40:L40,"未留存")+COUNTBLANK(D40:L40))&amp;"项"))</f>
        <v/>
      </c>
      <c r="Q40" s="35" t="str">
        <f aca="true">IF(NOT(ISNUMBER(B40)),"",IF(ISNUMBER(O40),IF(O40&lt;=C40,"按时","超期"),IF(TODAY()&gt;C40,"已超期未完成","待完成")))</f>
        <v/>
      </c>
      <c r="R40" s="30" t="str">
        <f aca="false">IF(ISNUMBER(B40),EDATE(B40,120),"")</f>
        <v/>
      </c>
      <c r="S40" s="43"/>
    </row>
    <row r="41" customFormat="false" ht="21.75" hidden="false" customHeight="true" outlineLevel="0" collapsed="false">
      <c r="A41" s="48"/>
      <c r="B41" s="41"/>
      <c r="C41" s="30" t="str">
        <f aca="false">IF(ISNUMBER(B41),B41+15,"")</f>
        <v/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43"/>
      <c r="O41" s="41"/>
      <c r="P41" s="35" t="str">
        <f aca="false">IF(A41="","",IF(COUNTIF(D41:L41,"未留存")+COUNTBLANK(D41:L41)=0,"齐全","缺"&amp;(COUNTIF(D41:L41,"未留存")+COUNTBLANK(D41:L41))&amp;"项"))</f>
        <v/>
      </c>
      <c r="Q41" s="35" t="str">
        <f aca="true">IF(NOT(ISNUMBER(B41)),"",IF(ISNUMBER(O41),IF(O41&lt;=C41,"按时","超期"),IF(TODAY()&gt;C41,"已超期未完成","待完成")))</f>
        <v/>
      </c>
      <c r="R41" s="30" t="str">
        <f aca="false">IF(ISNUMBER(B41),EDATE(B41,120),"")</f>
        <v/>
      </c>
      <c r="S41" s="43"/>
    </row>
    <row r="42" customFormat="false" ht="21.75" hidden="false" customHeight="true" outlineLevel="0" collapsed="false">
      <c r="A42" s="48"/>
      <c r="B42" s="41"/>
      <c r="C42" s="30" t="str">
        <f aca="false">IF(ISNUMBER(B42),B42+15,"")</f>
        <v/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43"/>
      <c r="O42" s="41"/>
      <c r="P42" s="35" t="str">
        <f aca="false">IF(A42="","",IF(COUNTIF(D42:L42,"未留存")+COUNTBLANK(D42:L42)=0,"齐全","缺"&amp;(COUNTIF(D42:L42,"未留存")+COUNTBLANK(D42:L42))&amp;"项"))</f>
        <v/>
      </c>
      <c r="Q42" s="35" t="str">
        <f aca="true">IF(NOT(ISNUMBER(B42)),"",IF(ISNUMBER(O42),IF(O42&lt;=C42,"按时","超期"),IF(TODAY()&gt;C42,"已超期未完成","待完成")))</f>
        <v/>
      </c>
      <c r="R42" s="30" t="str">
        <f aca="false">IF(ISNUMBER(B42),EDATE(B42,120),"")</f>
        <v/>
      </c>
      <c r="S42" s="43"/>
    </row>
    <row r="43" customFormat="false" ht="21.75" hidden="false" customHeight="true" outlineLevel="0" collapsed="false">
      <c r="A43" s="48"/>
      <c r="B43" s="41"/>
      <c r="C43" s="30" t="str">
        <f aca="false">IF(ISNUMBER(B43),B43+15,"")</f>
        <v/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43"/>
      <c r="O43" s="41"/>
      <c r="P43" s="35" t="str">
        <f aca="false">IF(A43="","",IF(COUNTIF(D43:L43,"未留存")+COUNTBLANK(D43:L43)=0,"齐全","缺"&amp;(COUNTIF(D43:L43,"未留存")+COUNTBLANK(D43:L43))&amp;"项"))</f>
        <v/>
      </c>
      <c r="Q43" s="35" t="str">
        <f aca="true">IF(NOT(ISNUMBER(B43)),"",IF(ISNUMBER(O43),IF(O43&lt;=C43,"按时","超期"),IF(TODAY()&gt;C43,"已超期未完成","待完成")))</f>
        <v/>
      </c>
      <c r="R43" s="30" t="str">
        <f aca="false">IF(ISNUMBER(B43),EDATE(B43,120),"")</f>
        <v/>
      </c>
      <c r="S43" s="43"/>
    </row>
    <row r="44" customFormat="false" ht="21.75" hidden="false" customHeight="true" outlineLevel="0" collapsed="false">
      <c r="A44" s="48"/>
      <c r="B44" s="41"/>
      <c r="C44" s="30" t="str">
        <f aca="false">IF(ISNUMBER(B44),B44+15,"")</f>
        <v/>
      </c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43"/>
      <c r="O44" s="41"/>
      <c r="P44" s="35" t="str">
        <f aca="false">IF(A44="","",IF(COUNTIF(D44:L44,"未留存")+COUNTBLANK(D44:L44)=0,"齐全","缺"&amp;(COUNTIF(D44:L44,"未留存")+COUNTBLANK(D44:L44))&amp;"项"))</f>
        <v/>
      </c>
      <c r="Q44" s="35" t="str">
        <f aca="true">IF(NOT(ISNUMBER(B44)),"",IF(ISNUMBER(O44),IF(O44&lt;=C44,"按时","超期"),IF(TODAY()&gt;C44,"已超期未完成","待完成")))</f>
        <v/>
      </c>
      <c r="R44" s="30" t="str">
        <f aca="false">IF(ISNUMBER(B44),EDATE(B44,120),"")</f>
        <v/>
      </c>
      <c r="S44" s="43"/>
    </row>
    <row r="45" customFormat="false" ht="21.75" hidden="false" customHeight="true" outlineLevel="0" collapsed="false">
      <c r="A45" s="48"/>
      <c r="B45" s="41"/>
      <c r="C45" s="30" t="str">
        <f aca="false">IF(ISNUMBER(B45),B45+15,"")</f>
        <v/>
      </c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43"/>
      <c r="O45" s="41"/>
      <c r="P45" s="35" t="str">
        <f aca="false">IF(A45="","",IF(COUNTIF(D45:L45,"未留存")+COUNTBLANK(D45:L45)=0,"齐全","缺"&amp;(COUNTIF(D45:L45,"未留存")+COUNTBLANK(D45:L45))&amp;"项"))</f>
        <v/>
      </c>
      <c r="Q45" s="35" t="str">
        <f aca="true">IF(NOT(ISNUMBER(B45)),"",IF(ISNUMBER(O45),IF(O45&lt;=C45,"按时","超期"),IF(TODAY()&gt;C45,"已超期未完成","待完成")))</f>
        <v/>
      </c>
      <c r="R45" s="30" t="str">
        <f aca="false">IF(ISNUMBER(B45),EDATE(B45,120),"")</f>
        <v/>
      </c>
      <c r="S45" s="43"/>
    </row>
    <row r="46" customFormat="false" ht="21.75" hidden="false" customHeight="true" outlineLevel="0" collapsed="false">
      <c r="A46" s="48"/>
      <c r="B46" s="41"/>
      <c r="C46" s="30" t="str">
        <f aca="false">IF(ISNUMBER(B46),B46+15,"")</f>
        <v/>
      </c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43"/>
      <c r="O46" s="41"/>
      <c r="P46" s="35" t="str">
        <f aca="false">IF(A46="","",IF(COUNTIF(D46:L46,"未留存")+COUNTBLANK(D46:L46)=0,"齐全","缺"&amp;(COUNTIF(D46:L46,"未留存")+COUNTBLANK(D46:L46))&amp;"项"))</f>
        <v/>
      </c>
      <c r="Q46" s="35" t="str">
        <f aca="true">IF(NOT(ISNUMBER(B46)),"",IF(ISNUMBER(O46),IF(O46&lt;=C46,"按时","超期"),IF(TODAY()&gt;C46,"已超期未完成","待完成")))</f>
        <v/>
      </c>
      <c r="R46" s="30" t="str">
        <f aca="false">IF(ISNUMBER(B46),EDATE(B46,120),"")</f>
        <v/>
      </c>
      <c r="S46" s="43"/>
    </row>
    <row r="47" customFormat="false" ht="21.75" hidden="false" customHeight="true" outlineLevel="0" collapsed="false">
      <c r="A47" s="48"/>
      <c r="B47" s="41"/>
      <c r="C47" s="30" t="str">
        <f aca="false">IF(ISNUMBER(B47),B47+15,"")</f>
        <v/>
      </c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43"/>
      <c r="O47" s="41"/>
      <c r="P47" s="35" t="str">
        <f aca="false">IF(A47="","",IF(COUNTIF(D47:L47,"未留存")+COUNTBLANK(D47:L47)=0,"齐全","缺"&amp;(COUNTIF(D47:L47,"未留存")+COUNTBLANK(D47:L47))&amp;"项"))</f>
        <v/>
      </c>
      <c r="Q47" s="35" t="str">
        <f aca="true">IF(NOT(ISNUMBER(B47)),"",IF(ISNUMBER(O47),IF(O47&lt;=C47,"按时","超期"),IF(TODAY()&gt;C47,"已超期未完成","待完成")))</f>
        <v/>
      </c>
      <c r="R47" s="30" t="str">
        <f aca="false">IF(ISNUMBER(B47),EDATE(B47,120),"")</f>
        <v/>
      </c>
      <c r="S47" s="43"/>
    </row>
    <row r="48" customFormat="false" ht="21.75" hidden="false" customHeight="true" outlineLevel="0" collapsed="false">
      <c r="A48" s="48"/>
      <c r="B48" s="41"/>
      <c r="C48" s="30" t="str">
        <f aca="false">IF(ISNUMBER(B48),B48+15,"")</f>
        <v/>
      </c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43"/>
      <c r="O48" s="41"/>
      <c r="P48" s="35" t="str">
        <f aca="false">IF(A48="","",IF(COUNTIF(D48:L48,"未留存")+COUNTBLANK(D48:L48)=0,"齐全","缺"&amp;(COUNTIF(D48:L48,"未留存")+COUNTBLANK(D48:L48))&amp;"项"))</f>
        <v/>
      </c>
      <c r="Q48" s="35" t="str">
        <f aca="true">IF(NOT(ISNUMBER(B48)),"",IF(ISNUMBER(O48),IF(O48&lt;=C48,"按时","超期"),IF(TODAY()&gt;C48,"已超期未完成","待完成")))</f>
        <v/>
      </c>
      <c r="R48" s="30" t="str">
        <f aca="false">IF(ISNUMBER(B48),EDATE(B48,120),"")</f>
        <v/>
      </c>
      <c r="S48" s="43"/>
    </row>
    <row r="49" customFormat="false" ht="21.75" hidden="false" customHeight="true" outlineLevel="0" collapsed="false">
      <c r="A49" s="48"/>
      <c r="B49" s="41"/>
      <c r="C49" s="30" t="str">
        <f aca="false">IF(ISNUMBER(B49),B49+15,"")</f>
        <v/>
      </c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43"/>
      <c r="O49" s="41"/>
      <c r="P49" s="35" t="str">
        <f aca="false">IF(A49="","",IF(COUNTIF(D49:L49,"未留存")+COUNTBLANK(D49:L49)=0,"齐全","缺"&amp;(COUNTIF(D49:L49,"未留存")+COUNTBLANK(D49:L49))&amp;"项"))</f>
        <v/>
      </c>
      <c r="Q49" s="35" t="str">
        <f aca="true">IF(NOT(ISNUMBER(B49)),"",IF(ISNUMBER(O49),IF(O49&lt;=C49,"按时","超期"),IF(TODAY()&gt;C49,"已超期未完成","待完成")))</f>
        <v/>
      </c>
      <c r="R49" s="30" t="str">
        <f aca="false">IF(ISNUMBER(B49),EDATE(B49,120),"")</f>
        <v/>
      </c>
      <c r="S49" s="43"/>
    </row>
    <row r="50" customFormat="false" ht="21.75" hidden="false" customHeight="true" outlineLevel="0" collapsed="false">
      <c r="A50" s="48"/>
      <c r="B50" s="41"/>
      <c r="C50" s="30" t="str">
        <f aca="false">IF(ISNUMBER(B50),B50+15,"")</f>
        <v/>
      </c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43"/>
      <c r="O50" s="41"/>
      <c r="P50" s="35" t="str">
        <f aca="false">IF(A50="","",IF(COUNTIF(D50:L50,"未留存")+COUNTBLANK(D50:L50)=0,"齐全","缺"&amp;(COUNTIF(D50:L50,"未留存")+COUNTBLANK(D50:L50))&amp;"项"))</f>
        <v/>
      </c>
      <c r="Q50" s="35" t="str">
        <f aca="true">IF(NOT(ISNUMBER(B50)),"",IF(ISNUMBER(O50),IF(O50&lt;=C50,"按时","超期"),IF(TODAY()&gt;C50,"已超期未完成","待完成")))</f>
        <v/>
      </c>
      <c r="R50" s="30" t="str">
        <f aca="false">IF(ISNUMBER(B50),EDATE(B50,120),"")</f>
        <v/>
      </c>
      <c r="S50" s="43"/>
    </row>
    <row r="51" customFormat="false" ht="21.75" hidden="false" customHeight="true" outlineLevel="0" collapsed="false">
      <c r="A51" s="48"/>
      <c r="B51" s="41"/>
      <c r="C51" s="30" t="str">
        <f aca="false">IF(ISNUMBER(B51),B51+15,"")</f>
        <v/>
      </c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43"/>
      <c r="O51" s="41"/>
      <c r="P51" s="35" t="str">
        <f aca="false">IF(A51="","",IF(COUNTIF(D51:L51,"未留存")+COUNTBLANK(D51:L51)=0,"齐全","缺"&amp;(COUNTIF(D51:L51,"未留存")+COUNTBLANK(D51:L51))&amp;"项"))</f>
        <v/>
      </c>
      <c r="Q51" s="35" t="str">
        <f aca="true">IF(NOT(ISNUMBER(B51)),"",IF(ISNUMBER(O51),IF(O51&lt;=C51,"按时","超期"),IF(TODAY()&gt;C51,"已超期未完成","待完成")))</f>
        <v/>
      </c>
      <c r="R51" s="30" t="str">
        <f aca="false">IF(ISNUMBER(B51),EDATE(B51,120),"")</f>
        <v/>
      </c>
      <c r="S51" s="43"/>
    </row>
    <row r="52" customFormat="false" ht="21.75" hidden="false" customHeight="true" outlineLevel="0" collapsed="false">
      <c r="A52" s="48"/>
      <c r="B52" s="41"/>
      <c r="C52" s="30" t="str">
        <f aca="false">IF(ISNUMBER(B52),B52+15,"")</f>
        <v/>
      </c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43"/>
      <c r="O52" s="41"/>
      <c r="P52" s="35" t="str">
        <f aca="false">IF(A52="","",IF(COUNTIF(D52:L52,"未留存")+COUNTBLANK(D52:L52)=0,"齐全","缺"&amp;(COUNTIF(D52:L52,"未留存")+COUNTBLANK(D52:L52))&amp;"项"))</f>
        <v/>
      </c>
      <c r="Q52" s="35" t="str">
        <f aca="true">IF(NOT(ISNUMBER(B52)),"",IF(ISNUMBER(O52),IF(O52&lt;=C52,"按时","超期"),IF(TODAY()&gt;C52,"已超期未完成","待完成")))</f>
        <v/>
      </c>
      <c r="R52" s="30" t="str">
        <f aca="false">IF(ISNUMBER(B52),EDATE(B52,120),"")</f>
        <v/>
      </c>
      <c r="S52" s="43"/>
    </row>
    <row r="53" customFormat="false" ht="21.75" hidden="false" customHeight="true" outlineLevel="0" collapsed="false">
      <c r="A53" s="48"/>
      <c r="B53" s="41"/>
      <c r="C53" s="30" t="str">
        <f aca="false">IF(ISNUMBER(B53),B53+15,"")</f>
        <v/>
      </c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43"/>
      <c r="O53" s="41"/>
      <c r="P53" s="35" t="str">
        <f aca="false">IF(A53="","",IF(COUNTIF(D53:L53,"未留存")+COUNTBLANK(D53:L53)=0,"齐全","缺"&amp;(COUNTIF(D53:L53,"未留存")+COUNTBLANK(D53:L53))&amp;"项"))</f>
        <v/>
      </c>
      <c r="Q53" s="35" t="str">
        <f aca="true">IF(NOT(ISNUMBER(B53)),"",IF(ISNUMBER(O53),IF(O53&lt;=C53,"按时","超期"),IF(TODAY()&gt;C53,"已超期未完成","待完成")))</f>
        <v/>
      </c>
      <c r="R53" s="30" t="str">
        <f aca="false">IF(ISNUMBER(B53),EDATE(B53,120),"")</f>
        <v/>
      </c>
      <c r="S53" s="43"/>
    </row>
    <row r="54" customFormat="false" ht="21.75" hidden="false" customHeight="true" outlineLevel="0" collapsed="false">
      <c r="A54" s="48"/>
      <c r="B54" s="41"/>
      <c r="C54" s="30" t="str">
        <f aca="false">IF(ISNUMBER(B54),B54+15,"")</f>
        <v/>
      </c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43"/>
      <c r="O54" s="41"/>
      <c r="P54" s="35" t="str">
        <f aca="false">IF(A54="","",IF(COUNTIF(D54:L54,"未留存")+COUNTBLANK(D54:L54)=0,"齐全","缺"&amp;(COUNTIF(D54:L54,"未留存")+COUNTBLANK(D54:L54))&amp;"项"))</f>
        <v/>
      </c>
      <c r="Q54" s="35" t="str">
        <f aca="true">IF(NOT(ISNUMBER(B54)),"",IF(ISNUMBER(O54),IF(O54&lt;=C54,"按时","超期"),IF(TODAY()&gt;C54,"已超期未完成","待完成")))</f>
        <v/>
      </c>
      <c r="R54" s="30" t="str">
        <f aca="false">IF(ISNUMBER(B54),EDATE(B54,120),"")</f>
        <v/>
      </c>
      <c r="S54" s="43"/>
    </row>
    <row r="55" customFormat="false" ht="21.75" hidden="false" customHeight="true" outlineLevel="0" collapsed="false">
      <c r="A55" s="48"/>
      <c r="B55" s="41"/>
      <c r="C55" s="30" t="str">
        <f aca="false">IF(ISNUMBER(B55),B55+15,"")</f>
        <v/>
      </c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43"/>
      <c r="O55" s="41"/>
      <c r="P55" s="35" t="str">
        <f aca="false">IF(A55="","",IF(COUNTIF(D55:L55,"未留存")+COUNTBLANK(D55:L55)=0,"齐全","缺"&amp;(COUNTIF(D55:L55,"未留存")+COUNTBLANK(D55:L55))&amp;"项"))</f>
        <v/>
      </c>
      <c r="Q55" s="35" t="str">
        <f aca="true">IF(NOT(ISNUMBER(B55)),"",IF(ISNUMBER(O55),IF(O55&lt;=C55,"按时","超期"),IF(TODAY()&gt;C55,"已超期未完成","待完成")))</f>
        <v/>
      </c>
      <c r="R55" s="30" t="str">
        <f aca="false">IF(ISNUMBER(B55),EDATE(B55,120),"")</f>
        <v/>
      </c>
      <c r="S55" s="43"/>
    </row>
    <row r="56" customFormat="false" ht="21.75" hidden="false" customHeight="true" outlineLevel="0" collapsed="false">
      <c r="A56" s="48"/>
      <c r="B56" s="41"/>
      <c r="C56" s="30" t="str">
        <f aca="false">IF(ISNUMBER(B56),B56+15,"")</f>
        <v/>
      </c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43"/>
      <c r="O56" s="41"/>
      <c r="P56" s="35" t="str">
        <f aca="false">IF(A56="","",IF(COUNTIF(D56:L56,"未留存")+COUNTBLANK(D56:L56)=0,"齐全","缺"&amp;(COUNTIF(D56:L56,"未留存")+COUNTBLANK(D56:L56))&amp;"项"))</f>
        <v/>
      </c>
      <c r="Q56" s="35" t="str">
        <f aca="true">IF(NOT(ISNUMBER(B56)),"",IF(ISNUMBER(O56),IF(O56&lt;=C56,"按时","超期"),IF(TODAY()&gt;C56,"已超期未完成","待完成")))</f>
        <v/>
      </c>
      <c r="R56" s="30" t="str">
        <f aca="false">IF(ISNUMBER(B56),EDATE(B56,120),"")</f>
        <v/>
      </c>
      <c r="S56" s="43"/>
    </row>
    <row r="57" customFormat="false" ht="21.75" hidden="false" customHeight="true" outlineLevel="0" collapsed="false">
      <c r="A57" s="48"/>
      <c r="B57" s="41"/>
      <c r="C57" s="30" t="str">
        <f aca="false">IF(ISNUMBER(B57),B57+15,"")</f>
        <v/>
      </c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43"/>
      <c r="O57" s="41"/>
      <c r="P57" s="35" t="str">
        <f aca="false">IF(A57="","",IF(COUNTIF(D57:L57,"未留存")+COUNTBLANK(D57:L57)=0,"齐全","缺"&amp;(COUNTIF(D57:L57,"未留存")+COUNTBLANK(D57:L57))&amp;"项"))</f>
        <v/>
      </c>
      <c r="Q57" s="35" t="str">
        <f aca="true">IF(NOT(ISNUMBER(B57)),"",IF(ISNUMBER(O57),IF(O57&lt;=C57,"按时","超期"),IF(TODAY()&gt;C57,"已超期未完成","待完成")))</f>
        <v/>
      </c>
      <c r="R57" s="30" t="str">
        <f aca="false">IF(ISNUMBER(B57),EDATE(B57,120),"")</f>
        <v/>
      </c>
      <c r="S57" s="43"/>
    </row>
    <row r="58" customFormat="false" ht="21.75" hidden="false" customHeight="true" outlineLevel="0" collapsed="false">
      <c r="A58" s="48"/>
      <c r="B58" s="41"/>
      <c r="C58" s="30" t="str">
        <f aca="false">IF(ISNUMBER(B58),B58+15,"")</f>
        <v/>
      </c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43"/>
      <c r="O58" s="41"/>
      <c r="P58" s="35" t="str">
        <f aca="false">IF(A58="","",IF(COUNTIF(D58:L58,"未留存")+COUNTBLANK(D58:L58)=0,"齐全","缺"&amp;(COUNTIF(D58:L58,"未留存")+COUNTBLANK(D58:L58))&amp;"项"))</f>
        <v/>
      </c>
      <c r="Q58" s="35" t="str">
        <f aca="true">IF(NOT(ISNUMBER(B58)),"",IF(ISNUMBER(O58),IF(O58&lt;=C58,"按时","超期"),IF(TODAY()&gt;C58,"已超期未完成","待完成")))</f>
        <v/>
      </c>
      <c r="R58" s="30" t="str">
        <f aca="false">IF(ISNUMBER(B58),EDATE(B58,120),"")</f>
        <v/>
      </c>
      <c r="S58" s="43"/>
    </row>
    <row r="59" customFormat="false" ht="21.75" hidden="false" customHeight="true" outlineLevel="0" collapsed="false">
      <c r="A59" s="48"/>
      <c r="B59" s="41"/>
      <c r="C59" s="30" t="str">
        <f aca="false">IF(ISNUMBER(B59),B59+15,"")</f>
        <v/>
      </c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3"/>
      <c r="O59" s="41"/>
      <c r="P59" s="35" t="str">
        <f aca="false">IF(A59="","",IF(COUNTIF(D59:L59,"未留存")+COUNTBLANK(D59:L59)=0,"齐全","缺"&amp;(COUNTIF(D59:L59,"未留存")+COUNTBLANK(D59:L59))&amp;"项"))</f>
        <v/>
      </c>
      <c r="Q59" s="35" t="str">
        <f aca="true">IF(NOT(ISNUMBER(B59)),"",IF(ISNUMBER(O59),IF(O59&lt;=C59,"按时","超期"),IF(TODAY()&gt;C59,"已超期未完成","待完成")))</f>
        <v/>
      </c>
      <c r="R59" s="30" t="str">
        <f aca="false">IF(ISNUMBER(B59),EDATE(B59,120),"")</f>
        <v/>
      </c>
      <c r="S59" s="43"/>
    </row>
    <row r="60" customFormat="false" ht="21.75" hidden="false" customHeight="true" outlineLevel="0" collapsed="false">
      <c r="A60" s="48"/>
      <c r="B60" s="41"/>
      <c r="C60" s="30" t="str">
        <f aca="false">IF(ISNUMBER(B60),B60+15,"")</f>
        <v/>
      </c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3"/>
      <c r="O60" s="41"/>
      <c r="P60" s="35" t="str">
        <f aca="false">IF(A60="","",IF(COUNTIF(D60:L60,"未留存")+COUNTBLANK(D60:L60)=0,"齐全","缺"&amp;(COUNTIF(D60:L60,"未留存")+COUNTBLANK(D60:L60))&amp;"项"))</f>
        <v/>
      </c>
      <c r="Q60" s="35" t="str">
        <f aca="true">IF(NOT(ISNUMBER(B60)),"",IF(ISNUMBER(O60),IF(O60&lt;=C60,"按时","超期"),IF(TODAY()&gt;C60,"已超期未完成","待完成")))</f>
        <v/>
      </c>
      <c r="R60" s="30" t="str">
        <f aca="false">IF(ISNUMBER(B60),EDATE(B60,120),"")</f>
        <v/>
      </c>
      <c r="S60" s="43"/>
    </row>
    <row r="61" customFormat="false" ht="21.75" hidden="false" customHeight="true" outlineLevel="0" collapsed="false">
      <c r="A61" s="48"/>
      <c r="B61" s="41"/>
      <c r="C61" s="30" t="str">
        <f aca="false">IF(ISNUMBER(B61),B61+15,"")</f>
        <v/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3"/>
      <c r="O61" s="41"/>
      <c r="P61" s="35" t="str">
        <f aca="false">IF(A61="","",IF(COUNTIF(D61:L61,"未留存")+COUNTBLANK(D61:L61)=0,"齐全","缺"&amp;(COUNTIF(D61:L61,"未留存")+COUNTBLANK(D61:L61))&amp;"项"))</f>
        <v/>
      </c>
      <c r="Q61" s="35" t="str">
        <f aca="true">IF(NOT(ISNUMBER(B61)),"",IF(ISNUMBER(O61),IF(O61&lt;=C61,"按时","超期"),IF(TODAY()&gt;C61,"已超期未完成","待完成")))</f>
        <v/>
      </c>
      <c r="R61" s="30" t="str">
        <f aca="false">IF(ISNUMBER(B61),EDATE(B61,120),"")</f>
        <v/>
      </c>
      <c r="S61" s="43"/>
    </row>
    <row r="62" customFormat="false" ht="21.75" hidden="false" customHeight="true" outlineLevel="0" collapsed="false">
      <c r="A62" s="48"/>
      <c r="B62" s="41"/>
      <c r="C62" s="30" t="str">
        <f aca="false">IF(ISNUMBER(B62),B62+15,"")</f>
        <v/>
      </c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43"/>
      <c r="O62" s="41"/>
      <c r="P62" s="35" t="str">
        <f aca="false">IF(A62="","",IF(COUNTIF(D62:L62,"未留存")+COUNTBLANK(D62:L62)=0,"齐全","缺"&amp;(COUNTIF(D62:L62,"未留存")+COUNTBLANK(D62:L62))&amp;"项"))</f>
        <v/>
      </c>
      <c r="Q62" s="35" t="str">
        <f aca="true">IF(NOT(ISNUMBER(B62)),"",IF(ISNUMBER(O62),IF(O62&lt;=C62,"按时","超期"),IF(TODAY()&gt;C62,"已超期未完成","待完成")))</f>
        <v/>
      </c>
      <c r="R62" s="30" t="str">
        <f aca="false">IF(ISNUMBER(B62),EDATE(B62,120),"")</f>
        <v/>
      </c>
      <c r="S62" s="43"/>
    </row>
    <row r="63" customFormat="false" ht="21.75" hidden="false" customHeight="true" outlineLevel="0" collapsed="false">
      <c r="A63" s="48"/>
      <c r="B63" s="41"/>
      <c r="C63" s="30" t="str">
        <f aca="false">IF(ISNUMBER(B63),B63+15,"")</f>
        <v/>
      </c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43"/>
      <c r="O63" s="41"/>
      <c r="P63" s="35" t="str">
        <f aca="false">IF(A63="","",IF(COUNTIF(D63:L63,"未留存")+COUNTBLANK(D63:L63)=0,"齐全","缺"&amp;(COUNTIF(D63:L63,"未留存")+COUNTBLANK(D63:L63))&amp;"项"))</f>
        <v/>
      </c>
      <c r="Q63" s="35" t="str">
        <f aca="true">IF(NOT(ISNUMBER(B63)),"",IF(ISNUMBER(O63),IF(O63&lt;=C63,"按时","超期"),IF(TODAY()&gt;C63,"已超期未完成","待完成")))</f>
        <v/>
      </c>
      <c r="R63" s="30" t="str">
        <f aca="false">IF(ISNUMBER(B63),EDATE(B63,120),"")</f>
        <v/>
      </c>
      <c r="S63" s="43"/>
    </row>
    <row r="64" customFormat="false" ht="21.75" hidden="false" customHeight="true" outlineLevel="0" collapsed="false">
      <c r="A64" s="48"/>
      <c r="B64" s="41"/>
      <c r="C64" s="30" t="str">
        <f aca="false">IF(ISNUMBER(B64),B64+15,"")</f>
        <v/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43"/>
      <c r="O64" s="41"/>
      <c r="P64" s="35" t="str">
        <f aca="false">IF(A64="","",IF(COUNTIF(D64:L64,"未留存")+COUNTBLANK(D64:L64)=0,"齐全","缺"&amp;(COUNTIF(D64:L64,"未留存")+COUNTBLANK(D64:L64))&amp;"项"))</f>
        <v/>
      </c>
      <c r="Q64" s="35" t="str">
        <f aca="true">IF(NOT(ISNUMBER(B64)),"",IF(ISNUMBER(O64),IF(O64&lt;=C64,"按时","超期"),IF(TODAY()&gt;C64,"已超期未完成","待完成")))</f>
        <v/>
      </c>
      <c r="R64" s="30" t="str">
        <f aca="false">IF(ISNUMBER(B64),EDATE(B64,120),"")</f>
        <v/>
      </c>
      <c r="S64" s="43"/>
    </row>
    <row r="65" customFormat="false" ht="21.75" hidden="false" customHeight="true" outlineLevel="0" collapsed="false">
      <c r="A65" s="48"/>
      <c r="B65" s="41"/>
      <c r="C65" s="30" t="str">
        <f aca="false">IF(ISNUMBER(B65),B65+15,"")</f>
        <v/>
      </c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43"/>
      <c r="O65" s="41"/>
      <c r="P65" s="35" t="str">
        <f aca="false">IF(A65="","",IF(COUNTIF(D65:L65,"未留存")+COUNTBLANK(D65:L65)=0,"齐全","缺"&amp;(COUNTIF(D65:L65,"未留存")+COUNTBLANK(D65:L65))&amp;"项"))</f>
        <v/>
      </c>
      <c r="Q65" s="35" t="str">
        <f aca="true">IF(NOT(ISNUMBER(B65)),"",IF(ISNUMBER(O65),IF(O65&lt;=C65,"按时","超期"),IF(TODAY()&gt;C65,"已超期未完成","待完成")))</f>
        <v/>
      </c>
      <c r="R65" s="30" t="str">
        <f aca="false">IF(ISNUMBER(B65),EDATE(B65,120),"")</f>
        <v/>
      </c>
      <c r="S65" s="43"/>
    </row>
    <row r="66" customFormat="false" ht="21.75" hidden="false" customHeight="true" outlineLevel="0" collapsed="false">
      <c r="A66" s="48"/>
      <c r="B66" s="41"/>
      <c r="C66" s="30" t="str">
        <f aca="false">IF(ISNUMBER(B66),B66+15,"")</f>
        <v/>
      </c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43"/>
      <c r="O66" s="41"/>
      <c r="P66" s="35" t="str">
        <f aca="false">IF(A66="","",IF(COUNTIF(D66:L66,"未留存")+COUNTBLANK(D66:L66)=0,"齐全","缺"&amp;(COUNTIF(D66:L66,"未留存")+COUNTBLANK(D66:L66))&amp;"项"))</f>
        <v/>
      </c>
      <c r="Q66" s="35" t="str">
        <f aca="true">IF(NOT(ISNUMBER(B66)),"",IF(ISNUMBER(O66),IF(O66&lt;=C66,"按时","超期"),IF(TODAY()&gt;C66,"已超期未完成","待完成")))</f>
        <v/>
      </c>
      <c r="R66" s="30" t="str">
        <f aca="false">IF(ISNUMBER(B66),EDATE(B66,120),"")</f>
        <v/>
      </c>
      <c r="S66" s="43"/>
    </row>
    <row r="67" customFormat="false" ht="21.75" hidden="false" customHeight="true" outlineLevel="0" collapsed="false">
      <c r="A67" s="48"/>
      <c r="B67" s="41"/>
      <c r="C67" s="30" t="str">
        <f aca="false">IF(ISNUMBER(B67),B67+15,"")</f>
        <v/>
      </c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43"/>
      <c r="O67" s="41"/>
      <c r="P67" s="35" t="str">
        <f aca="false">IF(A67="","",IF(COUNTIF(D67:L67,"未留存")+COUNTBLANK(D67:L67)=0,"齐全","缺"&amp;(COUNTIF(D67:L67,"未留存")+COUNTBLANK(D67:L67))&amp;"项"))</f>
        <v/>
      </c>
      <c r="Q67" s="35" t="str">
        <f aca="true">IF(NOT(ISNUMBER(B67)),"",IF(ISNUMBER(O67),IF(O67&lt;=C67,"按时","超期"),IF(TODAY()&gt;C67,"已超期未完成","待完成")))</f>
        <v/>
      </c>
      <c r="R67" s="30" t="str">
        <f aca="false">IF(ISNUMBER(B67),EDATE(B67,120),"")</f>
        <v/>
      </c>
      <c r="S67" s="43"/>
    </row>
    <row r="68" customFormat="false" ht="21.75" hidden="false" customHeight="true" outlineLevel="0" collapsed="false">
      <c r="A68" s="48"/>
      <c r="B68" s="41"/>
      <c r="C68" s="30" t="str">
        <f aca="false">IF(ISNUMBER(B68),B68+15,"")</f>
        <v/>
      </c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43"/>
      <c r="O68" s="41"/>
      <c r="P68" s="35" t="str">
        <f aca="false">IF(A68="","",IF(COUNTIF(D68:L68,"未留存")+COUNTBLANK(D68:L68)=0,"齐全","缺"&amp;(COUNTIF(D68:L68,"未留存")+COUNTBLANK(D68:L68))&amp;"项"))</f>
        <v/>
      </c>
      <c r="Q68" s="35" t="str">
        <f aca="true">IF(NOT(ISNUMBER(B68)),"",IF(ISNUMBER(O68),IF(O68&lt;=C68,"按时","超期"),IF(TODAY()&gt;C68,"已超期未完成","待完成")))</f>
        <v/>
      </c>
      <c r="R68" s="30" t="str">
        <f aca="false">IF(ISNUMBER(B68),EDATE(B68,120),"")</f>
        <v/>
      </c>
      <c r="S68" s="43"/>
    </row>
    <row r="69" customFormat="false" ht="21.75" hidden="false" customHeight="true" outlineLevel="0" collapsed="false">
      <c r="A69" s="48"/>
      <c r="B69" s="41"/>
      <c r="C69" s="30" t="str">
        <f aca="false">IF(ISNUMBER(B69),B69+15,"")</f>
        <v/>
      </c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43"/>
      <c r="O69" s="41"/>
      <c r="P69" s="35" t="str">
        <f aca="false">IF(A69="","",IF(COUNTIF(D69:L69,"未留存")+COUNTBLANK(D69:L69)=0,"齐全","缺"&amp;(COUNTIF(D69:L69,"未留存")+COUNTBLANK(D69:L69))&amp;"项"))</f>
        <v/>
      </c>
      <c r="Q69" s="35" t="str">
        <f aca="true">IF(NOT(ISNUMBER(B69)),"",IF(ISNUMBER(O69),IF(O69&lt;=C69,"按时","超期"),IF(TODAY()&gt;C69,"已超期未完成","待完成")))</f>
        <v/>
      </c>
      <c r="R69" s="30" t="str">
        <f aca="false">IF(ISNUMBER(B69),EDATE(B69,120),"")</f>
        <v/>
      </c>
      <c r="S69" s="43"/>
    </row>
    <row r="70" customFormat="false" ht="21.75" hidden="false" customHeight="true" outlineLevel="0" collapsed="false">
      <c r="A70" s="48"/>
      <c r="B70" s="41"/>
      <c r="C70" s="30" t="str">
        <f aca="false">IF(ISNUMBER(B70),B70+15,"")</f>
        <v/>
      </c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43"/>
      <c r="O70" s="41"/>
      <c r="P70" s="35" t="str">
        <f aca="false">IF(A70="","",IF(COUNTIF(D70:L70,"未留存")+COUNTBLANK(D70:L70)=0,"齐全","缺"&amp;(COUNTIF(D70:L70,"未留存")+COUNTBLANK(D70:L70))&amp;"项"))</f>
        <v/>
      </c>
      <c r="Q70" s="35" t="str">
        <f aca="true">IF(NOT(ISNUMBER(B70)),"",IF(ISNUMBER(O70),IF(O70&lt;=C70,"按时","超期"),IF(TODAY()&gt;C70,"已超期未完成","待完成")))</f>
        <v/>
      </c>
      <c r="R70" s="30" t="str">
        <f aca="false">IF(ISNUMBER(B70),EDATE(B70,120),"")</f>
        <v/>
      </c>
      <c r="S70" s="43"/>
    </row>
    <row r="71" customFormat="false" ht="21.75" hidden="false" customHeight="true" outlineLevel="0" collapsed="false">
      <c r="A71" s="48"/>
      <c r="B71" s="41"/>
      <c r="C71" s="30" t="str">
        <f aca="false">IF(ISNUMBER(B71),B71+15,"")</f>
        <v/>
      </c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43"/>
      <c r="O71" s="41"/>
      <c r="P71" s="35" t="str">
        <f aca="false">IF(A71="","",IF(COUNTIF(D71:L71,"未留存")+COUNTBLANK(D71:L71)=0,"齐全","缺"&amp;(COUNTIF(D71:L71,"未留存")+COUNTBLANK(D71:L71))&amp;"项"))</f>
        <v/>
      </c>
      <c r="Q71" s="35" t="str">
        <f aca="true">IF(NOT(ISNUMBER(B71)),"",IF(ISNUMBER(O71),IF(O71&lt;=C71,"按时","超期"),IF(TODAY()&gt;C71,"已超期未完成","待完成")))</f>
        <v/>
      </c>
      <c r="R71" s="30" t="str">
        <f aca="false">IF(ISNUMBER(B71),EDATE(B71,120),"")</f>
        <v/>
      </c>
      <c r="S71" s="43"/>
    </row>
    <row r="72" customFormat="false" ht="21.75" hidden="false" customHeight="true" outlineLevel="0" collapsed="false">
      <c r="A72" s="48"/>
      <c r="B72" s="41"/>
      <c r="C72" s="30" t="str">
        <f aca="false">IF(ISNUMBER(B72),B72+15,"")</f>
        <v/>
      </c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43"/>
      <c r="O72" s="41"/>
      <c r="P72" s="35" t="str">
        <f aca="false">IF(A72="","",IF(COUNTIF(D72:L72,"未留存")+COUNTBLANK(D72:L72)=0,"齐全","缺"&amp;(COUNTIF(D72:L72,"未留存")+COUNTBLANK(D72:L72))&amp;"项"))</f>
        <v/>
      </c>
      <c r="Q72" s="35" t="str">
        <f aca="true">IF(NOT(ISNUMBER(B72)),"",IF(ISNUMBER(O72),IF(O72&lt;=C72,"按时","超期"),IF(TODAY()&gt;C72,"已超期未完成","待完成")))</f>
        <v/>
      </c>
      <c r="R72" s="30" t="str">
        <f aca="false">IF(ISNUMBER(B72),EDATE(B72,120),"")</f>
        <v/>
      </c>
      <c r="S72" s="43"/>
    </row>
    <row r="73" customFormat="false" ht="21.75" hidden="false" customHeight="true" outlineLevel="0" collapsed="false">
      <c r="A73" s="48"/>
      <c r="B73" s="41"/>
      <c r="C73" s="30" t="str">
        <f aca="false">IF(ISNUMBER(B73),B73+15,"")</f>
        <v/>
      </c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43"/>
      <c r="O73" s="41"/>
      <c r="P73" s="35" t="str">
        <f aca="false">IF(A73="","",IF(COUNTIF(D73:L73,"未留存")+COUNTBLANK(D73:L73)=0,"齐全","缺"&amp;(COUNTIF(D73:L73,"未留存")+COUNTBLANK(D73:L73))&amp;"项"))</f>
        <v/>
      </c>
      <c r="Q73" s="35" t="str">
        <f aca="true">IF(NOT(ISNUMBER(B73)),"",IF(ISNUMBER(O73),IF(O73&lt;=C73,"按时","超期"),IF(TODAY()&gt;C73,"已超期未完成","待完成")))</f>
        <v/>
      </c>
      <c r="R73" s="30" t="str">
        <f aca="false">IF(ISNUMBER(B73),EDATE(B73,120),"")</f>
        <v/>
      </c>
      <c r="S73" s="43"/>
    </row>
    <row r="74" customFormat="false" ht="21.75" hidden="false" customHeight="true" outlineLevel="0" collapsed="false">
      <c r="A74" s="48"/>
      <c r="B74" s="41"/>
      <c r="C74" s="30" t="str">
        <f aca="false">IF(ISNUMBER(B74),B74+15,"")</f>
        <v/>
      </c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43"/>
      <c r="O74" s="41"/>
      <c r="P74" s="35" t="str">
        <f aca="false">IF(A74="","",IF(COUNTIF(D74:L74,"未留存")+COUNTBLANK(D74:L74)=0,"齐全","缺"&amp;(COUNTIF(D74:L74,"未留存")+COUNTBLANK(D74:L74))&amp;"项"))</f>
        <v/>
      </c>
      <c r="Q74" s="35" t="str">
        <f aca="true">IF(NOT(ISNUMBER(B74)),"",IF(ISNUMBER(O74),IF(O74&lt;=C74,"按时","超期"),IF(TODAY()&gt;C74,"已超期未完成","待完成")))</f>
        <v/>
      </c>
      <c r="R74" s="30" t="str">
        <f aca="false">IF(ISNUMBER(B74),EDATE(B74,120),"")</f>
        <v/>
      </c>
      <c r="S74" s="43"/>
    </row>
    <row r="75" customFormat="false" ht="21.75" hidden="false" customHeight="true" outlineLevel="0" collapsed="false">
      <c r="A75" s="48"/>
      <c r="B75" s="41"/>
      <c r="C75" s="30" t="str">
        <f aca="false">IF(ISNUMBER(B75),B75+15,"")</f>
        <v/>
      </c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43"/>
      <c r="O75" s="41"/>
      <c r="P75" s="35" t="str">
        <f aca="false">IF(A75="","",IF(COUNTIF(D75:L75,"未留存")+COUNTBLANK(D75:L75)=0,"齐全","缺"&amp;(COUNTIF(D75:L75,"未留存")+COUNTBLANK(D75:L75))&amp;"项"))</f>
        <v/>
      </c>
      <c r="Q75" s="35" t="str">
        <f aca="true">IF(NOT(ISNUMBER(B75)),"",IF(ISNUMBER(O75),IF(O75&lt;=C75,"按时","超期"),IF(TODAY()&gt;C75,"已超期未完成","待完成")))</f>
        <v/>
      </c>
      <c r="R75" s="30" t="str">
        <f aca="false">IF(ISNUMBER(B75),EDATE(B75,120),"")</f>
        <v/>
      </c>
      <c r="S75" s="43"/>
    </row>
    <row r="76" customFormat="false" ht="21.75" hidden="false" customHeight="true" outlineLevel="0" collapsed="false">
      <c r="A76" s="48"/>
      <c r="B76" s="41"/>
      <c r="C76" s="30" t="str">
        <f aca="false">IF(ISNUMBER(B76),B76+15,"")</f>
        <v/>
      </c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43"/>
      <c r="O76" s="41"/>
      <c r="P76" s="35" t="str">
        <f aca="false">IF(A76="","",IF(COUNTIF(D76:L76,"未留存")+COUNTBLANK(D76:L76)=0,"齐全","缺"&amp;(COUNTIF(D76:L76,"未留存")+COUNTBLANK(D76:L76))&amp;"项"))</f>
        <v/>
      </c>
      <c r="Q76" s="35" t="str">
        <f aca="true">IF(NOT(ISNUMBER(B76)),"",IF(ISNUMBER(O76),IF(O76&lt;=C76,"按时","超期"),IF(TODAY()&gt;C76,"已超期未完成","待完成")))</f>
        <v/>
      </c>
      <c r="R76" s="30" t="str">
        <f aca="false">IF(ISNUMBER(B76),EDATE(B76,120),"")</f>
        <v/>
      </c>
      <c r="S76" s="43"/>
    </row>
    <row r="77" customFormat="false" ht="21.75" hidden="false" customHeight="true" outlineLevel="0" collapsed="false">
      <c r="A77" s="48"/>
      <c r="B77" s="41"/>
      <c r="C77" s="30" t="str">
        <f aca="false">IF(ISNUMBER(B77),B77+15,"")</f>
        <v/>
      </c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43"/>
      <c r="O77" s="41"/>
      <c r="P77" s="35" t="str">
        <f aca="false">IF(A77="","",IF(COUNTIF(D77:L77,"未留存")+COUNTBLANK(D77:L77)=0,"齐全","缺"&amp;(COUNTIF(D77:L77,"未留存")+COUNTBLANK(D77:L77))&amp;"项"))</f>
        <v/>
      </c>
      <c r="Q77" s="35" t="str">
        <f aca="true">IF(NOT(ISNUMBER(B77)),"",IF(ISNUMBER(O77),IF(O77&lt;=C77,"按时","超期"),IF(TODAY()&gt;C77,"已超期未完成","待完成")))</f>
        <v/>
      </c>
      <c r="R77" s="30" t="str">
        <f aca="false">IF(ISNUMBER(B77),EDATE(B77,120),"")</f>
        <v/>
      </c>
      <c r="S77" s="43"/>
    </row>
    <row r="78" customFormat="false" ht="21.75" hidden="false" customHeight="true" outlineLevel="0" collapsed="false">
      <c r="A78" s="48"/>
      <c r="B78" s="41"/>
      <c r="C78" s="30" t="str">
        <f aca="false">IF(ISNUMBER(B78),B78+15,"")</f>
        <v/>
      </c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43"/>
      <c r="O78" s="41"/>
      <c r="P78" s="35" t="str">
        <f aca="false">IF(A78="","",IF(COUNTIF(D78:L78,"未留存")+COUNTBLANK(D78:L78)=0,"齐全","缺"&amp;(COUNTIF(D78:L78,"未留存")+COUNTBLANK(D78:L78))&amp;"项"))</f>
        <v/>
      </c>
      <c r="Q78" s="35" t="str">
        <f aca="true">IF(NOT(ISNUMBER(B78)),"",IF(ISNUMBER(O78),IF(O78&lt;=C78,"按时","超期"),IF(TODAY()&gt;C78,"已超期未完成","待完成")))</f>
        <v/>
      </c>
      <c r="R78" s="30" t="str">
        <f aca="false">IF(ISNUMBER(B78),EDATE(B78,120),"")</f>
        <v/>
      </c>
      <c r="S78" s="43"/>
    </row>
    <row r="79" customFormat="false" ht="21.75" hidden="false" customHeight="true" outlineLevel="0" collapsed="false">
      <c r="A79" s="48"/>
      <c r="B79" s="41"/>
      <c r="C79" s="30" t="str">
        <f aca="false">IF(ISNUMBER(B79),B79+15,"")</f>
        <v/>
      </c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43"/>
      <c r="O79" s="41"/>
      <c r="P79" s="35" t="str">
        <f aca="false">IF(A79="","",IF(COUNTIF(D79:L79,"未留存")+COUNTBLANK(D79:L79)=0,"齐全","缺"&amp;(COUNTIF(D79:L79,"未留存")+COUNTBLANK(D79:L79))&amp;"项"))</f>
        <v/>
      </c>
      <c r="Q79" s="35" t="str">
        <f aca="true">IF(NOT(ISNUMBER(B79)),"",IF(ISNUMBER(O79),IF(O79&lt;=C79,"按时","超期"),IF(TODAY()&gt;C79,"已超期未完成","待完成")))</f>
        <v/>
      </c>
      <c r="R79" s="30" t="str">
        <f aca="false">IF(ISNUMBER(B79),EDATE(B79,120),"")</f>
        <v/>
      </c>
      <c r="S79" s="43"/>
    </row>
    <row r="80" customFormat="false" ht="21.75" hidden="false" customHeight="true" outlineLevel="0" collapsed="false">
      <c r="A80" s="48"/>
      <c r="B80" s="41"/>
      <c r="C80" s="30" t="str">
        <f aca="false">IF(ISNUMBER(B80),B80+15,"")</f>
        <v/>
      </c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43"/>
      <c r="O80" s="41"/>
      <c r="P80" s="35" t="str">
        <f aca="false">IF(A80="","",IF(COUNTIF(D80:L80,"未留存")+COUNTBLANK(D80:L80)=0,"齐全","缺"&amp;(COUNTIF(D80:L80,"未留存")+COUNTBLANK(D80:L80))&amp;"项"))</f>
        <v/>
      </c>
      <c r="Q80" s="35" t="str">
        <f aca="true">IF(NOT(ISNUMBER(B80)),"",IF(ISNUMBER(O80),IF(O80&lt;=C80,"按时","超期"),IF(TODAY()&gt;C80,"已超期未完成","待完成")))</f>
        <v/>
      </c>
      <c r="R80" s="30" t="str">
        <f aca="false">IF(ISNUMBER(B80),EDATE(B80,120),"")</f>
        <v/>
      </c>
      <c r="S80" s="43"/>
    </row>
    <row r="81" customFormat="false" ht="21.75" hidden="false" customHeight="true" outlineLevel="0" collapsed="false">
      <c r="A81" s="48"/>
      <c r="B81" s="41"/>
      <c r="C81" s="30" t="str">
        <f aca="false">IF(ISNUMBER(B81),B81+15,"")</f>
        <v/>
      </c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43"/>
      <c r="O81" s="41"/>
      <c r="P81" s="35" t="str">
        <f aca="false">IF(A81="","",IF(COUNTIF(D81:L81,"未留存")+COUNTBLANK(D81:L81)=0,"齐全","缺"&amp;(COUNTIF(D81:L81,"未留存")+COUNTBLANK(D81:L81))&amp;"项"))</f>
        <v/>
      </c>
      <c r="Q81" s="35" t="str">
        <f aca="true">IF(NOT(ISNUMBER(B81)),"",IF(ISNUMBER(O81),IF(O81&lt;=C81,"按时","超期"),IF(TODAY()&gt;C81,"已超期未完成","待完成")))</f>
        <v/>
      </c>
      <c r="R81" s="30" t="str">
        <f aca="false">IF(ISNUMBER(B81),EDATE(B81,120),"")</f>
        <v/>
      </c>
      <c r="S81" s="43"/>
    </row>
    <row r="82" customFormat="false" ht="21.75" hidden="false" customHeight="true" outlineLevel="0" collapsed="false">
      <c r="A82" s="48"/>
      <c r="B82" s="41"/>
      <c r="C82" s="30" t="str">
        <f aca="false">IF(ISNUMBER(B82),B82+15,"")</f>
        <v/>
      </c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43"/>
      <c r="O82" s="41"/>
      <c r="P82" s="35" t="str">
        <f aca="false">IF(A82="","",IF(COUNTIF(D82:L82,"未留存")+COUNTBLANK(D82:L82)=0,"齐全","缺"&amp;(COUNTIF(D82:L82,"未留存")+COUNTBLANK(D82:L82))&amp;"项"))</f>
        <v/>
      </c>
      <c r="Q82" s="35" t="str">
        <f aca="true">IF(NOT(ISNUMBER(B82)),"",IF(ISNUMBER(O82),IF(O82&lt;=C82,"按时","超期"),IF(TODAY()&gt;C82,"已超期未完成","待完成")))</f>
        <v/>
      </c>
      <c r="R82" s="30" t="str">
        <f aca="false">IF(ISNUMBER(B82),EDATE(B82,120),"")</f>
        <v/>
      </c>
      <c r="S82" s="43"/>
    </row>
    <row r="83" customFormat="false" ht="21.75" hidden="false" customHeight="true" outlineLevel="0" collapsed="false">
      <c r="A83" s="48"/>
      <c r="B83" s="41"/>
      <c r="C83" s="30" t="str">
        <f aca="false">IF(ISNUMBER(B83),B83+15,"")</f>
        <v/>
      </c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43"/>
      <c r="O83" s="41"/>
      <c r="P83" s="35" t="str">
        <f aca="false">IF(A83="","",IF(COUNTIF(D83:L83,"未留存")+COUNTBLANK(D83:L83)=0,"齐全","缺"&amp;(COUNTIF(D83:L83,"未留存")+COUNTBLANK(D83:L83))&amp;"项"))</f>
        <v/>
      </c>
      <c r="Q83" s="35" t="str">
        <f aca="true">IF(NOT(ISNUMBER(B83)),"",IF(ISNUMBER(O83),IF(O83&lt;=C83,"按时","超期"),IF(TODAY()&gt;C83,"已超期未完成","待完成")))</f>
        <v/>
      </c>
      <c r="R83" s="30" t="str">
        <f aca="false">IF(ISNUMBER(B83),EDATE(B83,120),"")</f>
        <v/>
      </c>
      <c r="S83" s="43"/>
    </row>
    <row r="84" customFormat="false" ht="21.75" hidden="false" customHeight="true" outlineLevel="0" collapsed="false">
      <c r="A84" s="48"/>
      <c r="B84" s="41"/>
      <c r="C84" s="30" t="str">
        <f aca="false">IF(ISNUMBER(B84),B84+15,"")</f>
        <v/>
      </c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43"/>
      <c r="O84" s="41"/>
      <c r="P84" s="35" t="str">
        <f aca="false">IF(A84="","",IF(COUNTIF(D84:L84,"未留存")+COUNTBLANK(D84:L84)=0,"齐全","缺"&amp;(COUNTIF(D84:L84,"未留存")+COUNTBLANK(D84:L84))&amp;"项"))</f>
        <v/>
      </c>
      <c r="Q84" s="35" t="str">
        <f aca="true">IF(NOT(ISNUMBER(B84)),"",IF(ISNUMBER(O84),IF(O84&lt;=C84,"按时","超期"),IF(TODAY()&gt;C84,"已超期未完成","待完成")))</f>
        <v/>
      </c>
      <c r="R84" s="30" t="str">
        <f aca="false">IF(ISNUMBER(B84),EDATE(B84,120),"")</f>
        <v/>
      </c>
      <c r="S84" s="43"/>
    </row>
    <row r="85" customFormat="false" ht="21.75" hidden="false" customHeight="true" outlineLevel="0" collapsed="false">
      <c r="A85" s="48"/>
      <c r="B85" s="41"/>
      <c r="C85" s="30" t="str">
        <f aca="false">IF(ISNUMBER(B85),B85+15,"")</f>
        <v/>
      </c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43"/>
      <c r="O85" s="41"/>
      <c r="P85" s="35" t="str">
        <f aca="false">IF(A85="","",IF(COUNTIF(D85:L85,"未留存")+COUNTBLANK(D85:L85)=0,"齐全","缺"&amp;(COUNTIF(D85:L85,"未留存")+COUNTBLANK(D85:L85))&amp;"项"))</f>
        <v/>
      </c>
      <c r="Q85" s="35" t="str">
        <f aca="true">IF(NOT(ISNUMBER(B85)),"",IF(ISNUMBER(O85),IF(O85&lt;=C85,"按时","超期"),IF(TODAY()&gt;C85,"已超期未完成","待完成")))</f>
        <v/>
      </c>
      <c r="R85" s="30" t="str">
        <f aca="false">IF(ISNUMBER(B85),EDATE(B85,120),"")</f>
        <v/>
      </c>
      <c r="S85" s="43"/>
    </row>
    <row r="86" customFormat="false" ht="21.75" hidden="false" customHeight="true" outlineLevel="0" collapsed="false">
      <c r="A86" s="48"/>
      <c r="B86" s="41"/>
      <c r="C86" s="30" t="str">
        <f aca="false">IF(ISNUMBER(B86),B86+15,"")</f>
        <v/>
      </c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43"/>
      <c r="O86" s="41"/>
      <c r="P86" s="35" t="str">
        <f aca="false">IF(A86="","",IF(COUNTIF(D86:L86,"未留存")+COUNTBLANK(D86:L86)=0,"齐全","缺"&amp;(COUNTIF(D86:L86,"未留存")+COUNTBLANK(D86:L86))&amp;"项"))</f>
        <v/>
      </c>
      <c r="Q86" s="35" t="str">
        <f aca="true">IF(NOT(ISNUMBER(B86)),"",IF(ISNUMBER(O86),IF(O86&lt;=C86,"按时","超期"),IF(TODAY()&gt;C86,"已超期未完成","待完成")))</f>
        <v/>
      </c>
      <c r="R86" s="30" t="str">
        <f aca="false">IF(ISNUMBER(B86),EDATE(B86,120),"")</f>
        <v/>
      </c>
      <c r="S86" s="43"/>
    </row>
    <row r="87" customFormat="false" ht="21.75" hidden="false" customHeight="true" outlineLevel="0" collapsed="false">
      <c r="A87" s="48"/>
      <c r="B87" s="41"/>
      <c r="C87" s="30" t="str">
        <f aca="false">IF(ISNUMBER(B87),B87+15,"")</f>
        <v/>
      </c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43"/>
      <c r="O87" s="41"/>
      <c r="P87" s="35" t="str">
        <f aca="false">IF(A87="","",IF(COUNTIF(D87:L87,"未留存")+COUNTBLANK(D87:L87)=0,"齐全","缺"&amp;(COUNTIF(D87:L87,"未留存")+COUNTBLANK(D87:L87))&amp;"项"))</f>
        <v/>
      </c>
      <c r="Q87" s="35" t="str">
        <f aca="true">IF(NOT(ISNUMBER(B87)),"",IF(ISNUMBER(O87),IF(O87&lt;=C87,"按时","超期"),IF(TODAY()&gt;C87,"已超期未完成","待完成")))</f>
        <v/>
      </c>
      <c r="R87" s="30" t="str">
        <f aca="false">IF(ISNUMBER(B87),EDATE(B87,120),"")</f>
        <v/>
      </c>
      <c r="S87" s="43"/>
    </row>
    <row r="88" customFormat="false" ht="21.75" hidden="false" customHeight="true" outlineLevel="0" collapsed="false">
      <c r="A88" s="48"/>
      <c r="B88" s="41"/>
      <c r="C88" s="30" t="str">
        <f aca="false">IF(ISNUMBER(B88),B88+15,"")</f>
        <v/>
      </c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43"/>
      <c r="O88" s="41"/>
      <c r="P88" s="35" t="str">
        <f aca="false">IF(A88="","",IF(COUNTIF(D88:L88,"未留存")+COUNTBLANK(D88:L88)=0,"齐全","缺"&amp;(COUNTIF(D88:L88,"未留存")+COUNTBLANK(D88:L88))&amp;"项"))</f>
        <v/>
      </c>
      <c r="Q88" s="35" t="str">
        <f aca="true">IF(NOT(ISNUMBER(B88)),"",IF(ISNUMBER(O88),IF(O88&lt;=C88,"按时","超期"),IF(TODAY()&gt;C88,"已超期未完成","待完成")))</f>
        <v/>
      </c>
      <c r="R88" s="30" t="str">
        <f aca="false">IF(ISNUMBER(B88),EDATE(B88,120),"")</f>
        <v/>
      </c>
      <c r="S88" s="43"/>
    </row>
    <row r="89" customFormat="false" ht="21.75" hidden="false" customHeight="true" outlineLevel="0" collapsed="false">
      <c r="A89" s="48"/>
      <c r="B89" s="41"/>
      <c r="C89" s="30" t="str">
        <f aca="false">IF(ISNUMBER(B89),B89+15,"")</f>
        <v/>
      </c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43"/>
      <c r="O89" s="41"/>
      <c r="P89" s="35" t="str">
        <f aca="false">IF(A89="","",IF(COUNTIF(D89:L89,"未留存")+COUNTBLANK(D89:L89)=0,"齐全","缺"&amp;(COUNTIF(D89:L89,"未留存")+COUNTBLANK(D89:L89))&amp;"项"))</f>
        <v/>
      </c>
      <c r="Q89" s="35" t="str">
        <f aca="true">IF(NOT(ISNUMBER(B89)),"",IF(ISNUMBER(O89),IF(O89&lt;=C89,"按时","超期"),IF(TODAY()&gt;C89,"已超期未完成","待完成")))</f>
        <v/>
      </c>
      <c r="R89" s="30" t="str">
        <f aca="false">IF(ISNUMBER(B89),EDATE(B89,120),"")</f>
        <v/>
      </c>
      <c r="S89" s="43"/>
    </row>
    <row r="90" customFormat="false" ht="21.75" hidden="false" customHeight="true" outlineLevel="0" collapsed="false">
      <c r="A90" s="48"/>
      <c r="B90" s="41"/>
      <c r="C90" s="30" t="str">
        <f aca="false">IF(ISNUMBER(B90),B90+15,"")</f>
        <v/>
      </c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43"/>
      <c r="O90" s="41"/>
      <c r="P90" s="35" t="str">
        <f aca="false">IF(A90="","",IF(COUNTIF(D90:L90,"未留存")+COUNTBLANK(D90:L90)=0,"齐全","缺"&amp;(COUNTIF(D90:L90,"未留存")+COUNTBLANK(D90:L90))&amp;"项"))</f>
        <v/>
      </c>
      <c r="Q90" s="35" t="str">
        <f aca="true">IF(NOT(ISNUMBER(B90)),"",IF(ISNUMBER(O90),IF(O90&lt;=C90,"按时","超期"),IF(TODAY()&gt;C90,"已超期未完成","待完成")))</f>
        <v/>
      </c>
      <c r="R90" s="30" t="str">
        <f aca="false">IF(ISNUMBER(B90),EDATE(B90,120),"")</f>
        <v/>
      </c>
      <c r="S90" s="43"/>
    </row>
    <row r="91" customFormat="false" ht="21.75" hidden="false" customHeight="true" outlineLevel="0" collapsed="false">
      <c r="A91" s="48"/>
      <c r="B91" s="41"/>
      <c r="C91" s="30" t="str">
        <f aca="false">IF(ISNUMBER(B91),B91+15,"")</f>
        <v/>
      </c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43"/>
      <c r="O91" s="41"/>
      <c r="P91" s="35" t="str">
        <f aca="false">IF(A91="","",IF(COUNTIF(D91:L91,"未留存")+COUNTBLANK(D91:L91)=0,"齐全","缺"&amp;(COUNTIF(D91:L91,"未留存")+COUNTBLANK(D91:L91))&amp;"项"))</f>
        <v/>
      </c>
      <c r="Q91" s="35" t="str">
        <f aca="true">IF(NOT(ISNUMBER(B91)),"",IF(ISNUMBER(O91),IF(O91&lt;=C91,"按时","超期"),IF(TODAY()&gt;C91,"已超期未完成","待完成")))</f>
        <v/>
      </c>
      <c r="R91" s="30" t="str">
        <f aca="false">IF(ISNUMBER(B91),EDATE(B91,120),"")</f>
        <v/>
      </c>
      <c r="S91" s="43"/>
    </row>
    <row r="92" customFormat="false" ht="21.75" hidden="false" customHeight="true" outlineLevel="0" collapsed="false">
      <c r="A92" s="48"/>
      <c r="B92" s="41"/>
      <c r="C92" s="30" t="str">
        <f aca="false">IF(ISNUMBER(B92),B92+15,"")</f>
        <v/>
      </c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43"/>
      <c r="O92" s="41"/>
      <c r="P92" s="35" t="str">
        <f aca="false">IF(A92="","",IF(COUNTIF(D92:L92,"未留存")+COUNTBLANK(D92:L92)=0,"齐全","缺"&amp;(COUNTIF(D92:L92,"未留存")+COUNTBLANK(D92:L92))&amp;"项"))</f>
        <v/>
      </c>
      <c r="Q92" s="35" t="str">
        <f aca="true">IF(NOT(ISNUMBER(B92)),"",IF(ISNUMBER(O92),IF(O92&lt;=C92,"按时","超期"),IF(TODAY()&gt;C92,"已超期未完成","待完成")))</f>
        <v/>
      </c>
      <c r="R92" s="30" t="str">
        <f aca="false">IF(ISNUMBER(B92),EDATE(B92,120),"")</f>
        <v/>
      </c>
      <c r="S92" s="43"/>
    </row>
    <row r="93" customFormat="false" ht="21.75" hidden="false" customHeight="true" outlineLevel="0" collapsed="false">
      <c r="A93" s="48"/>
      <c r="B93" s="41"/>
      <c r="C93" s="30" t="str">
        <f aca="false">IF(ISNUMBER(B93),B93+15,"")</f>
        <v/>
      </c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43"/>
      <c r="O93" s="41"/>
      <c r="P93" s="35" t="str">
        <f aca="false">IF(A93="","",IF(COUNTIF(D93:L93,"未留存")+COUNTBLANK(D93:L93)=0,"齐全","缺"&amp;(COUNTIF(D93:L93,"未留存")+COUNTBLANK(D93:L93))&amp;"项"))</f>
        <v/>
      </c>
      <c r="Q93" s="35" t="str">
        <f aca="true">IF(NOT(ISNUMBER(B93)),"",IF(ISNUMBER(O93),IF(O93&lt;=C93,"按时","超期"),IF(TODAY()&gt;C93,"已超期未完成","待完成")))</f>
        <v/>
      </c>
      <c r="R93" s="30" t="str">
        <f aca="false">IF(ISNUMBER(B93),EDATE(B93,120),"")</f>
        <v/>
      </c>
      <c r="S93" s="43"/>
    </row>
    <row r="94" customFormat="false" ht="21.75" hidden="false" customHeight="true" outlineLevel="0" collapsed="false">
      <c r="A94" s="48"/>
      <c r="B94" s="41"/>
      <c r="C94" s="30" t="str">
        <f aca="false">IF(ISNUMBER(B94),B94+15,"")</f>
        <v/>
      </c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43"/>
      <c r="O94" s="41"/>
      <c r="P94" s="35" t="str">
        <f aca="false">IF(A94="","",IF(COUNTIF(D94:L94,"未留存")+COUNTBLANK(D94:L94)=0,"齐全","缺"&amp;(COUNTIF(D94:L94,"未留存")+COUNTBLANK(D94:L94))&amp;"项"))</f>
        <v/>
      </c>
      <c r="Q94" s="35" t="str">
        <f aca="true">IF(NOT(ISNUMBER(B94)),"",IF(ISNUMBER(O94),IF(O94&lt;=C94,"按时","超期"),IF(TODAY()&gt;C94,"已超期未完成","待完成")))</f>
        <v/>
      </c>
      <c r="R94" s="30" t="str">
        <f aca="false">IF(ISNUMBER(B94),EDATE(B94,120),"")</f>
        <v/>
      </c>
      <c r="S94" s="43"/>
    </row>
    <row r="95" customFormat="false" ht="21.75" hidden="false" customHeight="true" outlineLevel="0" collapsed="false">
      <c r="A95" s="48"/>
      <c r="B95" s="41"/>
      <c r="C95" s="30" t="str">
        <f aca="false">IF(ISNUMBER(B95),B95+15,"")</f>
        <v/>
      </c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43"/>
      <c r="O95" s="41"/>
      <c r="P95" s="35" t="str">
        <f aca="false">IF(A95="","",IF(COUNTIF(D95:L95,"未留存")+COUNTBLANK(D95:L95)=0,"齐全","缺"&amp;(COUNTIF(D95:L95,"未留存")+COUNTBLANK(D95:L95))&amp;"项"))</f>
        <v/>
      </c>
      <c r="Q95" s="35" t="str">
        <f aca="true">IF(NOT(ISNUMBER(B95)),"",IF(ISNUMBER(O95),IF(O95&lt;=C95,"按时","超期"),IF(TODAY()&gt;C95,"已超期未完成","待完成")))</f>
        <v/>
      </c>
      <c r="R95" s="30" t="str">
        <f aca="false">IF(ISNUMBER(B95),EDATE(B95,120),"")</f>
        <v/>
      </c>
      <c r="S95" s="43"/>
    </row>
    <row r="96" customFormat="false" ht="21.75" hidden="false" customHeight="true" outlineLevel="0" collapsed="false">
      <c r="A96" s="48"/>
      <c r="B96" s="41"/>
      <c r="C96" s="30" t="str">
        <f aca="false">IF(ISNUMBER(B96),B96+15,"")</f>
        <v/>
      </c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43"/>
      <c r="O96" s="41"/>
      <c r="P96" s="35" t="str">
        <f aca="false">IF(A96="","",IF(COUNTIF(D96:L96,"未留存")+COUNTBLANK(D96:L96)=0,"齐全","缺"&amp;(COUNTIF(D96:L96,"未留存")+COUNTBLANK(D96:L96))&amp;"项"))</f>
        <v/>
      </c>
      <c r="Q96" s="35" t="str">
        <f aca="true">IF(NOT(ISNUMBER(B96)),"",IF(ISNUMBER(O96),IF(O96&lt;=C96,"按时","超期"),IF(TODAY()&gt;C96,"已超期未完成","待完成")))</f>
        <v/>
      </c>
      <c r="R96" s="30" t="str">
        <f aca="false">IF(ISNUMBER(B96),EDATE(B96,120),"")</f>
        <v/>
      </c>
      <c r="S96" s="43"/>
    </row>
    <row r="97" customFormat="false" ht="21.75" hidden="false" customHeight="true" outlineLevel="0" collapsed="false">
      <c r="A97" s="48"/>
      <c r="B97" s="41"/>
      <c r="C97" s="30" t="str">
        <f aca="false">IF(ISNUMBER(B97),B97+15,"")</f>
        <v/>
      </c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43"/>
      <c r="O97" s="41"/>
      <c r="P97" s="35" t="str">
        <f aca="false">IF(A97="","",IF(COUNTIF(D97:L97,"未留存")+COUNTBLANK(D97:L97)=0,"齐全","缺"&amp;(COUNTIF(D97:L97,"未留存")+COUNTBLANK(D97:L97))&amp;"项"))</f>
        <v/>
      </c>
      <c r="Q97" s="35" t="str">
        <f aca="true">IF(NOT(ISNUMBER(B97)),"",IF(ISNUMBER(O97),IF(O97&lt;=C97,"按时","超期"),IF(TODAY()&gt;C97,"已超期未完成","待完成")))</f>
        <v/>
      </c>
      <c r="R97" s="30" t="str">
        <f aca="false">IF(ISNUMBER(B97),EDATE(B97,120),"")</f>
        <v/>
      </c>
      <c r="S97" s="43"/>
    </row>
    <row r="98" customFormat="false" ht="21.75" hidden="false" customHeight="true" outlineLevel="0" collapsed="false">
      <c r="A98" s="48"/>
      <c r="B98" s="41"/>
      <c r="C98" s="30" t="str">
        <f aca="false">IF(ISNUMBER(B98),B98+15,"")</f>
        <v/>
      </c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43"/>
      <c r="O98" s="41"/>
      <c r="P98" s="35" t="str">
        <f aca="false">IF(A98="","",IF(COUNTIF(D98:L98,"未留存")+COUNTBLANK(D98:L98)=0,"齐全","缺"&amp;(COUNTIF(D98:L98,"未留存")+COUNTBLANK(D98:L98))&amp;"项"))</f>
        <v/>
      </c>
      <c r="Q98" s="35" t="str">
        <f aca="true">IF(NOT(ISNUMBER(B98)),"",IF(ISNUMBER(O98),IF(O98&lt;=C98,"按时","超期"),IF(TODAY()&gt;C98,"已超期未完成","待完成")))</f>
        <v/>
      </c>
      <c r="R98" s="30" t="str">
        <f aca="false">IF(ISNUMBER(B98),EDATE(B98,120),"")</f>
        <v/>
      </c>
      <c r="S98" s="43"/>
    </row>
    <row r="99" customFormat="false" ht="21.75" hidden="false" customHeight="true" outlineLevel="0" collapsed="false">
      <c r="A99" s="48"/>
      <c r="B99" s="41"/>
      <c r="C99" s="30" t="str">
        <f aca="false">IF(ISNUMBER(B99),B99+15,"")</f>
        <v/>
      </c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43"/>
      <c r="O99" s="41"/>
      <c r="P99" s="35" t="str">
        <f aca="false">IF(A99="","",IF(COUNTIF(D99:L99,"未留存")+COUNTBLANK(D99:L99)=0,"齐全","缺"&amp;(COUNTIF(D99:L99,"未留存")+COUNTBLANK(D99:L99))&amp;"项"))</f>
        <v/>
      </c>
      <c r="Q99" s="35" t="str">
        <f aca="true">IF(NOT(ISNUMBER(B99)),"",IF(ISNUMBER(O99),IF(O99&lt;=C99,"按时","超期"),IF(TODAY()&gt;C99,"已超期未完成","待完成")))</f>
        <v/>
      </c>
      <c r="R99" s="30" t="str">
        <f aca="false">IF(ISNUMBER(B99),EDATE(B99,120),"")</f>
        <v/>
      </c>
      <c r="S99" s="43"/>
    </row>
    <row r="100" customFormat="false" ht="21.75" hidden="false" customHeight="true" outlineLevel="0" collapsed="false">
      <c r="A100" s="48"/>
      <c r="B100" s="41"/>
      <c r="C100" s="30" t="str">
        <f aca="false">IF(ISNUMBER(B100),B100+15,"")</f>
        <v/>
      </c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43"/>
      <c r="O100" s="41"/>
      <c r="P100" s="35" t="str">
        <f aca="false">IF(A100="","",IF(COUNTIF(D100:L100,"未留存")+COUNTBLANK(D100:L100)=0,"齐全","缺"&amp;(COUNTIF(D100:L100,"未留存")+COUNTBLANK(D100:L100))&amp;"项"))</f>
        <v/>
      </c>
      <c r="Q100" s="35" t="str">
        <f aca="true">IF(NOT(ISNUMBER(B100)),"",IF(ISNUMBER(O100),IF(O100&lt;=C100,"按时","超期"),IF(TODAY()&gt;C100,"已超期未完成","待完成")))</f>
        <v/>
      </c>
      <c r="R100" s="30" t="str">
        <f aca="false">IF(ISNUMBER(B100),EDATE(B100,120),"")</f>
        <v/>
      </c>
      <c r="S100" s="43"/>
    </row>
    <row r="101" customFormat="false" ht="21.75" hidden="false" customHeight="true" outlineLevel="0" collapsed="false">
      <c r="A101" s="48"/>
      <c r="B101" s="41"/>
      <c r="C101" s="30" t="str">
        <f aca="false">IF(ISNUMBER(B101),B101+15,"")</f>
        <v/>
      </c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43"/>
      <c r="O101" s="41"/>
      <c r="P101" s="35" t="str">
        <f aca="false">IF(A101="","",IF(COUNTIF(D101:L101,"未留存")+COUNTBLANK(D101:L101)=0,"齐全","缺"&amp;(COUNTIF(D101:L101,"未留存")+COUNTBLANK(D101:L101))&amp;"项"))</f>
        <v/>
      </c>
      <c r="Q101" s="35" t="str">
        <f aca="true">IF(NOT(ISNUMBER(B101)),"",IF(ISNUMBER(O101),IF(O101&lt;=C101,"按时","超期"),IF(TODAY()&gt;C101,"已超期未完成","待完成")))</f>
        <v/>
      </c>
      <c r="R101" s="30" t="str">
        <f aca="false">IF(ISNUMBER(B101),EDATE(B101,120),"")</f>
        <v/>
      </c>
      <c r="S101" s="43"/>
    </row>
    <row r="102" customFormat="false" ht="21.75" hidden="false" customHeight="true" outlineLevel="0" collapsed="false">
      <c r="A102" s="48"/>
      <c r="B102" s="41"/>
      <c r="C102" s="30" t="str">
        <f aca="false">IF(ISNUMBER(B102),B102+15,"")</f>
        <v/>
      </c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43"/>
      <c r="O102" s="41"/>
      <c r="P102" s="35" t="str">
        <f aca="false">IF(A102="","",IF(COUNTIF(D102:L102,"未留存")+COUNTBLANK(D102:L102)=0,"齐全","缺"&amp;(COUNTIF(D102:L102,"未留存")+COUNTBLANK(D102:L102))&amp;"项"))</f>
        <v/>
      </c>
      <c r="Q102" s="35" t="str">
        <f aca="true">IF(NOT(ISNUMBER(B102)),"",IF(ISNUMBER(O102),IF(O102&lt;=C102,"按时","超期"),IF(TODAY()&gt;C102,"已超期未完成","待完成")))</f>
        <v/>
      </c>
      <c r="R102" s="30" t="str">
        <f aca="false">IF(ISNUMBER(B102),EDATE(B102,120),"")</f>
        <v/>
      </c>
      <c r="S102" s="43"/>
    </row>
    <row r="103" customFormat="false" ht="21.75" hidden="false" customHeight="true" outlineLevel="0" collapsed="false">
      <c r="A103" s="48"/>
      <c r="B103" s="41"/>
      <c r="C103" s="30" t="str">
        <f aca="false">IF(ISNUMBER(B103),B103+15,"")</f>
        <v/>
      </c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43"/>
      <c r="O103" s="41"/>
      <c r="P103" s="35" t="str">
        <f aca="false">IF(A103="","",IF(COUNTIF(D103:L103,"未留存")+COUNTBLANK(D103:L103)=0,"齐全","缺"&amp;(COUNTIF(D103:L103,"未留存")+COUNTBLANK(D103:L103))&amp;"项"))</f>
        <v/>
      </c>
      <c r="Q103" s="35" t="str">
        <f aca="true">IF(NOT(ISNUMBER(B103)),"",IF(ISNUMBER(O103),IF(O103&lt;=C103,"按时","超期"),IF(TODAY()&gt;C103,"已超期未完成","待完成")))</f>
        <v/>
      </c>
      <c r="R103" s="30" t="str">
        <f aca="false">IF(ISNUMBER(B103),EDATE(B103,120),"")</f>
        <v/>
      </c>
      <c r="S103" s="43"/>
    </row>
    <row r="104" customFormat="false" ht="21.75" hidden="false" customHeight="true" outlineLevel="0" collapsed="false">
      <c r="A104" s="48"/>
      <c r="B104" s="41"/>
      <c r="C104" s="30" t="str">
        <f aca="false">IF(ISNUMBER(B104),B104+15,"")</f>
        <v/>
      </c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43"/>
      <c r="O104" s="41"/>
      <c r="P104" s="35" t="str">
        <f aca="false">IF(A104="","",IF(COUNTIF(D104:L104,"未留存")+COUNTBLANK(D104:L104)=0,"齐全","缺"&amp;(COUNTIF(D104:L104,"未留存")+COUNTBLANK(D104:L104))&amp;"项"))</f>
        <v/>
      </c>
      <c r="Q104" s="35" t="str">
        <f aca="true">IF(NOT(ISNUMBER(B104)),"",IF(ISNUMBER(O104),IF(O104&lt;=C104,"按时","超期"),IF(TODAY()&gt;C104,"已超期未完成","待完成")))</f>
        <v/>
      </c>
      <c r="R104" s="30" t="str">
        <f aca="false">IF(ISNUMBER(B104),EDATE(B104,120),"")</f>
        <v/>
      </c>
      <c r="S104" s="43"/>
    </row>
    <row r="105" customFormat="false" ht="21.75" hidden="false" customHeight="true" outlineLevel="0" collapsed="false">
      <c r="A105" s="48"/>
      <c r="B105" s="41"/>
      <c r="C105" s="30" t="str">
        <f aca="false">IF(ISNUMBER(B105),B105+15,"")</f>
        <v/>
      </c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43"/>
      <c r="O105" s="41"/>
      <c r="P105" s="35" t="str">
        <f aca="false">IF(A105="","",IF(COUNTIF(D105:L105,"未留存")+COUNTBLANK(D105:L105)=0,"齐全","缺"&amp;(COUNTIF(D105:L105,"未留存")+COUNTBLANK(D105:L105))&amp;"项"))</f>
        <v/>
      </c>
      <c r="Q105" s="35" t="str">
        <f aca="true">IF(NOT(ISNUMBER(B105)),"",IF(ISNUMBER(O105),IF(O105&lt;=C105,"按时","超期"),IF(TODAY()&gt;C105,"已超期未完成","待完成")))</f>
        <v/>
      </c>
      <c r="R105" s="30" t="str">
        <f aca="false">IF(ISNUMBER(B105),EDATE(B105,120),"")</f>
        <v/>
      </c>
      <c r="S105" s="43"/>
    </row>
    <row r="106" customFormat="false" ht="21.75" hidden="false" customHeight="true" outlineLevel="0" collapsed="false">
      <c r="A106" s="48"/>
      <c r="B106" s="41"/>
      <c r="C106" s="30" t="str">
        <f aca="false">IF(ISNUMBER(B106),B106+15,"")</f>
        <v/>
      </c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43"/>
      <c r="O106" s="41"/>
      <c r="P106" s="35" t="str">
        <f aca="false">IF(A106="","",IF(COUNTIF(D106:L106,"未留存")+COUNTBLANK(D106:L106)=0,"齐全","缺"&amp;(COUNTIF(D106:L106,"未留存")+COUNTBLANK(D106:L106))&amp;"项"))</f>
        <v/>
      </c>
      <c r="Q106" s="35" t="str">
        <f aca="true">IF(NOT(ISNUMBER(B106)),"",IF(ISNUMBER(O106),IF(O106&lt;=C106,"按时","超期"),IF(TODAY()&gt;C106,"已超期未完成","待完成")))</f>
        <v/>
      </c>
      <c r="R106" s="30" t="str">
        <f aca="false">IF(ISNUMBER(B106),EDATE(B106,120),"")</f>
        <v/>
      </c>
      <c r="S106" s="43"/>
    </row>
    <row r="107" customFormat="false" ht="21.75" hidden="false" customHeight="true" outlineLevel="0" collapsed="false">
      <c r="A107" s="48"/>
      <c r="B107" s="41"/>
      <c r="C107" s="30" t="str">
        <f aca="false">IF(ISNUMBER(B107),B107+15,"")</f>
        <v/>
      </c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43"/>
      <c r="O107" s="41"/>
      <c r="P107" s="35" t="str">
        <f aca="false">IF(A107="","",IF(COUNTIF(D107:L107,"未留存")+COUNTBLANK(D107:L107)=0,"齐全","缺"&amp;(COUNTIF(D107:L107,"未留存")+COUNTBLANK(D107:L107))&amp;"项"))</f>
        <v/>
      </c>
      <c r="Q107" s="35" t="str">
        <f aca="true">IF(NOT(ISNUMBER(B107)),"",IF(ISNUMBER(O107),IF(O107&lt;=C107,"按时","超期"),IF(TODAY()&gt;C107,"已超期未完成","待完成")))</f>
        <v/>
      </c>
      <c r="R107" s="30" t="str">
        <f aca="false">IF(ISNUMBER(B107),EDATE(B107,120),"")</f>
        <v/>
      </c>
      <c r="S107" s="43"/>
    </row>
    <row r="108" customFormat="false" ht="21.75" hidden="false" customHeight="true" outlineLevel="0" collapsed="false">
      <c r="A108" s="48"/>
      <c r="B108" s="41"/>
      <c r="C108" s="30" t="str">
        <f aca="false">IF(ISNUMBER(B108),B108+15,"")</f>
        <v/>
      </c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43"/>
      <c r="O108" s="41"/>
      <c r="P108" s="35" t="str">
        <f aca="false">IF(A108="","",IF(COUNTIF(D108:L108,"未留存")+COUNTBLANK(D108:L108)=0,"齐全","缺"&amp;(COUNTIF(D108:L108,"未留存")+COUNTBLANK(D108:L108))&amp;"项"))</f>
        <v/>
      </c>
      <c r="Q108" s="35" t="str">
        <f aca="true">IF(NOT(ISNUMBER(B108)),"",IF(ISNUMBER(O108),IF(O108&lt;=C108,"按时","超期"),IF(TODAY()&gt;C108,"已超期未完成","待完成")))</f>
        <v/>
      </c>
      <c r="R108" s="30" t="str">
        <f aca="false">IF(ISNUMBER(B108),EDATE(B108,120),"")</f>
        <v/>
      </c>
      <c r="S108" s="43"/>
    </row>
    <row r="109" customFormat="false" ht="21.75" hidden="false" customHeight="true" outlineLevel="0" collapsed="false">
      <c r="A109" s="48"/>
      <c r="B109" s="41"/>
      <c r="C109" s="30" t="str">
        <f aca="false">IF(ISNUMBER(B109),B109+15,"")</f>
        <v/>
      </c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43"/>
      <c r="O109" s="41"/>
      <c r="P109" s="35" t="str">
        <f aca="false">IF(A109="","",IF(COUNTIF(D109:L109,"未留存")+COUNTBLANK(D109:L109)=0,"齐全","缺"&amp;(COUNTIF(D109:L109,"未留存")+COUNTBLANK(D109:L109))&amp;"项"))</f>
        <v/>
      </c>
      <c r="Q109" s="35" t="str">
        <f aca="true">IF(NOT(ISNUMBER(B109)),"",IF(ISNUMBER(O109),IF(O109&lt;=C109,"按时","超期"),IF(TODAY()&gt;C109,"已超期未完成","待完成")))</f>
        <v/>
      </c>
      <c r="R109" s="30" t="str">
        <f aca="false">IF(ISNUMBER(B109),EDATE(B109,120),"")</f>
        <v/>
      </c>
      <c r="S109" s="43"/>
    </row>
    <row r="110" customFormat="false" ht="21.75" hidden="false" customHeight="true" outlineLevel="0" collapsed="false">
      <c r="A110" s="48"/>
      <c r="B110" s="41"/>
      <c r="C110" s="30" t="str">
        <f aca="false">IF(ISNUMBER(B110),B110+15,"")</f>
        <v/>
      </c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43"/>
      <c r="O110" s="41"/>
      <c r="P110" s="35" t="str">
        <f aca="false">IF(A110="","",IF(COUNTIF(D110:L110,"未留存")+COUNTBLANK(D110:L110)=0,"齐全","缺"&amp;(COUNTIF(D110:L110,"未留存")+COUNTBLANK(D110:L110))&amp;"项"))</f>
        <v/>
      </c>
      <c r="Q110" s="35" t="str">
        <f aca="true">IF(NOT(ISNUMBER(B110)),"",IF(ISNUMBER(O110),IF(O110&lt;=C110,"按时","超期"),IF(TODAY()&gt;C110,"已超期未完成","待完成")))</f>
        <v/>
      </c>
      <c r="R110" s="30" t="str">
        <f aca="false">IF(ISNUMBER(B110),EDATE(B110,120),"")</f>
        <v/>
      </c>
      <c r="S110" s="43"/>
    </row>
    <row r="111" customFormat="false" ht="21.75" hidden="false" customHeight="true" outlineLevel="0" collapsed="false">
      <c r="A111" s="48"/>
      <c r="B111" s="41"/>
      <c r="C111" s="30" t="str">
        <f aca="false">IF(ISNUMBER(B111),B111+15,"")</f>
        <v/>
      </c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43"/>
      <c r="O111" s="41"/>
      <c r="P111" s="35" t="str">
        <f aca="false">IF(A111="","",IF(COUNTIF(D111:L111,"未留存")+COUNTBLANK(D111:L111)=0,"齐全","缺"&amp;(COUNTIF(D111:L111,"未留存")+COUNTBLANK(D111:L111))&amp;"项"))</f>
        <v/>
      </c>
      <c r="Q111" s="35" t="str">
        <f aca="true">IF(NOT(ISNUMBER(B111)),"",IF(ISNUMBER(O111),IF(O111&lt;=C111,"按时","超期"),IF(TODAY()&gt;C111,"已超期未完成","待完成")))</f>
        <v/>
      </c>
      <c r="R111" s="30" t="str">
        <f aca="false">IF(ISNUMBER(B111),EDATE(B111,120),"")</f>
        <v/>
      </c>
      <c r="S111" s="43"/>
    </row>
    <row r="112" customFormat="false" ht="21.75" hidden="false" customHeight="true" outlineLevel="0" collapsed="false">
      <c r="A112" s="48"/>
      <c r="B112" s="41"/>
      <c r="C112" s="30" t="str">
        <f aca="false">IF(ISNUMBER(B112),B112+15,"")</f>
        <v/>
      </c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43"/>
      <c r="O112" s="41"/>
      <c r="P112" s="35" t="str">
        <f aca="false">IF(A112="","",IF(COUNTIF(D112:L112,"未留存")+COUNTBLANK(D112:L112)=0,"齐全","缺"&amp;(COUNTIF(D112:L112,"未留存")+COUNTBLANK(D112:L112))&amp;"项"))</f>
        <v/>
      </c>
      <c r="Q112" s="35" t="str">
        <f aca="true">IF(NOT(ISNUMBER(B112)),"",IF(ISNUMBER(O112),IF(O112&lt;=C112,"按时","超期"),IF(TODAY()&gt;C112,"已超期未完成","待完成")))</f>
        <v/>
      </c>
      <c r="R112" s="30" t="str">
        <f aca="false">IF(ISNUMBER(B112),EDATE(B112,120),"")</f>
        <v/>
      </c>
      <c r="S112" s="43"/>
    </row>
    <row r="113" customFormat="false" ht="21.75" hidden="false" customHeight="true" outlineLevel="0" collapsed="false">
      <c r="A113" s="48"/>
      <c r="B113" s="41"/>
      <c r="C113" s="30" t="str">
        <f aca="false">IF(ISNUMBER(B113),B113+15,"")</f>
        <v/>
      </c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43"/>
      <c r="O113" s="41"/>
      <c r="P113" s="35" t="str">
        <f aca="false">IF(A113="","",IF(COUNTIF(D113:L113,"未留存")+COUNTBLANK(D113:L113)=0,"齐全","缺"&amp;(COUNTIF(D113:L113,"未留存")+COUNTBLANK(D113:L113))&amp;"项"))</f>
        <v/>
      </c>
      <c r="Q113" s="35" t="str">
        <f aca="true">IF(NOT(ISNUMBER(B113)),"",IF(ISNUMBER(O113),IF(O113&lt;=C113,"按时","超期"),IF(TODAY()&gt;C113,"已超期未完成","待完成")))</f>
        <v/>
      </c>
      <c r="R113" s="30" t="str">
        <f aca="false">IF(ISNUMBER(B113),EDATE(B113,120),"")</f>
        <v/>
      </c>
      <c r="S113" s="43"/>
    </row>
    <row r="114" customFormat="false" ht="21.75" hidden="false" customHeight="true" outlineLevel="0" collapsed="false">
      <c r="A114" s="48"/>
      <c r="B114" s="41"/>
      <c r="C114" s="30" t="str">
        <f aca="false">IF(ISNUMBER(B114),B114+15,"")</f>
        <v/>
      </c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43"/>
      <c r="O114" s="41"/>
      <c r="P114" s="35" t="str">
        <f aca="false">IF(A114="","",IF(COUNTIF(D114:L114,"未留存")+COUNTBLANK(D114:L114)=0,"齐全","缺"&amp;(COUNTIF(D114:L114,"未留存")+COUNTBLANK(D114:L114))&amp;"项"))</f>
        <v/>
      </c>
      <c r="Q114" s="35" t="str">
        <f aca="true">IF(NOT(ISNUMBER(B114)),"",IF(ISNUMBER(O114),IF(O114&lt;=C114,"按时","超期"),IF(TODAY()&gt;C114,"已超期未完成","待完成")))</f>
        <v/>
      </c>
      <c r="R114" s="30" t="str">
        <f aca="false">IF(ISNUMBER(B114),EDATE(B114,120),"")</f>
        <v/>
      </c>
      <c r="S114" s="43"/>
    </row>
    <row r="115" customFormat="false" ht="21.75" hidden="false" customHeight="true" outlineLevel="0" collapsed="false">
      <c r="A115" s="48"/>
      <c r="B115" s="41"/>
      <c r="C115" s="30" t="str">
        <f aca="false">IF(ISNUMBER(B115),B115+15,"")</f>
        <v/>
      </c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43"/>
      <c r="O115" s="41"/>
      <c r="P115" s="35" t="str">
        <f aca="false">IF(A115="","",IF(COUNTIF(D115:L115,"未留存")+COUNTBLANK(D115:L115)=0,"齐全","缺"&amp;(COUNTIF(D115:L115,"未留存")+COUNTBLANK(D115:L115))&amp;"项"))</f>
        <v/>
      </c>
      <c r="Q115" s="35" t="str">
        <f aca="true">IF(NOT(ISNUMBER(B115)),"",IF(ISNUMBER(O115),IF(O115&lt;=C115,"按时","超期"),IF(TODAY()&gt;C115,"已超期未完成","待完成")))</f>
        <v/>
      </c>
      <c r="R115" s="30" t="str">
        <f aca="false">IF(ISNUMBER(B115),EDATE(B115,120),"")</f>
        <v/>
      </c>
      <c r="S115" s="43"/>
    </row>
    <row r="116" customFormat="false" ht="21.75" hidden="false" customHeight="true" outlineLevel="0" collapsed="false">
      <c r="A116" s="48"/>
      <c r="B116" s="41"/>
      <c r="C116" s="30" t="str">
        <f aca="false">IF(ISNUMBER(B116),B116+15,"")</f>
        <v/>
      </c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43"/>
      <c r="O116" s="41"/>
      <c r="P116" s="35" t="str">
        <f aca="false">IF(A116="","",IF(COUNTIF(D116:L116,"未留存")+COUNTBLANK(D116:L116)=0,"齐全","缺"&amp;(COUNTIF(D116:L116,"未留存")+COUNTBLANK(D116:L116))&amp;"项"))</f>
        <v/>
      </c>
      <c r="Q116" s="35" t="str">
        <f aca="true">IF(NOT(ISNUMBER(B116)),"",IF(ISNUMBER(O116),IF(O116&lt;=C116,"按时","超期"),IF(TODAY()&gt;C116,"已超期未完成","待完成")))</f>
        <v/>
      </c>
      <c r="R116" s="30" t="str">
        <f aca="false">IF(ISNUMBER(B116),EDATE(B116,120),"")</f>
        <v/>
      </c>
      <c r="S116" s="43"/>
    </row>
    <row r="117" customFormat="false" ht="21.75" hidden="false" customHeight="true" outlineLevel="0" collapsed="false">
      <c r="A117" s="48"/>
      <c r="B117" s="41"/>
      <c r="C117" s="30" t="str">
        <f aca="false">IF(ISNUMBER(B117),B117+15,"")</f>
        <v/>
      </c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43"/>
      <c r="O117" s="41"/>
      <c r="P117" s="35" t="str">
        <f aca="false">IF(A117="","",IF(COUNTIF(D117:L117,"未留存")+COUNTBLANK(D117:L117)=0,"齐全","缺"&amp;(COUNTIF(D117:L117,"未留存")+COUNTBLANK(D117:L117))&amp;"项"))</f>
        <v/>
      </c>
      <c r="Q117" s="35" t="str">
        <f aca="true">IF(NOT(ISNUMBER(B117)),"",IF(ISNUMBER(O117),IF(O117&lt;=C117,"按时","超期"),IF(TODAY()&gt;C117,"已超期未完成","待完成")))</f>
        <v/>
      </c>
      <c r="R117" s="30" t="str">
        <f aca="false">IF(ISNUMBER(B117),EDATE(B117,120),"")</f>
        <v/>
      </c>
      <c r="S117" s="43"/>
    </row>
    <row r="118" customFormat="false" ht="21.75" hidden="false" customHeight="true" outlineLevel="0" collapsed="false">
      <c r="A118" s="48"/>
      <c r="B118" s="41"/>
      <c r="C118" s="30" t="str">
        <f aca="false">IF(ISNUMBER(B118),B118+15,"")</f>
        <v/>
      </c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43"/>
      <c r="O118" s="41"/>
      <c r="P118" s="35" t="str">
        <f aca="false">IF(A118="","",IF(COUNTIF(D118:L118,"未留存")+COUNTBLANK(D118:L118)=0,"齐全","缺"&amp;(COUNTIF(D118:L118,"未留存")+COUNTBLANK(D118:L118))&amp;"项"))</f>
        <v/>
      </c>
      <c r="Q118" s="35" t="str">
        <f aca="true">IF(NOT(ISNUMBER(B118)),"",IF(ISNUMBER(O118),IF(O118&lt;=C118,"按时","超期"),IF(TODAY()&gt;C118,"已超期未完成","待完成")))</f>
        <v/>
      </c>
      <c r="R118" s="30" t="str">
        <f aca="false">IF(ISNUMBER(B118),EDATE(B118,120),"")</f>
        <v/>
      </c>
      <c r="S118" s="43"/>
    </row>
    <row r="119" customFormat="false" ht="21.75" hidden="false" customHeight="true" outlineLevel="0" collapsed="false">
      <c r="A119" s="48"/>
      <c r="B119" s="41"/>
      <c r="C119" s="30" t="str">
        <f aca="false">IF(ISNUMBER(B119),B119+15,"")</f>
        <v/>
      </c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43"/>
      <c r="O119" s="41"/>
      <c r="P119" s="35" t="str">
        <f aca="false">IF(A119="","",IF(COUNTIF(D119:L119,"未留存")+COUNTBLANK(D119:L119)=0,"齐全","缺"&amp;(COUNTIF(D119:L119,"未留存")+COUNTBLANK(D119:L119))&amp;"项"))</f>
        <v/>
      </c>
      <c r="Q119" s="35" t="str">
        <f aca="true">IF(NOT(ISNUMBER(B119)),"",IF(ISNUMBER(O119),IF(O119&lt;=C119,"按时","超期"),IF(TODAY()&gt;C119,"已超期未完成","待完成")))</f>
        <v/>
      </c>
      <c r="R119" s="30" t="str">
        <f aca="false">IF(ISNUMBER(B119),EDATE(B119,120),"")</f>
        <v/>
      </c>
      <c r="S119" s="43"/>
    </row>
    <row r="120" customFormat="false" ht="21.75" hidden="false" customHeight="true" outlineLevel="0" collapsed="false">
      <c r="A120" s="48"/>
      <c r="B120" s="41"/>
      <c r="C120" s="30" t="str">
        <f aca="false">IF(ISNUMBER(B120),B120+15,"")</f>
        <v/>
      </c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43"/>
      <c r="O120" s="41"/>
      <c r="P120" s="35" t="str">
        <f aca="false">IF(A120="","",IF(COUNTIF(D120:L120,"未留存")+COUNTBLANK(D120:L120)=0,"齐全","缺"&amp;(COUNTIF(D120:L120,"未留存")+COUNTBLANK(D120:L120))&amp;"项"))</f>
        <v/>
      </c>
      <c r="Q120" s="35" t="str">
        <f aca="true">IF(NOT(ISNUMBER(B120)),"",IF(ISNUMBER(O120),IF(O120&lt;=C120,"按时","超期"),IF(TODAY()&gt;C120,"已超期未完成","待完成")))</f>
        <v/>
      </c>
      <c r="R120" s="30" t="str">
        <f aca="false">IF(ISNUMBER(B120),EDATE(B120,120),"")</f>
        <v/>
      </c>
      <c r="S120" s="43"/>
    </row>
    <row r="121" customFormat="false" ht="21.75" hidden="false" customHeight="true" outlineLevel="0" collapsed="false">
      <c r="A121" s="48"/>
      <c r="B121" s="41"/>
      <c r="C121" s="30" t="str">
        <f aca="false">IF(ISNUMBER(B121),B121+15,"")</f>
        <v/>
      </c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43"/>
      <c r="O121" s="41"/>
      <c r="P121" s="35" t="str">
        <f aca="false">IF(A121="","",IF(COUNTIF(D121:L121,"未留存")+COUNTBLANK(D121:L121)=0,"齐全","缺"&amp;(COUNTIF(D121:L121,"未留存")+COUNTBLANK(D121:L121))&amp;"项"))</f>
        <v/>
      </c>
      <c r="Q121" s="35" t="str">
        <f aca="true">IF(NOT(ISNUMBER(B121)),"",IF(ISNUMBER(O121),IF(O121&lt;=C121,"按时","超期"),IF(TODAY()&gt;C121,"已超期未完成","待完成")))</f>
        <v/>
      </c>
      <c r="R121" s="30" t="str">
        <f aca="false">IF(ISNUMBER(B121),EDATE(B121,120),"")</f>
        <v/>
      </c>
      <c r="S121" s="43"/>
    </row>
    <row r="122" customFormat="false" ht="21.75" hidden="false" customHeight="true" outlineLevel="0" collapsed="false">
      <c r="A122" s="48"/>
      <c r="B122" s="41"/>
      <c r="C122" s="30" t="str">
        <f aca="false">IF(ISNUMBER(B122),B122+15,"")</f>
        <v/>
      </c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43"/>
      <c r="O122" s="41"/>
      <c r="P122" s="35" t="str">
        <f aca="false">IF(A122="","",IF(COUNTIF(D122:L122,"未留存")+COUNTBLANK(D122:L122)=0,"齐全","缺"&amp;(COUNTIF(D122:L122,"未留存")+COUNTBLANK(D122:L122))&amp;"项"))</f>
        <v/>
      </c>
      <c r="Q122" s="35" t="str">
        <f aca="true">IF(NOT(ISNUMBER(B122)),"",IF(ISNUMBER(O122),IF(O122&lt;=C122,"按时","超期"),IF(TODAY()&gt;C122,"已超期未完成","待完成")))</f>
        <v/>
      </c>
      <c r="R122" s="30" t="str">
        <f aca="false">IF(ISNUMBER(B122),EDATE(B122,120),"")</f>
        <v/>
      </c>
      <c r="S122" s="43"/>
    </row>
    <row r="123" customFormat="false" ht="21.75" hidden="false" customHeight="true" outlineLevel="0" collapsed="false">
      <c r="A123" s="48"/>
      <c r="B123" s="41"/>
      <c r="C123" s="30" t="str">
        <f aca="false">IF(ISNUMBER(B123),B123+15,"")</f>
        <v/>
      </c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43"/>
      <c r="O123" s="41"/>
      <c r="P123" s="35" t="str">
        <f aca="false">IF(A123="","",IF(COUNTIF(D123:L123,"未留存")+COUNTBLANK(D123:L123)=0,"齐全","缺"&amp;(COUNTIF(D123:L123,"未留存")+COUNTBLANK(D123:L123))&amp;"项"))</f>
        <v/>
      </c>
      <c r="Q123" s="35" t="str">
        <f aca="true">IF(NOT(ISNUMBER(B123)),"",IF(ISNUMBER(O123),IF(O123&lt;=C123,"按时","超期"),IF(TODAY()&gt;C123,"已超期未完成","待完成")))</f>
        <v/>
      </c>
      <c r="R123" s="30" t="str">
        <f aca="false">IF(ISNUMBER(B123),EDATE(B123,120),"")</f>
        <v/>
      </c>
      <c r="S123" s="43"/>
    </row>
    <row r="124" customFormat="false" ht="21.75" hidden="false" customHeight="true" outlineLevel="0" collapsed="false">
      <c r="A124" s="48"/>
      <c r="B124" s="41"/>
      <c r="C124" s="30" t="str">
        <f aca="false">IF(ISNUMBER(B124),B124+15,"")</f>
        <v/>
      </c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43"/>
      <c r="O124" s="41"/>
      <c r="P124" s="35" t="str">
        <f aca="false">IF(A124="","",IF(COUNTIF(D124:L124,"未留存")+COUNTBLANK(D124:L124)=0,"齐全","缺"&amp;(COUNTIF(D124:L124,"未留存")+COUNTBLANK(D124:L124))&amp;"项"))</f>
        <v/>
      </c>
      <c r="Q124" s="35" t="str">
        <f aca="true">IF(NOT(ISNUMBER(B124)),"",IF(ISNUMBER(O124),IF(O124&lt;=C124,"按时","超期"),IF(TODAY()&gt;C124,"已超期未完成","待完成")))</f>
        <v/>
      </c>
      <c r="R124" s="30" t="str">
        <f aca="false">IF(ISNUMBER(B124),EDATE(B124,120),"")</f>
        <v/>
      </c>
      <c r="S124" s="43"/>
    </row>
    <row r="125" customFormat="false" ht="21.75" hidden="false" customHeight="true" outlineLevel="0" collapsed="false">
      <c r="A125" s="48"/>
      <c r="B125" s="41"/>
      <c r="C125" s="30" t="str">
        <f aca="false">IF(ISNUMBER(B125),B125+15,"")</f>
        <v/>
      </c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43"/>
      <c r="O125" s="41"/>
      <c r="P125" s="35" t="str">
        <f aca="false">IF(A125="","",IF(COUNTIF(D125:L125,"未留存")+COUNTBLANK(D125:L125)=0,"齐全","缺"&amp;(COUNTIF(D125:L125,"未留存")+COUNTBLANK(D125:L125))&amp;"项"))</f>
        <v/>
      </c>
      <c r="Q125" s="35" t="str">
        <f aca="true">IF(NOT(ISNUMBER(B125)),"",IF(ISNUMBER(O125),IF(O125&lt;=C125,"按时","超期"),IF(TODAY()&gt;C125,"已超期未完成","待完成")))</f>
        <v/>
      </c>
      <c r="R125" s="30" t="str">
        <f aca="false">IF(ISNUMBER(B125),EDATE(B125,120),"")</f>
        <v/>
      </c>
      <c r="S125" s="43"/>
    </row>
    <row r="126" customFormat="false" ht="21.75" hidden="false" customHeight="true" outlineLevel="0" collapsed="false">
      <c r="A126" s="48"/>
      <c r="B126" s="41"/>
      <c r="C126" s="30" t="str">
        <f aca="false">IF(ISNUMBER(B126),B126+15,"")</f>
        <v/>
      </c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43"/>
      <c r="O126" s="41"/>
      <c r="P126" s="35" t="str">
        <f aca="false">IF(A126="","",IF(COUNTIF(D126:L126,"未留存")+COUNTBLANK(D126:L126)=0,"齐全","缺"&amp;(COUNTIF(D126:L126,"未留存")+COUNTBLANK(D126:L126))&amp;"项"))</f>
        <v/>
      </c>
      <c r="Q126" s="35" t="str">
        <f aca="true">IF(NOT(ISNUMBER(B126)),"",IF(ISNUMBER(O126),IF(O126&lt;=C126,"按时","超期"),IF(TODAY()&gt;C126,"已超期未完成","待完成")))</f>
        <v/>
      </c>
      <c r="R126" s="30" t="str">
        <f aca="false">IF(ISNUMBER(B126),EDATE(B126,120),"")</f>
        <v/>
      </c>
      <c r="S126" s="43"/>
    </row>
    <row r="127" customFormat="false" ht="21.75" hidden="false" customHeight="true" outlineLevel="0" collapsed="false">
      <c r="A127" s="48"/>
      <c r="B127" s="41"/>
      <c r="C127" s="30" t="str">
        <f aca="false">IF(ISNUMBER(B127),B127+15,"")</f>
        <v/>
      </c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43"/>
      <c r="O127" s="41"/>
      <c r="P127" s="35" t="str">
        <f aca="false">IF(A127="","",IF(COUNTIF(D127:L127,"未留存")+COUNTBLANK(D127:L127)=0,"齐全","缺"&amp;(COUNTIF(D127:L127,"未留存")+COUNTBLANK(D127:L127))&amp;"项"))</f>
        <v/>
      </c>
      <c r="Q127" s="35" t="str">
        <f aca="true">IF(NOT(ISNUMBER(B127)),"",IF(ISNUMBER(O127),IF(O127&lt;=C127,"按时","超期"),IF(TODAY()&gt;C127,"已超期未完成","待完成")))</f>
        <v/>
      </c>
      <c r="R127" s="30" t="str">
        <f aca="false">IF(ISNUMBER(B127),EDATE(B127,120),"")</f>
        <v/>
      </c>
      <c r="S127" s="43"/>
    </row>
    <row r="128" customFormat="false" ht="21.75" hidden="false" customHeight="true" outlineLevel="0" collapsed="false">
      <c r="A128" s="48"/>
      <c r="B128" s="41"/>
      <c r="C128" s="30" t="str">
        <f aca="false">IF(ISNUMBER(B128),B128+15,"")</f>
        <v/>
      </c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43"/>
      <c r="O128" s="41"/>
      <c r="P128" s="35" t="str">
        <f aca="false">IF(A128="","",IF(COUNTIF(D128:L128,"未留存")+COUNTBLANK(D128:L128)=0,"齐全","缺"&amp;(COUNTIF(D128:L128,"未留存")+COUNTBLANK(D128:L128))&amp;"项"))</f>
        <v/>
      </c>
      <c r="Q128" s="35" t="str">
        <f aca="true">IF(NOT(ISNUMBER(B128)),"",IF(ISNUMBER(O128),IF(O128&lt;=C128,"按时","超期"),IF(TODAY()&gt;C128,"已超期未完成","待完成")))</f>
        <v/>
      </c>
      <c r="R128" s="30" t="str">
        <f aca="false">IF(ISNUMBER(B128),EDATE(B128,120),"")</f>
        <v/>
      </c>
      <c r="S128" s="43"/>
    </row>
    <row r="129" customFormat="false" ht="21.75" hidden="false" customHeight="true" outlineLevel="0" collapsed="false">
      <c r="A129" s="48"/>
      <c r="B129" s="41"/>
      <c r="C129" s="30" t="str">
        <f aca="false">IF(ISNUMBER(B129),B129+15,"")</f>
        <v/>
      </c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43"/>
      <c r="O129" s="41"/>
      <c r="P129" s="35" t="str">
        <f aca="false">IF(A129="","",IF(COUNTIF(D129:L129,"未留存")+COUNTBLANK(D129:L129)=0,"齐全","缺"&amp;(COUNTIF(D129:L129,"未留存")+COUNTBLANK(D129:L129))&amp;"项"))</f>
        <v/>
      </c>
      <c r="Q129" s="35" t="str">
        <f aca="true">IF(NOT(ISNUMBER(B129)),"",IF(ISNUMBER(O129),IF(O129&lt;=C129,"按时","超期"),IF(TODAY()&gt;C129,"已超期未完成","待完成")))</f>
        <v/>
      </c>
      <c r="R129" s="30" t="str">
        <f aca="false">IF(ISNUMBER(B129),EDATE(B129,120),"")</f>
        <v/>
      </c>
      <c r="S129" s="43"/>
    </row>
    <row r="130" customFormat="false" ht="21.75" hidden="false" customHeight="true" outlineLevel="0" collapsed="false">
      <c r="A130" s="48"/>
      <c r="B130" s="41"/>
      <c r="C130" s="30" t="str">
        <f aca="false">IF(ISNUMBER(B130),B130+15,"")</f>
        <v/>
      </c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43"/>
      <c r="O130" s="41"/>
      <c r="P130" s="35" t="str">
        <f aca="false">IF(A130="","",IF(COUNTIF(D130:L130,"未留存")+COUNTBLANK(D130:L130)=0,"齐全","缺"&amp;(COUNTIF(D130:L130,"未留存")+COUNTBLANK(D130:L130))&amp;"项"))</f>
        <v/>
      </c>
      <c r="Q130" s="35" t="str">
        <f aca="true">IF(NOT(ISNUMBER(B130)),"",IF(ISNUMBER(O130),IF(O130&lt;=C130,"按时","超期"),IF(TODAY()&gt;C130,"已超期未完成","待完成")))</f>
        <v/>
      </c>
      <c r="R130" s="30" t="str">
        <f aca="false">IF(ISNUMBER(B130),EDATE(B130,120),"")</f>
        <v/>
      </c>
      <c r="S130" s="43"/>
    </row>
    <row r="131" customFormat="false" ht="21.75" hidden="false" customHeight="true" outlineLevel="0" collapsed="false">
      <c r="A131" s="48"/>
      <c r="B131" s="41"/>
      <c r="C131" s="30" t="str">
        <f aca="false">IF(ISNUMBER(B131),B131+15,"")</f>
        <v/>
      </c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43"/>
      <c r="O131" s="41"/>
      <c r="P131" s="35" t="str">
        <f aca="false">IF(A131="","",IF(COUNTIF(D131:L131,"未留存")+COUNTBLANK(D131:L131)=0,"齐全","缺"&amp;(COUNTIF(D131:L131,"未留存")+COUNTBLANK(D131:L131))&amp;"项"))</f>
        <v/>
      </c>
      <c r="Q131" s="35" t="str">
        <f aca="true">IF(NOT(ISNUMBER(B131)),"",IF(ISNUMBER(O131),IF(O131&lt;=C131,"按时","超期"),IF(TODAY()&gt;C131,"已超期未完成","待完成")))</f>
        <v/>
      </c>
      <c r="R131" s="30" t="str">
        <f aca="false">IF(ISNUMBER(B131),EDATE(B131,120),"")</f>
        <v/>
      </c>
      <c r="S131" s="43"/>
    </row>
    <row r="132" customFormat="false" ht="21.75" hidden="false" customHeight="true" outlineLevel="0" collapsed="false">
      <c r="A132" s="48"/>
      <c r="B132" s="41"/>
      <c r="C132" s="30" t="str">
        <f aca="false">IF(ISNUMBER(B132),B132+15,"")</f>
        <v/>
      </c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43"/>
      <c r="O132" s="41"/>
      <c r="P132" s="35" t="str">
        <f aca="false">IF(A132="","",IF(COUNTIF(D132:L132,"未留存")+COUNTBLANK(D132:L132)=0,"齐全","缺"&amp;(COUNTIF(D132:L132,"未留存")+COUNTBLANK(D132:L132))&amp;"项"))</f>
        <v/>
      </c>
      <c r="Q132" s="35" t="str">
        <f aca="true">IF(NOT(ISNUMBER(B132)),"",IF(ISNUMBER(O132),IF(O132&lt;=C132,"按时","超期"),IF(TODAY()&gt;C132,"已超期未完成","待完成")))</f>
        <v/>
      </c>
      <c r="R132" s="30" t="str">
        <f aca="false">IF(ISNUMBER(B132),EDATE(B132,120),"")</f>
        <v/>
      </c>
      <c r="S132" s="43"/>
    </row>
    <row r="133" customFormat="false" ht="21.75" hidden="false" customHeight="true" outlineLevel="0" collapsed="false">
      <c r="A133" s="48"/>
      <c r="B133" s="41"/>
      <c r="C133" s="30" t="str">
        <f aca="false">IF(ISNUMBER(B133),B133+15,"")</f>
        <v/>
      </c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43"/>
      <c r="O133" s="41"/>
      <c r="P133" s="35" t="str">
        <f aca="false">IF(A133="","",IF(COUNTIF(D133:L133,"未留存")+COUNTBLANK(D133:L133)=0,"齐全","缺"&amp;(COUNTIF(D133:L133,"未留存")+COUNTBLANK(D133:L133))&amp;"项"))</f>
        <v/>
      </c>
      <c r="Q133" s="35" t="str">
        <f aca="true">IF(NOT(ISNUMBER(B133)),"",IF(ISNUMBER(O133),IF(O133&lt;=C133,"按时","超期"),IF(TODAY()&gt;C133,"已超期未完成","待完成")))</f>
        <v/>
      </c>
      <c r="R133" s="30" t="str">
        <f aca="false">IF(ISNUMBER(B133),EDATE(B133,120),"")</f>
        <v/>
      </c>
      <c r="S133" s="43"/>
    </row>
    <row r="134" customFormat="false" ht="21.75" hidden="false" customHeight="true" outlineLevel="0" collapsed="false">
      <c r="A134" s="48"/>
      <c r="B134" s="41"/>
      <c r="C134" s="30" t="str">
        <f aca="false">IF(ISNUMBER(B134),B134+15,"")</f>
        <v/>
      </c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43"/>
      <c r="O134" s="41"/>
      <c r="P134" s="35" t="str">
        <f aca="false">IF(A134="","",IF(COUNTIF(D134:L134,"未留存")+COUNTBLANK(D134:L134)=0,"齐全","缺"&amp;(COUNTIF(D134:L134,"未留存")+COUNTBLANK(D134:L134))&amp;"项"))</f>
        <v/>
      </c>
      <c r="Q134" s="35" t="str">
        <f aca="true">IF(NOT(ISNUMBER(B134)),"",IF(ISNUMBER(O134),IF(O134&lt;=C134,"按时","超期"),IF(TODAY()&gt;C134,"已超期未完成","待完成")))</f>
        <v/>
      </c>
      <c r="R134" s="30" t="str">
        <f aca="false">IF(ISNUMBER(B134),EDATE(B134,120),"")</f>
        <v/>
      </c>
      <c r="S134" s="43"/>
    </row>
    <row r="135" customFormat="false" ht="21.75" hidden="false" customHeight="true" outlineLevel="0" collapsed="false">
      <c r="A135" s="48"/>
      <c r="B135" s="41"/>
      <c r="C135" s="30" t="str">
        <f aca="false">IF(ISNUMBER(B135),B135+15,"")</f>
        <v/>
      </c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43"/>
      <c r="O135" s="41"/>
      <c r="P135" s="35" t="str">
        <f aca="false">IF(A135="","",IF(COUNTIF(D135:L135,"未留存")+COUNTBLANK(D135:L135)=0,"齐全","缺"&amp;(COUNTIF(D135:L135,"未留存")+COUNTBLANK(D135:L135))&amp;"项"))</f>
        <v/>
      </c>
      <c r="Q135" s="35" t="str">
        <f aca="true">IF(NOT(ISNUMBER(B135)),"",IF(ISNUMBER(O135),IF(O135&lt;=C135,"按时","超期"),IF(TODAY()&gt;C135,"已超期未完成","待完成")))</f>
        <v/>
      </c>
      <c r="R135" s="30" t="str">
        <f aca="false">IF(ISNUMBER(B135),EDATE(B135,120),"")</f>
        <v/>
      </c>
      <c r="S135" s="43"/>
    </row>
    <row r="136" customFormat="false" ht="21.75" hidden="false" customHeight="true" outlineLevel="0" collapsed="false">
      <c r="A136" s="48"/>
      <c r="B136" s="41"/>
      <c r="C136" s="30" t="str">
        <f aca="false">IF(ISNUMBER(B136),B136+15,"")</f>
        <v/>
      </c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43"/>
      <c r="O136" s="41"/>
      <c r="P136" s="35" t="str">
        <f aca="false">IF(A136="","",IF(COUNTIF(D136:L136,"未留存")+COUNTBLANK(D136:L136)=0,"齐全","缺"&amp;(COUNTIF(D136:L136,"未留存")+COUNTBLANK(D136:L136))&amp;"项"))</f>
        <v/>
      </c>
      <c r="Q136" s="35" t="str">
        <f aca="true">IF(NOT(ISNUMBER(B136)),"",IF(ISNUMBER(O136),IF(O136&lt;=C136,"按时","超期"),IF(TODAY()&gt;C136,"已超期未完成","待完成")))</f>
        <v/>
      </c>
      <c r="R136" s="30" t="str">
        <f aca="false">IF(ISNUMBER(B136),EDATE(B136,120),"")</f>
        <v/>
      </c>
      <c r="S136" s="43"/>
    </row>
    <row r="137" customFormat="false" ht="21.75" hidden="false" customHeight="true" outlineLevel="0" collapsed="false">
      <c r="A137" s="48"/>
      <c r="B137" s="41"/>
      <c r="C137" s="30" t="str">
        <f aca="false">IF(ISNUMBER(B137),B137+15,"")</f>
        <v/>
      </c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43"/>
      <c r="O137" s="41"/>
      <c r="P137" s="35" t="str">
        <f aca="false">IF(A137="","",IF(COUNTIF(D137:L137,"未留存")+COUNTBLANK(D137:L137)=0,"齐全","缺"&amp;(COUNTIF(D137:L137,"未留存")+COUNTBLANK(D137:L137))&amp;"项"))</f>
        <v/>
      </c>
      <c r="Q137" s="35" t="str">
        <f aca="true">IF(NOT(ISNUMBER(B137)),"",IF(ISNUMBER(O137),IF(O137&lt;=C137,"按时","超期"),IF(TODAY()&gt;C137,"已超期未完成","待完成")))</f>
        <v/>
      </c>
      <c r="R137" s="30" t="str">
        <f aca="false">IF(ISNUMBER(B137),EDATE(B137,120),"")</f>
        <v/>
      </c>
      <c r="S137" s="43"/>
    </row>
    <row r="138" customFormat="false" ht="21.75" hidden="false" customHeight="true" outlineLevel="0" collapsed="false">
      <c r="A138" s="48"/>
      <c r="B138" s="41"/>
      <c r="C138" s="30" t="str">
        <f aca="false">IF(ISNUMBER(B138),B138+15,"")</f>
        <v/>
      </c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43"/>
      <c r="O138" s="41"/>
      <c r="P138" s="35" t="str">
        <f aca="false">IF(A138="","",IF(COUNTIF(D138:L138,"未留存")+COUNTBLANK(D138:L138)=0,"齐全","缺"&amp;(COUNTIF(D138:L138,"未留存")+COUNTBLANK(D138:L138))&amp;"项"))</f>
        <v/>
      </c>
      <c r="Q138" s="35" t="str">
        <f aca="true">IF(NOT(ISNUMBER(B138)),"",IF(ISNUMBER(O138),IF(O138&lt;=C138,"按时","超期"),IF(TODAY()&gt;C138,"已超期未完成","待完成")))</f>
        <v/>
      </c>
      <c r="R138" s="30" t="str">
        <f aca="false">IF(ISNUMBER(B138),EDATE(B138,120),"")</f>
        <v/>
      </c>
      <c r="S138" s="43"/>
    </row>
    <row r="139" customFormat="false" ht="21.75" hidden="false" customHeight="true" outlineLevel="0" collapsed="false">
      <c r="A139" s="48"/>
      <c r="B139" s="41"/>
      <c r="C139" s="30" t="str">
        <f aca="false">IF(ISNUMBER(B139),B139+15,"")</f>
        <v/>
      </c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43"/>
      <c r="O139" s="41"/>
      <c r="P139" s="35" t="str">
        <f aca="false">IF(A139="","",IF(COUNTIF(D139:L139,"未留存")+COUNTBLANK(D139:L139)=0,"齐全","缺"&amp;(COUNTIF(D139:L139,"未留存")+COUNTBLANK(D139:L139))&amp;"项"))</f>
        <v/>
      </c>
      <c r="Q139" s="35" t="str">
        <f aca="true">IF(NOT(ISNUMBER(B139)),"",IF(ISNUMBER(O139),IF(O139&lt;=C139,"按时","超期"),IF(TODAY()&gt;C139,"已超期未完成","待完成")))</f>
        <v/>
      </c>
      <c r="R139" s="30" t="str">
        <f aca="false">IF(ISNUMBER(B139),EDATE(B139,120),"")</f>
        <v/>
      </c>
      <c r="S139" s="43"/>
    </row>
    <row r="140" customFormat="false" ht="21.75" hidden="false" customHeight="true" outlineLevel="0" collapsed="false">
      <c r="A140" s="48"/>
      <c r="B140" s="41"/>
      <c r="C140" s="30" t="str">
        <f aca="false">IF(ISNUMBER(B140),B140+15,"")</f>
        <v/>
      </c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43"/>
      <c r="O140" s="41"/>
      <c r="P140" s="35" t="str">
        <f aca="false">IF(A140="","",IF(COUNTIF(D140:L140,"未留存")+COUNTBLANK(D140:L140)=0,"齐全","缺"&amp;(COUNTIF(D140:L140,"未留存")+COUNTBLANK(D140:L140))&amp;"项"))</f>
        <v/>
      </c>
      <c r="Q140" s="35" t="str">
        <f aca="true">IF(NOT(ISNUMBER(B140)),"",IF(ISNUMBER(O140),IF(O140&lt;=C140,"按时","超期"),IF(TODAY()&gt;C140,"已超期未完成","待完成")))</f>
        <v/>
      </c>
      <c r="R140" s="30" t="str">
        <f aca="false">IF(ISNUMBER(B140),EDATE(B140,120),"")</f>
        <v/>
      </c>
      <c r="S140" s="43"/>
    </row>
    <row r="141" customFormat="false" ht="21.75" hidden="false" customHeight="true" outlineLevel="0" collapsed="false">
      <c r="A141" s="48"/>
      <c r="B141" s="41"/>
      <c r="C141" s="30" t="str">
        <f aca="false">IF(ISNUMBER(B141),B141+15,"")</f>
        <v/>
      </c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43"/>
      <c r="O141" s="41"/>
      <c r="P141" s="35" t="str">
        <f aca="false">IF(A141="","",IF(COUNTIF(D141:L141,"未留存")+COUNTBLANK(D141:L141)=0,"齐全","缺"&amp;(COUNTIF(D141:L141,"未留存")+COUNTBLANK(D141:L141))&amp;"项"))</f>
        <v/>
      </c>
      <c r="Q141" s="35" t="str">
        <f aca="true">IF(NOT(ISNUMBER(B141)),"",IF(ISNUMBER(O141),IF(O141&lt;=C141,"按时","超期"),IF(TODAY()&gt;C141,"已超期未完成","待完成")))</f>
        <v/>
      </c>
      <c r="R141" s="30" t="str">
        <f aca="false">IF(ISNUMBER(B141),EDATE(B141,120),"")</f>
        <v/>
      </c>
      <c r="S141" s="43"/>
    </row>
    <row r="142" customFormat="false" ht="21.75" hidden="false" customHeight="true" outlineLevel="0" collapsed="false">
      <c r="A142" s="48"/>
      <c r="B142" s="41"/>
      <c r="C142" s="30" t="str">
        <f aca="false">IF(ISNUMBER(B142),B142+15,"")</f>
        <v/>
      </c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43"/>
      <c r="O142" s="41"/>
      <c r="P142" s="35" t="str">
        <f aca="false">IF(A142="","",IF(COUNTIF(D142:L142,"未留存")+COUNTBLANK(D142:L142)=0,"齐全","缺"&amp;(COUNTIF(D142:L142,"未留存")+COUNTBLANK(D142:L142))&amp;"项"))</f>
        <v/>
      </c>
      <c r="Q142" s="35" t="str">
        <f aca="true">IF(NOT(ISNUMBER(B142)),"",IF(ISNUMBER(O142),IF(O142&lt;=C142,"按时","超期"),IF(TODAY()&gt;C142,"已超期未完成","待完成")))</f>
        <v/>
      </c>
      <c r="R142" s="30" t="str">
        <f aca="false">IF(ISNUMBER(B142),EDATE(B142,120),"")</f>
        <v/>
      </c>
      <c r="S142" s="43"/>
    </row>
    <row r="143" customFormat="false" ht="21.75" hidden="false" customHeight="true" outlineLevel="0" collapsed="false">
      <c r="A143" s="48"/>
      <c r="B143" s="41"/>
      <c r="C143" s="30" t="str">
        <f aca="false">IF(ISNUMBER(B143),B143+15,"")</f>
        <v/>
      </c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43"/>
      <c r="O143" s="41"/>
      <c r="P143" s="35" t="str">
        <f aca="false">IF(A143="","",IF(COUNTIF(D143:L143,"未留存")+COUNTBLANK(D143:L143)=0,"齐全","缺"&amp;(COUNTIF(D143:L143,"未留存")+COUNTBLANK(D143:L143))&amp;"项"))</f>
        <v/>
      </c>
      <c r="Q143" s="35" t="str">
        <f aca="true">IF(NOT(ISNUMBER(B143)),"",IF(ISNUMBER(O143),IF(O143&lt;=C143,"按时","超期"),IF(TODAY()&gt;C143,"已超期未完成","待完成")))</f>
        <v/>
      </c>
      <c r="R143" s="30" t="str">
        <f aca="false">IF(ISNUMBER(B143),EDATE(B143,120),"")</f>
        <v/>
      </c>
      <c r="S143" s="43"/>
    </row>
    <row r="144" customFormat="false" ht="21.75" hidden="false" customHeight="true" outlineLevel="0" collapsed="false">
      <c r="A144" s="48"/>
      <c r="B144" s="41"/>
      <c r="C144" s="30" t="str">
        <f aca="false">IF(ISNUMBER(B144),B144+15,"")</f>
        <v/>
      </c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43"/>
      <c r="O144" s="41"/>
      <c r="P144" s="35" t="str">
        <f aca="false">IF(A144="","",IF(COUNTIF(D144:L144,"未留存")+COUNTBLANK(D144:L144)=0,"齐全","缺"&amp;(COUNTIF(D144:L144,"未留存")+COUNTBLANK(D144:L144))&amp;"项"))</f>
        <v/>
      </c>
      <c r="Q144" s="35" t="str">
        <f aca="true">IF(NOT(ISNUMBER(B144)),"",IF(ISNUMBER(O144),IF(O144&lt;=C144,"按时","超期"),IF(TODAY()&gt;C144,"已超期未完成","待完成")))</f>
        <v/>
      </c>
      <c r="R144" s="30" t="str">
        <f aca="false">IF(ISNUMBER(B144),EDATE(B144,120),"")</f>
        <v/>
      </c>
      <c r="S144" s="43"/>
    </row>
    <row r="145" customFormat="false" ht="21.75" hidden="false" customHeight="true" outlineLevel="0" collapsed="false">
      <c r="A145" s="48"/>
      <c r="B145" s="41"/>
      <c r="C145" s="30" t="str">
        <f aca="false">IF(ISNUMBER(B145),B145+15,"")</f>
        <v/>
      </c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43"/>
      <c r="O145" s="41"/>
      <c r="P145" s="35" t="str">
        <f aca="false">IF(A145="","",IF(COUNTIF(D145:L145,"未留存")+COUNTBLANK(D145:L145)=0,"齐全","缺"&amp;(COUNTIF(D145:L145,"未留存")+COUNTBLANK(D145:L145))&amp;"项"))</f>
        <v/>
      </c>
      <c r="Q145" s="35" t="str">
        <f aca="true">IF(NOT(ISNUMBER(B145)),"",IF(ISNUMBER(O145),IF(O145&lt;=C145,"按时","超期"),IF(TODAY()&gt;C145,"已超期未完成","待完成")))</f>
        <v/>
      </c>
      <c r="R145" s="30" t="str">
        <f aca="false">IF(ISNUMBER(B145),EDATE(B145,120),"")</f>
        <v/>
      </c>
      <c r="S145" s="43"/>
    </row>
    <row r="146" customFormat="false" ht="21.75" hidden="false" customHeight="true" outlineLevel="0" collapsed="false">
      <c r="A146" s="48"/>
      <c r="B146" s="41"/>
      <c r="C146" s="30" t="str">
        <f aca="false">IF(ISNUMBER(B146),B146+15,"")</f>
        <v/>
      </c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43"/>
      <c r="O146" s="41"/>
      <c r="P146" s="35" t="str">
        <f aca="false">IF(A146="","",IF(COUNTIF(D146:L146,"未留存")+COUNTBLANK(D146:L146)=0,"齐全","缺"&amp;(COUNTIF(D146:L146,"未留存")+COUNTBLANK(D146:L146))&amp;"项"))</f>
        <v/>
      </c>
      <c r="Q146" s="35" t="str">
        <f aca="true">IF(NOT(ISNUMBER(B146)),"",IF(ISNUMBER(O146),IF(O146&lt;=C146,"按时","超期"),IF(TODAY()&gt;C146,"已超期未完成","待完成")))</f>
        <v/>
      </c>
      <c r="R146" s="30" t="str">
        <f aca="false">IF(ISNUMBER(B146),EDATE(B146,120),"")</f>
        <v/>
      </c>
      <c r="S146" s="43"/>
    </row>
    <row r="147" customFormat="false" ht="21.75" hidden="false" customHeight="true" outlineLevel="0" collapsed="false">
      <c r="A147" s="48"/>
      <c r="B147" s="41"/>
      <c r="C147" s="30" t="str">
        <f aca="false">IF(ISNUMBER(B147),B147+15,"")</f>
        <v/>
      </c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43"/>
      <c r="O147" s="41"/>
      <c r="P147" s="35" t="str">
        <f aca="false">IF(A147="","",IF(COUNTIF(D147:L147,"未留存")+COUNTBLANK(D147:L147)=0,"齐全","缺"&amp;(COUNTIF(D147:L147,"未留存")+COUNTBLANK(D147:L147))&amp;"项"))</f>
        <v/>
      </c>
      <c r="Q147" s="35" t="str">
        <f aca="true">IF(NOT(ISNUMBER(B147)),"",IF(ISNUMBER(O147),IF(O147&lt;=C147,"按时","超期"),IF(TODAY()&gt;C147,"已超期未完成","待完成")))</f>
        <v/>
      </c>
      <c r="R147" s="30" t="str">
        <f aca="false">IF(ISNUMBER(B147),EDATE(B147,120),"")</f>
        <v/>
      </c>
      <c r="S147" s="43"/>
    </row>
    <row r="148" customFormat="false" ht="21.75" hidden="false" customHeight="true" outlineLevel="0" collapsed="false">
      <c r="A148" s="48"/>
      <c r="B148" s="41"/>
      <c r="C148" s="30" t="str">
        <f aca="false">IF(ISNUMBER(B148),B148+15,"")</f>
        <v/>
      </c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43"/>
      <c r="O148" s="41"/>
      <c r="P148" s="35" t="str">
        <f aca="false">IF(A148="","",IF(COUNTIF(D148:L148,"未留存")+COUNTBLANK(D148:L148)=0,"齐全","缺"&amp;(COUNTIF(D148:L148,"未留存")+COUNTBLANK(D148:L148))&amp;"项"))</f>
        <v/>
      </c>
      <c r="Q148" s="35" t="str">
        <f aca="true">IF(NOT(ISNUMBER(B148)),"",IF(ISNUMBER(O148),IF(O148&lt;=C148,"按时","超期"),IF(TODAY()&gt;C148,"已超期未完成","待完成")))</f>
        <v/>
      </c>
      <c r="R148" s="30" t="str">
        <f aca="false">IF(ISNUMBER(B148),EDATE(B148,120),"")</f>
        <v/>
      </c>
      <c r="S148" s="43"/>
    </row>
    <row r="149" customFormat="false" ht="21.75" hidden="false" customHeight="true" outlineLevel="0" collapsed="false">
      <c r="A149" s="48"/>
      <c r="B149" s="41"/>
      <c r="C149" s="30" t="str">
        <f aca="false">IF(ISNUMBER(B149),B149+15,"")</f>
        <v/>
      </c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43"/>
      <c r="O149" s="41"/>
      <c r="P149" s="35" t="str">
        <f aca="false">IF(A149="","",IF(COUNTIF(D149:L149,"未留存")+COUNTBLANK(D149:L149)=0,"齐全","缺"&amp;(COUNTIF(D149:L149,"未留存")+COUNTBLANK(D149:L149))&amp;"项"))</f>
        <v/>
      </c>
      <c r="Q149" s="35" t="str">
        <f aca="true">IF(NOT(ISNUMBER(B149)),"",IF(ISNUMBER(O149),IF(O149&lt;=C149,"按时","超期"),IF(TODAY()&gt;C149,"已超期未完成","待完成")))</f>
        <v/>
      </c>
      <c r="R149" s="30" t="str">
        <f aca="false">IF(ISNUMBER(B149),EDATE(B149,120),"")</f>
        <v/>
      </c>
      <c r="S149" s="43"/>
    </row>
    <row r="150" customFormat="false" ht="21.75" hidden="false" customHeight="true" outlineLevel="0" collapsed="false">
      <c r="A150" s="48"/>
      <c r="B150" s="41"/>
      <c r="C150" s="30" t="str">
        <f aca="false">IF(ISNUMBER(B150),B150+15,"")</f>
        <v/>
      </c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43"/>
      <c r="O150" s="41"/>
      <c r="P150" s="35" t="str">
        <f aca="false">IF(A150="","",IF(COUNTIF(D150:L150,"未留存")+COUNTBLANK(D150:L150)=0,"齐全","缺"&amp;(COUNTIF(D150:L150,"未留存")+COUNTBLANK(D150:L150))&amp;"项"))</f>
        <v/>
      </c>
      <c r="Q150" s="35" t="str">
        <f aca="true">IF(NOT(ISNUMBER(B150)),"",IF(ISNUMBER(O150),IF(O150&lt;=C150,"按时","超期"),IF(TODAY()&gt;C150,"已超期未完成","待完成")))</f>
        <v/>
      </c>
      <c r="R150" s="30" t="str">
        <f aca="false">IF(ISNUMBER(B150),EDATE(B150,120),"")</f>
        <v/>
      </c>
      <c r="S150" s="43"/>
    </row>
    <row r="151" customFormat="false" ht="21.75" hidden="false" customHeight="true" outlineLevel="0" collapsed="false">
      <c r="A151" s="48"/>
      <c r="B151" s="41"/>
      <c r="C151" s="30" t="str">
        <f aca="false">IF(ISNUMBER(B151),B151+15,"")</f>
        <v/>
      </c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43"/>
      <c r="O151" s="41"/>
      <c r="P151" s="35" t="str">
        <f aca="false">IF(A151="","",IF(COUNTIF(D151:L151,"未留存")+COUNTBLANK(D151:L151)=0,"齐全","缺"&amp;(COUNTIF(D151:L151,"未留存")+COUNTBLANK(D151:L151))&amp;"项"))</f>
        <v/>
      </c>
      <c r="Q151" s="35" t="str">
        <f aca="true">IF(NOT(ISNUMBER(B151)),"",IF(ISNUMBER(O151),IF(O151&lt;=C151,"按时","超期"),IF(TODAY()&gt;C151,"已超期未完成","待完成")))</f>
        <v/>
      </c>
      <c r="R151" s="30" t="str">
        <f aca="false">IF(ISNUMBER(B151),EDATE(B151,120),"")</f>
        <v/>
      </c>
      <c r="S151" s="43"/>
    </row>
    <row r="152" customFormat="false" ht="21.75" hidden="false" customHeight="true" outlineLevel="0" collapsed="false">
      <c r="A152" s="48"/>
      <c r="B152" s="41"/>
      <c r="C152" s="30" t="str">
        <f aca="false">IF(ISNUMBER(B152),B152+15,"")</f>
        <v/>
      </c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43"/>
      <c r="O152" s="41"/>
      <c r="P152" s="35" t="str">
        <f aca="false">IF(A152="","",IF(COUNTIF(D152:L152,"未留存")+COUNTBLANK(D152:L152)=0,"齐全","缺"&amp;(COUNTIF(D152:L152,"未留存")+COUNTBLANK(D152:L152))&amp;"项"))</f>
        <v/>
      </c>
      <c r="Q152" s="35" t="str">
        <f aca="true">IF(NOT(ISNUMBER(B152)),"",IF(ISNUMBER(O152),IF(O152&lt;=C152,"按时","超期"),IF(TODAY()&gt;C152,"已超期未完成","待完成")))</f>
        <v/>
      </c>
      <c r="R152" s="30" t="str">
        <f aca="false">IF(ISNUMBER(B152),EDATE(B152,120),"")</f>
        <v/>
      </c>
      <c r="S152" s="43"/>
    </row>
    <row r="153" customFormat="false" ht="21.75" hidden="false" customHeight="true" outlineLevel="0" collapsed="false">
      <c r="A153" s="48"/>
      <c r="B153" s="41"/>
      <c r="C153" s="30" t="str">
        <f aca="false">IF(ISNUMBER(B153),B153+15,"")</f>
        <v/>
      </c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43"/>
      <c r="O153" s="41"/>
      <c r="P153" s="35" t="str">
        <f aca="false">IF(A153="","",IF(COUNTIF(D153:L153,"未留存")+COUNTBLANK(D153:L153)=0,"齐全","缺"&amp;(COUNTIF(D153:L153,"未留存")+COUNTBLANK(D153:L153))&amp;"项"))</f>
        <v/>
      </c>
      <c r="Q153" s="35" t="str">
        <f aca="true">IF(NOT(ISNUMBER(B153)),"",IF(ISNUMBER(O153),IF(O153&lt;=C153,"按时","超期"),IF(TODAY()&gt;C153,"已超期未完成","待完成")))</f>
        <v/>
      </c>
      <c r="R153" s="30" t="str">
        <f aca="false">IF(ISNUMBER(B153),EDATE(B153,120),"")</f>
        <v/>
      </c>
      <c r="S153" s="43"/>
    </row>
    <row r="154" customFormat="false" ht="21.75" hidden="false" customHeight="true" outlineLevel="0" collapsed="false">
      <c r="A154" s="48"/>
      <c r="B154" s="41"/>
      <c r="C154" s="30" t="str">
        <f aca="false">IF(ISNUMBER(B154),B154+15,"")</f>
        <v/>
      </c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43"/>
      <c r="O154" s="41"/>
      <c r="P154" s="35" t="str">
        <f aca="false">IF(A154="","",IF(COUNTIF(D154:L154,"未留存")+COUNTBLANK(D154:L154)=0,"齐全","缺"&amp;(COUNTIF(D154:L154,"未留存")+COUNTBLANK(D154:L154))&amp;"项"))</f>
        <v/>
      </c>
      <c r="Q154" s="35" t="str">
        <f aca="true">IF(NOT(ISNUMBER(B154)),"",IF(ISNUMBER(O154),IF(O154&lt;=C154,"按时","超期"),IF(TODAY()&gt;C154,"已超期未完成","待完成")))</f>
        <v/>
      </c>
      <c r="R154" s="30" t="str">
        <f aca="false">IF(ISNUMBER(B154),EDATE(B154,120),"")</f>
        <v/>
      </c>
      <c r="S154" s="43"/>
    </row>
    <row r="155" customFormat="false" ht="21.75" hidden="false" customHeight="true" outlineLevel="0" collapsed="false">
      <c r="A155" s="48"/>
      <c r="B155" s="41"/>
      <c r="C155" s="30" t="str">
        <f aca="false">IF(ISNUMBER(B155),B155+15,"")</f>
        <v/>
      </c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43"/>
      <c r="O155" s="41"/>
      <c r="P155" s="35" t="str">
        <f aca="false">IF(A155="","",IF(COUNTIF(D155:L155,"未留存")+COUNTBLANK(D155:L155)=0,"齐全","缺"&amp;(COUNTIF(D155:L155,"未留存")+COUNTBLANK(D155:L155))&amp;"项"))</f>
        <v/>
      </c>
      <c r="Q155" s="35" t="str">
        <f aca="true">IF(NOT(ISNUMBER(B155)),"",IF(ISNUMBER(O155),IF(O155&lt;=C155,"按时","超期"),IF(TODAY()&gt;C155,"已超期未完成","待完成")))</f>
        <v/>
      </c>
      <c r="R155" s="30" t="str">
        <f aca="false">IF(ISNUMBER(B155),EDATE(B155,120),"")</f>
        <v/>
      </c>
      <c r="S155" s="43"/>
    </row>
    <row r="156" customFormat="false" ht="21.75" hidden="false" customHeight="true" outlineLevel="0" collapsed="false">
      <c r="A156" s="48"/>
      <c r="B156" s="41"/>
      <c r="C156" s="30" t="str">
        <f aca="false">IF(ISNUMBER(B156),B156+15,"")</f>
        <v/>
      </c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43"/>
      <c r="O156" s="41"/>
      <c r="P156" s="35" t="str">
        <f aca="false">IF(A156="","",IF(COUNTIF(D156:L156,"未留存")+COUNTBLANK(D156:L156)=0,"齐全","缺"&amp;(COUNTIF(D156:L156,"未留存")+COUNTBLANK(D156:L156))&amp;"项"))</f>
        <v/>
      </c>
      <c r="Q156" s="35" t="str">
        <f aca="true">IF(NOT(ISNUMBER(B156)),"",IF(ISNUMBER(O156),IF(O156&lt;=C156,"按时","超期"),IF(TODAY()&gt;C156,"已超期未完成","待完成")))</f>
        <v/>
      </c>
      <c r="R156" s="30" t="str">
        <f aca="false">IF(ISNUMBER(B156),EDATE(B156,120),"")</f>
        <v/>
      </c>
      <c r="S156" s="43"/>
    </row>
    <row r="157" customFormat="false" ht="21.75" hidden="false" customHeight="true" outlineLevel="0" collapsed="false">
      <c r="A157" s="48"/>
      <c r="B157" s="41"/>
      <c r="C157" s="30" t="str">
        <f aca="false">IF(ISNUMBER(B157),B157+15,"")</f>
        <v/>
      </c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43"/>
      <c r="O157" s="41"/>
      <c r="P157" s="35" t="str">
        <f aca="false">IF(A157="","",IF(COUNTIF(D157:L157,"未留存")+COUNTBLANK(D157:L157)=0,"齐全","缺"&amp;(COUNTIF(D157:L157,"未留存")+COUNTBLANK(D157:L157))&amp;"项"))</f>
        <v/>
      </c>
      <c r="Q157" s="35" t="str">
        <f aca="true">IF(NOT(ISNUMBER(B157)),"",IF(ISNUMBER(O157),IF(O157&lt;=C157,"按时","超期"),IF(TODAY()&gt;C157,"已超期未完成","待完成")))</f>
        <v/>
      </c>
      <c r="R157" s="30" t="str">
        <f aca="false">IF(ISNUMBER(B157),EDATE(B157,120),"")</f>
        <v/>
      </c>
      <c r="S157" s="43"/>
    </row>
    <row r="158" customFormat="false" ht="21.75" hidden="false" customHeight="true" outlineLevel="0" collapsed="false">
      <c r="A158" s="48"/>
      <c r="B158" s="41"/>
      <c r="C158" s="30" t="str">
        <f aca="false">IF(ISNUMBER(B158),B158+15,"")</f>
        <v/>
      </c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43"/>
      <c r="O158" s="41"/>
      <c r="P158" s="35" t="str">
        <f aca="false">IF(A158="","",IF(COUNTIF(D158:L158,"未留存")+COUNTBLANK(D158:L158)=0,"齐全","缺"&amp;(COUNTIF(D158:L158,"未留存")+COUNTBLANK(D158:L158))&amp;"项"))</f>
        <v/>
      </c>
      <c r="Q158" s="35" t="str">
        <f aca="true">IF(NOT(ISNUMBER(B158)),"",IF(ISNUMBER(O158),IF(O158&lt;=C158,"按时","超期"),IF(TODAY()&gt;C158,"已超期未完成","待完成")))</f>
        <v/>
      </c>
      <c r="R158" s="30" t="str">
        <f aca="false">IF(ISNUMBER(B158),EDATE(B158,120),"")</f>
        <v/>
      </c>
      <c r="S158" s="43"/>
    </row>
    <row r="159" customFormat="false" ht="21.75" hidden="false" customHeight="true" outlineLevel="0" collapsed="false">
      <c r="A159" s="48"/>
      <c r="B159" s="41"/>
      <c r="C159" s="30" t="str">
        <f aca="false">IF(ISNUMBER(B159),B159+15,"")</f>
        <v/>
      </c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43"/>
      <c r="O159" s="41"/>
      <c r="P159" s="35" t="str">
        <f aca="false">IF(A159="","",IF(COUNTIF(D159:L159,"未留存")+COUNTBLANK(D159:L159)=0,"齐全","缺"&amp;(COUNTIF(D159:L159,"未留存")+COUNTBLANK(D159:L159))&amp;"项"))</f>
        <v/>
      </c>
      <c r="Q159" s="35" t="str">
        <f aca="true">IF(NOT(ISNUMBER(B159)),"",IF(ISNUMBER(O159),IF(O159&lt;=C159,"按时","超期"),IF(TODAY()&gt;C159,"已超期未完成","待完成")))</f>
        <v/>
      </c>
      <c r="R159" s="30" t="str">
        <f aca="false">IF(ISNUMBER(B159),EDATE(B159,120),"")</f>
        <v/>
      </c>
      <c r="S159" s="43"/>
    </row>
    <row r="160" customFormat="false" ht="21.75" hidden="false" customHeight="true" outlineLevel="0" collapsed="false">
      <c r="A160" s="48"/>
      <c r="B160" s="41"/>
      <c r="C160" s="30" t="str">
        <f aca="false">IF(ISNUMBER(B160),B160+15,"")</f>
        <v/>
      </c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43"/>
      <c r="O160" s="41"/>
      <c r="P160" s="35" t="str">
        <f aca="false">IF(A160="","",IF(COUNTIF(D160:L160,"未留存")+COUNTBLANK(D160:L160)=0,"齐全","缺"&amp;(COUNTIF(D160:L160,"未留存")+COUNTBLANK(D160:L160))&amp;"项"))</f>
        <v/>
      </c>
      <c r="Q160" s="35" t="str">
        <f aca="true">IF(NOT(ISNUMBER(B160)),"",IF(ISNUMBER(O160),IF(O160&lt;=C160,"按时","超期"),IF(TODAY()&gt;C160,"已超期未完成","待完成")))</f>
        <v/>
      </c>
      <c r="R160" s="30" t="str">
        <f aca="false">IF(ISNUMBER(B160),EDATE(B160,120),"")</f>
        <v/>
      </c>
      <c r="S160" s="43"/>
    </row>
    <row r="161" customFormat="false" ht="21.75" hidden="false" customHeight="true" outlineLevel="0" collapsed="false">
      <c r="A161" s="48"/>
      <c r="B161" s="41"/>
      <c r="C161" s="30" t="str">
        <f aca="false">IF(ISNUMBER(B161),B161+15,"")</f>
        <v/>
      </c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43"/>
      <c r="O161" s="41"/>
      <c r="P161" s="35" t="str">
        <f aca="false">IF(A161="","",IF(COUNTIF(D161:L161,"未留存")+COUNTBLANK(D161:L161)=0,"齐全","缺"&amp;(COUNTIF(D161:L161,"未留存")+COUNTBLANK(D161:L161))&amp;"项"))</f>
        <v/>
      </c>
      <c r="Q161" s="35" t="str">
        <f aca="true">IF(NOT(ISNUMBER(B161)),"",IF(ISNUMBER(O161),IF(O161&lt;=C161,"按时","超期"),IF(TODAY()&gt;C161,"已超期未完成","待完成")))</f>
        <v/>
      </c>
      <c r="R161" s="30" t="str">
        <f aca="false">IF(ISNUMBER(B161),EDATE(B161,120),"")</f>
        <v/>
      </c>
      <c r="S161" s="43"/>
    </row>
    <row r="162" customFormat="false" ht="21.75" hidden="false" customHeight="true" outlineLevel="0" collapsed="false">
      <c r="A162" s="48"/>
      <c r="B162" s="41"/>
      <c r="C162" s="30" t="str">
        <f aca="false">IF(ISNUMBER(B162),B162+15,"")</f>
        <v/>
      </c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43"/>
      <c r="O162" s="41"/>
      <c r="P162" s="35" t="str">
        <f aca="false">IF(A162="","",IF(COUNTIF(D162:L162,"未留存")+COUNTBLANK(D162:L162)=0,"齐全","缺"&amp;(COUNTIF(D162:L162,"未留存")+COUNTBLANK(D162:L162))&amp;"项"))</f>
        <v/>
      </c>
      <c r="Q162" s="35" t="str">
        <f aca="true">IF(NOT(ISNUMBER(B162)),"",IF(ISNUMBER(O162),IF(O162&lt;=C162,"按时","超期"),IF(TODAY()&gt;C162,"已超期未完成","待完成")))</f>
        <v/>
      </c>
      <c r="R162" s="30" t="str">
        <f aca="false">IF(ISNUMBER(B162),EDATE(B162,120),"")</f>
        <v/>
      </c>
      <c r="S162" s="43"/>
    </row>
    <row r="163" customFormat="false" ht="21.75" hidden="false" customHeight="true" outlineLevel="0" collapsed="false">
      <c r="A163" s="48"/>
      <c r="B163" s="41"/>
      <c r="C163" s="30" t="str">
        <f aca="false">IF(ISNUMBER(B163),B163+15,"")</f>
        <v/>
      </c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43"/>
      <c r="O163" s="41"/>
      <c r="P163" s="35" t="str">
        <f aca="false">IF(A163="","",IF(COUNTIF(D163:L163,"未留存")+COUNTBLANK(D163:L163)=0,"齐全","缺"&amp;(COUNTIF(D163:L163,"未留存")+COUNTBLANK(D163:L163))&amp;"项"))</f>
        <v/>
      </c>
      <c r="Q163" s="35" t="str">
        <f aca="true">IF(NOT(ISNUMBER(B163)),"",IF(ISNUMBER(O163),IF(O163&lt;=C163,"按时","超期"),IF(TODAY()&gt;C163,"已超期未完成","待完成")))</f>
        <v/>
      </c>
      <c r="R163" s="30" t="str">
        <f aca="false">IF(ISNUMBER(B163),EDATE(B163,120),"")</f>
        <v/>
      </c>
      <c r="S163" s="43"/>
    </row>
    <row r="164" customFormat="false" ht="21.75" hidden="false" customHeight="true" outlineLevel="0" collapsed="false">
      <c r="A164" s="48"/>
      <c r="B164" s="41"/>
      <c r="C164" s="30" t="str">
        <f aca="false">IF(ISNUMBER(B164),B164+15,"")</f>
        <v/>
      </c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43"/>
      <c r="O164" s="41"/>
      <c r="P164" s="35" t="str">
        <f aca="false">IF(A164="","",IF(COUNTIF(D164:L164,"未留存")+COUNTBLANK(D164:L164)=0,"齐全","缺"&amp;(COUNTIF(D164:L164,"未留存")+COUNTBLANK(D164:L164))&amp;"项"))</f>
        <v/>
      </c>
      <c r="Q164" s="35" t="str">
        <f aca="true">IF(NOT(ISNUMBER(B164)),"",IF(ISNUMBER(O164),IF(O164&lt;=C164,"按时","超期"),IF(TODAY()&gt;C164,"已超期未完成","待完成")))</f>
        <v/>
      </c>
      <c r="R164" s="30" t="str">
        <f aca="false">IF(ISNUMBER(B164),EDATE(B164,120),"")</f>
        <v/>
      </c>
      <c r="S164" s="43"/>
    </row>
    <row r="165" customFormat="false" ht="21.75" hidden="false" customHeight="true" outlineLevel="0" collapsed="false">
      <c r="A165" s="48"/>
      <c r="B165" s="41"/>
      <c r="C165" s="30" t="str">
        <f aca="false">IF(ISNUMBER(B165),B165+15,"")</f>
        <v/>
      </c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43"/>
      <c r="O165" s="41"/>
      <c r="P165" s="35" t="str">
        <f aca="false">IF(A165="","",IF(COUNTIF(D165:L165,"未留存")+COUNTBLANK(D165:L165)=0,"齐全","缺"&amp;(COUNTIF(D165:L165,"未留存")+COUNTBLANK(D165:L165))&amp;"项"))</f>
        <v/>
      </c>
      <c r="Q165" s="35" t="str">
        <f aca="true">IF(NOT(ISNUMBER(B165)),"",IF(ISNUMBER(O165),IF(O165&lt;=C165,"按时","超期"),IF(TODAY()&gt;C165,"已超期未完成","待完成")))</f>
        <v/>
      </c>
      <c r="R165" s="30" t="str">
        <f aca="false">IF(ISNUMBER(B165),EDATE(B165,120),"")</f>
        <v/>
      </c>
      <c r="S165" s="43"/>
    </row>
    <row r="166" customFormat="false" ht="21.75" hidden="false" customHeight="true" outlineLevel="0" collapsed="false">
      <c r="A166" s="48"/>
      <c r="B166" s="41"/>
      <c r="C166" s="30" t="str">
        <f aca="false">IF(ISNUMBER(B166),B166+15,"")</f>
        <v/>
      </c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43"/>
      <c r="O166" s="41"/>
      <c r="P166" s="35" t="str">
        <f aca="false">IF(A166="","",IF(COUNTIF(D166:L166,"未留存")+COUNTBLANK(D166:L166)=0,"齐全","缺"&amp;(COUNTIF(D166:L166,"未留存")+COUNTBLANK(D166:L166))&amp;"项"))</f>
        <v/>
      </c>
      <c r="Q166" s="35" t="str">
        <f aca="true">IF(NOT(ISNUMBER(B166)),"",IF(ISNUMBER(O166),IF(O166&lt;=C166,"按时","超期"),IF(TODAY()&gt;C166,"已超期未完成","待完成")))</f>
        <v/>
      </c>
      <c r="R166" s="30" t="str">
        <f aca="false">IF(ISNUMBER(B166),EDATE(B166,120),"")</f>
        <v/>
      </c>
      <c r="S166" s="43"/>
    </row>
    <row r="167" customFormat="false" ht="21.75" hidden="false" customHeight="true" outlineLevel="0" collapsed="false">
      <c r="A167" s="48"/>
      <c r="B167" s="41"/>
      <c r="C167" s="30" t="str">
        <f aca="false">IF(ISNUMBER(B167),B167+15,"")</f>
        <v/>
      </c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43"/>
      <c r="O167" s="41"/>
      <c r="P167" s="35" t="str">
        <f aca="false">IF(A167="","",IF(COUNTIF(D167:L167,"未留存")+COUNTBLANK(D167:L167)=0,"齐全","缺"&amp;(COUNTIF(D167:L167,"未留存")+COUNTBLANK(D167:L167))&amp;"项"))</f>
        <v/>
      </c>
      <c r="Q167" s="35" t="str">
        <f aca="true">IF(NOT(ISNUMBER(B167)),"",IF(ISNUMBER(O167),IF(O167&lt;=C167,"按时","超期"),IF(TODAY()&gt;C167,"已超期未完成","待完成")))</f>
        <v/>
      </c>
      <c r="R167" s="30" t="str">
        <f aca="false">IF(ISNUMBER(B167),EDATE(B167,120),"")</f>
        <v/>
      </c>
      <c r="S167" s="43"/>
    </row>
    <row r="168" customFormat="false" ht="21.75" hidden="false" customHeight="true" outlineLevel="0" collapsed="false">
      <c r="A168" s="48"/>
      <c r="B168" s="41"/>
      <c r="C168" s="30" t="str">
        <f aca="false">IF(ISNUMBER(B168),B168+15,"")</f>
        <v/>
      </c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43"/>
      <c r="O168" s="41"/>
      <c r="P168" s="35" t="str">
        <f aca="false">IF(A168="","",IF(COUNTIF(D168:L168,"未留存")+COUNTBLANK(D168:L168)=0,"齐全","缺"&amp;(COUNTIF(D168:L168,"未留存")+COUNTBLANK(D168:L168))&amp;"项"))</f>
        <v/>
      </c>
      <c r="Q168" s="35" t="str">
        <f aca="true">IF(NOT(ISNUMBER(B168)),"",IF(ISNUMBER(O168),IF(O168&lt;=C168,"按时","超期"),IF(TODAY()&gt;C168,"已超期未完成","待完成")))</f>
        <v/>
      </c>
      <c r="R168" s="30" t="str">
        <f aca="false">IF(ISNUMBER(B168),EDATE(B168,120),"")</f>
        <v/>
      </c>
      <c r="S168" s="43"/>
    </row>
    <row r="169" customFormat="false" ht="21.75" hidden="false" customHeight="true" outlineLevel="0" collapsed="false">
      <c r="A169" s="48"/>
      <c r="B169" s="41"/>
      <c r="C169" s="30" t="str">
        <f aca="false">IF(ISNUMBER(B169),B169+15,"")</f>
        <v/>
      </c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43"/>
      <c r="O169" s="41"/>
      <c r="P169" s="35" t="str">
        <f aca="false">IF(A169="","",IF(COUNTIF(D169:L169,"未留存")+COUNTBLANK(D169:L169)=0,"齐全","缺"&amp;(COUNTIF(D169:L169,"未留存")+COUNTBLANK(D169:L169))&amp;"项"))</f>
        <v/>
      </c>
      <c r="Q169" s="35" t="str">
        <f aca="true">IF(NOT(ISNUMBER(B169)),"",IF(ISNUMBER(O169),IF(O169&lt;=C169,"按时","超期"),IF(TODAY()&gt;C169,"已超期未完成","待完成")))</f>
        <v/>
      </c>
      <c r="R169" s="30" t="str">
        <f aca="false">IF(ISNUMBER(B169),EDATE(B169,120),"")</f>
        <v/>
      </c>
      <c r="S169" s="43"/>
    </row>
    <row r="170" customFormat="false" ht="21.75" hidden="false" customHeight="true" outlineLevel="0" collapsed="false">
      <c r="A170" s="48"/>
      <c r="B170" s="41"/>
      <c r="C170" s="30" t="str">
        <f aca="false">IF(ISNUMBER(B170),B170+15,"")</f>
        <v/>
      </c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43"/>
      <c r="O170" s="41"/>
      <c r="P170" s="35" t="str">
        <f aca="false">IF(A170="","",IF(COUNTIF(D170:L170,"未留存")+COUNTBLANK(D170:L170)=0,"齐全","缺"&amp;(COUNTIF(D170:L170,"未留存")+COUNTBLANK(D170:L170))&amp;"项"))</f>
        <v/>
      </c>
      <c r="Q170" s="35" t="str">
        <f aca="true">IF(NOT(ISNUMBER(B170)),"",IF(ISNUMBER(O170),IF(O170&lt;=C170,"按时","超期"),IF(TODAY()&gt;C170,"已超期未完成","待完成")))</f>
        <v/>
      </c>
      <c r="R170" s="30" t="str">
        <f aca="false">IF(ISNUMBER(B170),EDATE(B170,120),"")</f>
        <v/>
      </c>
      <c r="S170" s="43"/>
    </row>
    <row r="171" customFormat="false" ht="21.75" hidden="false" customHeight="true" outlineLevel="0" collapsed="false">
      <c r="A171" s="48"/>
      <c r="B171" s="41"/>
      <c r="C171" s="30" t="str">
        <f aca="false">IF(ISNUMBER(B171),B171+15,"")</f>
        <v/>
      </c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43"/>
      <c r="O171" s="41"/>
      <c r="P171" s="35" t="str">
        <f aca="false">IF(A171="","",IF(COUNTIF(D171:L171,"未留存")+COUNTBLANK(D171:L171)=0,"齐全","缺"&amp;(COUNTIF(D171:L171,"未留存")+COUNTBLANK(D171:L171))&amp;"项"))</f>
        <v/>
      </c>
      <c r="Q171" s="35" t="str">
        <f aca="true">IF(NOT(ISNUMBER(B171)),"",IF(ISNUMBER(O171),IF(O171&lt;=C171,"按时","超期"),IF(TODAY()&gt;C171,"已超期未完成","待完成")))</f>
        <v/>
      </c>
      <c r="R171" s="30" t="str">
        <f aca="false">IF(ISNUMBER(B171),EDATE(B171,120),"")</f>
        <v/>
      </c>
      <c r="S171" s="43"/>
    </row>
    <row r="172" customFormat="false" ht="21.75" hidden="false" customHeight="true" outlineLevel="0" collapsed="false">
      <c r="A172" s="48"/>
      <c r="B172" s="41"/>
      <c r="C172" s="30" t="str">
        <f aca="false">IF(ISNUMBER(B172),B172+15,"")</f>
        <v/>
      </c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43"/>
      <c r="O172" s="41"/>
      <c r="P172" s="35" t="str">
        <f aca="false">IF(A172="","",IF(COUNTIF(D172:L172,"未留存")+COUNTBLANK(D172:L172)=0,"齐全","缺"&amp;(COUNTIF(D172:L172,"未留存")+COUNTBLANK(D172:L172))&amp;"项"))</f>
        <v/>
      </c>
      <c r="Q172" s="35" t="str">
        <f aca="true">IF(NOT(ISNUMBER(B172)),"",IF(ISNUMBER(O172),IF(O172&lt;=C172,"按时","超期"),IF(TODAY()&gt;C172,"已超期未完成","待完成")))</f>
        <v/>
      </c>
      <c r="R172" s="30" t="str">
        <f aca="false">IF(ISNUMBER(B172),EDATE(B172,120),"")</f>
        <v/>
      </c>
      <c r="S172" s="43"/>
    </row>
    <row r="173" customFormat="false" ht="21.75" hidden="false" customHeight="true" outlineLevel="0" collapsed="false">
      <c r="A173" s="48"/>
      <c r="B173" s="41"/>
      <c r="C173" s="30" t="str">
        <f aca="false">IF(ISNUMBER(B173),B173+15,"")</f>
        <v/>
      </c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43"/>
      <c r="O173" s="41"/>
      <c r="P173" s="35" t="str">
        <f aca="false">IF(A173="","",IF(COUNTIF(D173:L173,"未留存")+COUNTBLANK(D173:L173)=0,"齐全","缺"&amp;(COUNTIF(D173:L173,"未留存")+COUNTBLANK(D173:L173))&amp;"项"))</f>
        <v/>
      </c>
      <c r="Q173" s="35" t="str">
        <f aca="true">IF(NOT(ISNUMBER(B173)),"",IF(ISNUMBER(O173),IF(O173&lt;=C173,"按时","超期"),IF(TODAY()&gt;C173,"已超期未完成","待完成")))</f>
        <v/>
      </c>
      <c r="R173" s="30" t="str">
        <f aca="false">IF(ISNUMBER(B173),EDATE(B173,120),"")</f>
        <v/>
      </c>
      <c r="S173" s="43"/>
    </row>
    <row r="174" customFormat="false" ht="21.75" hidden="false" customHeight="true" outlineLevel="0" collapsed="false">
      <c r="A174" s="48"/>
      <c r="B174" s="41"/>
      <c r="C174" s="30" t="str">
        <f aca="false">IF(ISNUMBER(B174),B174+15,"")</f>
        <v/>
      </c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43"/>
      <c r="O174" s="41"/>
      <c r="P174" s="35" t="str">
        <f aca="false">IF(A174="","",IF(COUNTIF(D174:L174,"未留存")+COUNTBLANK(D174:L174)=0,"齐全","缺"&amp;(COUNTIF(D174:L174,"未留存")+COUNTBLANK(D174:L174))&amp;"项"))</f>
        <v/>
      </c>
      <c r="Q174" s="35" t="str">
        <f aca="true">IF(NOT(ISNUMBER(B174)),"",IF(ISNUMBER(O174),IF(O174&lt;=C174,"按时","超期"),IF(TODAY()&gt;C174,"已超期未完成","待完成")))</f>
        <v/>
      </c>
      <c r="R174" s="30" t="str">
        <f aca="false">IF(ISNUMBER(B174),EDATE(B174,120),"")</f>
        <v/>
      </c>
      <c r="S174" s="43"/>
    </row>
    <row r="175" customFormat="false" ht="21.75" hidden="false" customHeight="true" outlineLevel="0" collapsed="false">
      <c r="A175" s="48"/>
      <c r="B175" s="41"/>
      <c r="C175" s="30" t="str">
        <f aca="false">IF(ISNUMBER(B175),B175+15,"")</f>
        <v/>
      </c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43"/>
      <c r="O175" s="41"/>
      <c r="P175" s="35" t="str">
        <f aca="false">IF(A175="","",IF(COUNTIF(D175:L175,"未留存")+COUNTBLANK(D175:L175)=0,"齐全","缺"&amp;(COUNTIF(D175:L175,"未留存")+COUNTBLANK(D175:L175))&amp;"项"))</f>
        <v/>
      </c>
      <c r="Q175" s="35" t="str">
        <f aca="true">IF(NOT(ISNUMBER(B175)),"",IF(ISNUMBER(O175),IF(O175&lt;=C175,"按时","超期"),IF(TODAY()&gt;C175,"已超期未完成","待完成")))</f>
        <v/>
      </c>
      <c r="R175" s="30" t="str">
        <f aca="false">IF(ISNUMBER(B175),EDATE(B175,120),"")</f>
        <v/>
      </c>
      <c r="S175" s="43"/>
    </row>
    <row r="176" customFormat="false" ht="21.75" hidden="false" customHeight="true" outlineLevel="0" collapsed="false">
      <c r="A176" s="48"/>
      <c r="B176" s="41"/>
      <c r="C176" s="30" t="str">
        <f aca="false">IF(ISNUMBER(B176),B176+15,"")</f>
        <v/>
      </c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43"/>
      <c r="O176" s="41"/>
      <c r="P176" s="35" t="str">
        <f aca="false">IF(A176="","",IF(COUNTIF(D176:L176,"未留存")+COUNTBLANK(D176:L176)=0,"齐全","缺"&amp;(COUNTIF(D176:L176,"未留存")+COUNTBLANK(D176:L176))&amp;"项"))</f>
        <v/>
      </c>
      <c r="Q176" s="35" t="str">
        <f aca="true">IF(NOT(ISNUMBER(B176)),"",IF(ISNUMBER(O176),IF(O176&lt;=C176,"按时","超期"),IF(TODAY()&gt;C176,"已超期未完成","待完成")))</f>
        <v/>
      </c>
      <c r="R176" s="30" t="str">
        <f aca="false">IF(ISNUMBER(B176),EDATE(B176,120),"")</f>
        <v/>
      </c>
      <c r="S176" s="43"/>
    </row>
    <row r="177" customFormat="false" ht="21.75" hidden="false" customHeight="true" outlineLevel="0" collapsed="false">
      <c r="A177" s="48"/>
      <c r="B177" s="41"/>
      <c r="C177" s="30" t="str">
        <f aca="false">IF(ISNUMBER(B177),B177+15,"")</f>
        <v/>
      </c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43"/>
      <c r="O177" s="41"/>
      <c r="P177" s="35" t="str">
        <f aca="false">IF(A177="","",IF(COUNTIF(D177:L177,"未留存")+COUNTBLANK(D177:L177)=0,"齐全","缺"&amp;(COUNTIF(D177:L177,"未留存")+COUNTBLANK(D177:L177))&amp;"项"))</f>
        <v/>
      </c>
      <c r="Q177" s="35" t="str">
        <f aca="true">IF(NOT(ISNUMBER(B177)),"",IF(ISNUMBER(O177),IF(O177&lt;=C177,"按时","超期"),IF(TODAY()&gt;C177,"已超期未完成","待完成")))</f>
        <v/>
      </c>
      <c r="R177" s="30" t="str">
        <f aca="false">IF(ISNUMBER(B177),EDATE(B177,120),"")</f>
        <v/>
      </c>
      <c r="S177" s="43"/>
    </row>
    <row r="178" customFormat="false" ht="21.75" hidden="false" customHeight="true" outlineLevel="0" collapsed="false">
      <c r="A178" s="48"/>
      <c r="B178" s="41"/>
      <c r="C178" s="30" t="str">
        <f aca="false">IF(ISNUMBER(B178),B178+15,"")</f>
        <v/>
      </c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43"/>
      <c r="O178" s="41"/>
      <c r="P178" s="35" t="str">
        <f aca="false">IF(A178="","",IF(COUNTIF(D178:L178,"未留存")+COUNTBLANK(D178:L178)=0,"齐全","缺"&amp;(COUNTIF(D178:L178,"未留存")+COUNTBLANK(D178:L178))&amp;"项"))</f>
        <v/>
      </c>
      <c r="Q178" s="35" t="str">
        <f aca="true">IF(NOT(ISNUMBER(B178)),"",IF(ISNUMBER(O178),IF(O178&lt;=C178,"按时","超期"),IF(TODAY()&gt;C178,"已超期未完成","待完成")))</f>
        <v/>
      </c>
      <c r="R178" s="30" t="str">
        <f aca="false">IF(ISNUMBER(B178),EDATE(B178,120),"")</f>
        <v/>
      </c>
      <c r="S178" s="43"/>
    </row>
    <row r="179" customFormat="false" ht="21.75" hidden="false" customHeight="true" outlineLevel="0" collapsed="false">
      <c r="A179" s="48"/>
      <c r="B179" s="41"/>
      <c r="C179" s="30" t="str">
        <f aca="false">IF(ISNUMBER(B179),B179+15,"")</f>
        <v/>
      </c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43"/>
      <c r="O179" s="41"/>
      <c r="P179" s="35" t="str">
        <f aca="false">IF(A179="","",IF(COUNTIF(D179:L179,"未留存")+COUNTBLANK(D179:L179)=0,"齐全","缺"&amp;(COUNTIF(D179:L179,"未留存")+COUNTBLANK(D179:L179))&amp;"项"))</f>
        <v/>
      </c>
      <c r="Q179" s="35" t="str">
        <f aca="true">IF(NOT(ISNUMBER(B179)),"",IF(ISNUMBER(O179),IF(O179&lt;=C179,"按时","超期"),IF(TODAY()&gt;C179,"已超期未完成","待完成")))</f>
        <v/>
      </c>
      <c r="R179" s="30" t="str">
        <f aca="false">IF(ISNUMBER(B179),EDATE(B179,120),"")</f>
        <v/>
      </c>
      <c r="S179" s="43"/>
    </row>
    <row r="180" customFormat="false" ht="21.75" hidden="false" customHeight="true" outlineLevel="0" collapsed="false">
      <c r="A180" s="48"/>
      <c r="B180" s="41"/>
      <c r="C180" s="30" t="str">
        <f aca="false">IF(ISNUMBER(B180),B180+15,"")</f>
        <v/>
      </c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43"/>
      <c r="O180" s="41"/>
      <c r="P180" s="35" t="str">
        <f aca="false">IF(A180="","",IF(COUNTIF(D180:L180,"未留存")+COUNTBLANK(D180:L180)=0,"齐全","缺"&amp;(COUNTIF(D180:L180,"未留存")+COUNTBLANK(D180:L180))&amp;"项"))</f>
        <v/>
      </c>
      <c r="Q180" s="35" t="str">
        <f aca="true">IF(NOT(ISNUMBER(B180)),"",IF(ISNUMBER(O180),IF(O180&lt;=C180,"按时","超期"),IF(TODAY()&gt;C180,"已超期未完成","待完成")))</f>
        <v/>
      </c>
      <c r="R180" s="30" t="str">
        <f aca="false">IF(ISNUMBER(B180),EDATE(B180,120),"")</f>
        <v/>
      </c>
      <c r="S180" s="43"/>
    </row>
    <row r="181" customFormat="false" ht="21.75" hidden="false" customHeight="true" outlineLevel="0" collapsed="false">
      <c r="A181" s="48"/>
      <c r="B181" s="41"/>
      <c r="C181" s="30" t="str">
        <f aca="false">IF(ISNUMBER(B181),B181+15,"")</f>
        <v/>
      </c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43"/>
      <c r="O181" s="41"/>
      <c r="P181" s="35" t="str">
        <f aca="false">IF(A181="","",IF(COUNTIF(D181:L181,"未留存")+COUNTBLANK(D181:L181)=0,"齐全","缺"&amp;(COUNTIF(D181:L181,"未留存")+COUNTBLANK(D181:L181))&amp;"项"))</f>
        <v/>
      </c>
      <c r="Q181" s="35" t="str">
        <f aca="true">IF(NOT(ISNUMBER(B181)),"",IF(ISNUMBER(O181),IF(O181&lt;=C181,"按时","超期"),IF(TODAY()&gt;C181,"已超期未完成","待完成")))</f>
        <v/>
      </c>
      <c r="R181" s="30" t="str">
        <f aca="false">IF(ISNUMBER(B181),EDATE(B181,120),"")</f>
        <v/>
      </c>
      <c r="S181" s="43"/>
    </row>
    <row r="182" customFormat="false" ht="21.75" hidden="false" customHeight="true" outlineLevel="0" collapsed="false">
      <c r="A182" s="48"/>
      <c r="B182" s="41"/>
      <c r="C182" s="30" t="str">
        <f aca="false">IF(ISNUMBER(B182),B182+15,"")</f>
        <v/>
      </c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43"/>
      <c r="O182" s="41"/>
      <c r="P182" s="35" t="str">
        <f aca="false">IF(A182="","",IF(COUNTIF(D182:L182,"未留存")+COUNTBLANK(D182:L182)=0,"齐全","缺"&amp;(COUNTIF(D182:L182,"未留存")+COUNTBLANK(D182:L182))&amp;"项"))</f>
        <v/>
      </c>
      <c r="Q182" s="35" t="str">
        <f aca="true">IF(NOT(ISNUMBER(B182)),"",IF(ISNUMBER(O182),IF(O182&lt;=C182,"按时","超期"),IF(TODAY()&gt;C182,"已超期未完成","待完成")))</f>
        <v/>
      </c>
      <c r="R182" s="30" t="str">
        <f aca="false">IF(ISNUMBER(B182),EDATE(B182,120),"")</f>
        <v/>
      </c>
      <c r="S182" s="43"/>
    </row>
    <row r="183" customFormat="false" ht="21.75" hidden="false" customHeight="true" outlineLevel="0" collapsed="false">
      <c r="A183" s="48"/>
      <c r="B183" s="41"/>
      <c r="C183" s="30" t="str">
        <f aca="false">IF(ISNUMBER(B183),B183+15,"")</f>
        <v/>
      </c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43"/>
      <c r="O183" s="41"/>
      <c r="P183" s="35" t="str">
        <f aca="false">IF(A183="","",IF(COUNTIF(D183:L183,"未留存")+COUNTBLANK(D183:L183)=0,"齐全","缺"&amp;(COUNTIF(D183:L183,"未留存")+COUNTBLANK(D183:L183))&amp;"项"))</f>
        <v/>
      </c>
      <c r="Q183" s="35" t="str">
        <f aca="true">IF(NOT(ISNUMBER(B183)),"",IF(ISNUMBER(O183),IF(O183&lt;=C183,"按时","超期"),IF(TODAY()&gt;C183,"已超期未完成","待完成")))</f>
        <v/>
      </c>
      <c r="R183" s="30" t="str">
        <f aca="false">IF(ISNUMBER(B183),EDATE(B183,120),"")</f>
        <v/>
      </c>
      <c r="S183" s="43"/>
    </row>
    <row r="184" customFormat="false" ht="21.75" hidden="false" customHeight="true" outlineLevel="0" collapsed="false">
      <c r="A184" s="48"/>
      <c r="B184" s="41"/>
      <c r="C184" s="30" t="str">
        <f aca="false">IF(ISNUMBER(B184),B184+15,"")</f>
        <v/>
      </c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43"/>
      <c r="O184" s="41"/>
      <c r="P184" s="35" t="str">
        <f aca="false">IF(A184="","",IF(COUNTIF(D184:L184,"未留存")+COUNTBLANK(D184:L184)=0,"齐全","缺"&amp;(COUNTIF(D184:L184,"未留存")+COUNTBLANK(D184:L184))&amp;"项"))</f>
        <v/>
      </c>
      <c r="Q184" s="35" t="str">
        <f aca="true">IF(NOT(ISNUMBER(B184)),"",IF(ISNUMBER(O184),IF(O184&lt;=C184,"按时","超期"),IF(TODAY()&gt;C184,"已超期未完成","待完成")))</f>
        <v/>
      </c>
      <c r="R184" s="30" t="str">
        <f aca="false">IF(ISNUMBER(B184),EDATE(B184,120),"")</f>
        <v/>
      </c>
      <c r="S184" s="43"/>
    </row>
    <row r="185" customFormat="false" ht="21.75" hidden="false" customHeight="true" outlineLevel="0" collapsed="false">
      <c r="A185" s="48"/>
      <c r="B185" s="41"/>
      <c r="C185" s="30" t="str">
        <f aca="false">IF(ISNUMBER(B185),B185+15,"")</f>
        <v/>
      </c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43"/>
      <c r="O185" s="41"/>
      <c r="P185" s="35" t="str">
        <f aca="false">IF(A185="","",IF(COUNTIF(D185:L185,"未留存")+COUNTBLANK(D185:L185)=0,"齐全","缺"&amp;(COUNTIF(D185:L185,"未留存")+COUNTBLANK(D185:L185))&amp;"项"))</f>
        <v/>
      </c>
      <c r="Q185" s="35" t="str">
        <f aca="true">IF(NOT(ISNUMBER(B185)),"",IF(ISNUMBER(O185),IF(O185&lt;=C185,"按时","超期"),IF(TODAY()&gt;C185,"已超期未完成","待完成")))</f>
        <v/>
      </c>
      <c r="R185" s="30" t="str">
        <f aca="false">IF(ISNUMBER(B185),EDATE(B185,120),"")</f>
        <v/>
      </c>
      <c r="S185" s="43"/>
    </row>
    <row r="186" customFormat="false" ht="21.75" hidden="false" customHeight="true" outlineLevel="0" collapsed="false">
      <c r="A186" s="48"/>
      <c r="B186" s="41"/>
      <c r="C186" s="30" t="str">
        <f aca="false">IF(ISNUMBER(B186),B186+15,"")</f>
        <v/>
      </c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43"/>
      <c r="O186" s="41"/>
      <c r="P186" s="35" t="str">
        <f aca="false">IF(A186="","",IF(COUNTIF(D186:L186,"未留存")+COUNTBLANK(D186:L186)=0,"齐全","缺"&amp;(COUNTIF(D186:L186,"未留存")+COUNTBLANK(D186:L186))&amp;"项"))</f>
        <v/>
      </c>
      <c r="Q186" s="35" t="str">
        <f aca="true">IF(NOT(ISNUMBER(B186)),"",IF(ISNUMBER(O186),IF(O186&lt;=C186,"按时","超期"),IF(TODAY()&gt;C186,"已超期未完成","待完成")))</f>
        <v/>
      </c>
      <c r="R186" s="30" t="str">
        <f aca="false">IF(ISNUMBER(B186),EDATE(B186,120),"")</f>
        <v/>
      </c>
      <c r="S186" s="43"/>
    </row>
    <row r="187" customFormat="false" ht="21.75" hidden="false" customHeight="true" outlineLevel="0" collapsed="false">
      <c r="A187" s="48"/>
      <c r="B187" s="41"/>
      <c r="C187" s="30" t="str">
        <f aca="false">IF(ISNUMBER(B187),B187+15,"")</f>
        <v/>
      </c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43"/>
      <c r="O187" s="41"/>
      <c r="P187" s="35" t="str">
        <f aca="false">IF(A187="","",IF(COUNTIF(D187:L187,"未留存")+COUNTBLANK(D187:L187)=0,"齐全","缺"&amp;(COUNTIF(D187:L187,"未留存")+COUNTBLANK(D187:L187))&amp;"项"))</f>
        <v/>
      </c>
      <c r="Q187" s="35" t="str">
        <f aca="true">IF(NOT(ISNUMBER(B187)),"",IF(ISNUMBER(O187),IF(O187&lt;=C187,"按时","超期"),IF(TODAY()&gt;C187,"已超期未完成","待完成")))</f>
        <v/>
      </c>
      <c r="R187" s="30" t="str">
        <f aca="false">IF(ISNUMBER(B187),EDATE(B187,120),"")</f>
        <v/>
      </c>
      <c r="S187" s="43"/>
    </row>
    <row r="188" customFormat="false" ht="21.75" hidden="false" customHeight="true" outlineLevel="0" collapsed="false">
      <c r="A188" s="48"/>
      <c r="B188" s="41"/>
      <c r="C188" s="30" t="str">
        <f aca="false">IF(ISNUMBER(B188),B188+15,"")</f>
        <v/>
      </c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43"/>
      <c r="O188" s="41"/>
      <c r="P188" s="35" t="str">
        <f aca="false">IF(A188="","",IF(COUNTIF(D188:L188,"未留存")+COUNTBLANK(D188:L188)=0,"齐全","缺"&amp;(COUNTIF(D188:L188,"未留存")+COUNTBLANK(D188:L188))&amp;"项"))</f>
        <v/>
      </c>
      <c r="Q188" s="35" t="str">
        <f aca="true">IF(NOT(ISNUMBER(B188)),"",IF(ISNUMBER(O188),IF(O188&lt;=C188,"按时","超期"),IF(TODAY()&gt;C188,"已超期未完成","待完成")))</f>
        <v/>
      </c>
      <c r="R188" s="30" t="str">
        <f aca="false">IF(ISNUMBER(B188),EDATE(B188,120),"")</f>
        <v/>
      </c>
      <c r="S188" s="43"/>
    </row>
    <row r="189" customFormat="false" ht="21.75" hidden="false" customHeight="true" outlineLevel="0" collapsed="false">
      <c r="A189" s="48"/>
      <c r="B189" s="41"/>
      <c r="C189" s="30" t="str">
        <f aca="false">IF(ISNUMBER(B189),B189+15,"")</f>
        <v/>
      </c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43"/>
      <c r="O189" s="41"/>
      <c r="P189" s="35" t="str">
        <f aca="false">IF(A189="","",IF(COUNTIF(D189:L189,"未留存")+COUNTBLANK(D189:L189)=0,"齐全","缺"&amp;(COUNTIF(D189:L189,"未留存")+COUNTBLANK(D189:L189))&amp;"项"))</f>
        <v/>
      </c>
      <c r="Q189" s="35" t="str">
        <f aca="true">IF(NOT(ISNUMBER(B189)),"",IF(ISNUMBER(O189),IF(O189&lt;=C189,"按时","超期"),IF(TODAY()&gt;C189,"已超期未完成","待完成")))</f>
        <v/>
      </c>
      <c r="R189" s="30" t="str">
        <f aca="false">IF(ISNUMBER(B189),EDATE(B189,120),"")</f>
        <v/>
      </c>
      <c r="S189" s="43"/>
    </row>
    <row r="190" customFormat="false" ht="21.75" hidden="false" customHeight="true" outlineLevel="0" collapsed="false">
      <c r="A190" s="48"/>
      <c r="B190" s="41"/>
      <c r="C190" s="30" t="str">
        <f aca="false">IF(ISNUMBER(B190),B190+15,"")</f>
        <v/>
      </c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43"/>
      <c r="O190" s="41"/>
      <c r="P190" s="35" t="str">
        <f aca="false">IF(A190="","",IF(COUNTIF(D190:L190,"未留存")+COUNTBLANK(D190:L190)=0,"齐全","缺"&amp;(COUNTIF(D190:L190,"未留存")+COUNTBLANK(D190:L190))&amp;"项"))</f>
        <v/>
      </c>
      <c r="Q190" s="35" t="str">
        <f aca="true">IF(NOT(ISNUMBER(B190)),"",IF(ISNUMBER(O190),IF(O190&lt;=C190,"按时","超期"),IF(TODAY()&gt;C190,"已超期未完成","待完成")))</f>
        <v/>
      </c>
      <c r="R190" s="30" t="str">
        <f aca="false">IF(ISNUMBER(B190),EDATE(B190,120),"")</f>
        <v/>
      </c>
      <c r="S190" s="43"/>
    </row>
    <row r="191" customFormat="false" ht="21.75" hidden="false" customHeight="true" outlineLevel="0" collapsed="false">
      <c r="A191" s="48"/>
      <c r="B191" s="41"/>
      <c r="C191" s="30" t="str">
        <f aca="false">IF(ISNUMBER(B191),B191+15,"")</f>
        <v/>
      </c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43"/>
      <c r="O191" s="41"/>
      <c r="P191" s="35" t="str">
        <f aca="false">IF(A191="","",IF(COUNTIF(D191:L191,"未留存")+COUNTBLANK(D191:L191)=0,"齐全","缺"&amp;(COUNTIF(D191:L191,"未留存")+COUNTBLANK(D191:L191))&amp;"项"))</f>
        <v/>
      </c>
      <c r="Q191" s="35" t="str">
        <f aca="true">IF(NOT(ISNUMBER(B191)),"",IF(ISNUMBER(O191),IF(O191&lt;=C191,"按时","超期"),IF(TODAY()&gt;C191,"已超期未完成","待完成")))</f>
        <v/>
      </c>
      <c r="R191" s="30" t="str">
        <f aca="false">IF(ISNUMBER(B191),EDATE(B191,120),"")</f>
        <v/>
      </c>
      <c r="S191" s="43"/>
    </row>
    <row r="192" customFormat="false" ht="21.75" hidden="false" customHeight="true" outlineLevel="0" collapsed="false">
      <c r="A192" s="48"/>
      <c r="B192" s="41"/>
      <c r="C192" s="30" t="str">
        <f aca="false">IF(ISNUMBER(B192),B192+15,"")</f>
        <v/>
      </c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43"/>
      <c r="O192" s="41"/>
      <c r="P192" s="35" t="str">
        <f aca="false">IF(A192="","",IF(COUNTIF(D192:L192,"未留存")+COUNTBLANK(D192:L192)=0,"齐全","缺"&amp;(COUNTIF(D192:L192,"未留存")+COUNTBLANK(D192:L192))&amp;"项"))</f>
        <v/>
      </c>
      <c r="Q192" s="35" t="str">
        <f aca="true">IF(NOT(ISNUMBER(B192)),"",IF(ISNUMBER(O192),IF(O192&lt;=C192,"按时","超期"),IF(TODAY()&gt;C192,"已超期未完成","待完成")))</f>
        <v/>
      </c>
      <c r="R192" s="30" t="str">
        <f aca="false">IF(ISNUMBER(B192),EDATE(B192,120),"")</f>
        <v/>
      </c>
      <c r="S192" s="43"/>
    </row>
    <row r="193" customFormat="false" ht="21.75" hidden="false" customHeight="true" outlineLevel="0" collapsed="false">
      <c r="A193" s="48"/>
      <c r="B193" s="41"/>
      <c r="C193" s="30" t="str">
        <f aca="false">IF(ISNUMBER(B193),B193+15,"")</f>
        <v/>
      </c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43"/>
      <c r="O193" s="41"/>
      <c r="P193" s="35" t="str">
        <f aca="false">IF(A193="","",IF(COUNTIF(D193:L193,"未留存")+COUNTBLANK(D193:L193)=0,"齐全","缺"&amp;(COUNTIF(D193:L193,"未留存")+COUNTBLANK(D193:L193))&amp;"项"))</f>
        <v/>
      </c>
      <c r="Q193" s="35" t="str">
        <f aca="true">IF(NOT(ISNUMBER(B193)),"",IF(ISNUMBER(O193),IF(O193&lt;=C193,"按时","超期"),IF(TODAY()&gt;C193,"已超期未完成","待完成")))</f>
        <v/>
      </c>
      <c r="R193" s="30" t="str">
        <f aca="false">IF(ISNUMBER(B193),EDATE(B193,120),"")</f>
        <v/>
      </c>
      <c r="S193" s="43"/>
    </row>
    <row r="194" customFormat="false" ht="21.75" hidden="false" customHeight="true" outlineLevel="0" collapsed="false">
      <c r="A194" s="48"/>
      <c r="B194" s="41"/>
      <c r="C194" s="30" t="str">
        <f aca="false">IF(ISNUMBER(B194),B194+15,"")</f>
        <v/>
      </c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43"/>
      <c r="O194" s="41"/>
      <c r="P194" s="35" t="str">
        <f aca="false">IF(A194="","",IF(COUNTIF(D194:L194,"未留存")+COUNTBLANK(D194:L194)=0,"齐全","缺"&amp;(COUNTIF(D194:L194,"未留存")+COUNTBLANK(D194:L194))&amp;"项"))</f>
        <v/>
      </c>
      <c r="Q194" s="35" t="str">
        <f aca="true">IF(NOT(ISNUMBER(B194)),"",IF(ISNUMBER(O194),IF(O194&lt;=C194,"按时","超期"),IF(TODAY()&gt;C194,"已超期未完成","待完成")))</f>
        <v/>
      </c>
      <c r="R194" s="30" t="str">
        <f aca="false">IF(ISNUMBER(B194),EDATE(B194,120),"")</f>
        <v/>
      </c>
      <c r="S194" s="43"/>
    </row>
    <row r="195" customFormat="false" ht="21.75" hidden="false" customHeight="true" outlineLevel="0" collapsed="false">
      <c r="A195" s="48"/>
      <c r="B195" s="41"/>
      <c r="C195" s="30" t="str">
        <f aca="false">IF(ISNUMBER(B195),B195+15,"")</f>
        <v/>
      </c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43"/>
      <c r="O195" s="41"/>
      <c r="P195" s="35" t="str">
        <f aca="false">IF(A195="","",IF(COUNTIF(D195:L195,"未留存")+COUNTBLANK(D195:L195)=0,"齐全","缺"&amp;(COUNTIF(D195:L195,"未留存")+COUNTBLANK(D195:L195))&amp;"项"))</f>
        <v/>
      </c>
      <c r="Q195" s="35" t="str">
        <f aca="true">IF(NOT(ISNUMBER(B195)),"",IF(ISNUMBER(O195),IF(O195&lt;=C195,"按时","超期"),IF(TODAY()&gt;C195,"已超期未完成","待完成")))</f>
        <v/>
      </c>
      <c r="R195" s="30" t="str">
        <f aca="false">IF(ISNUMBER(B195),EDATE(B195,120),"")</f>
        <v/>
      </c>
      <c r="S195" s="43"/>
    </row>
    <row r="196" customFormat="false" ht="21.75" hidden="false" customHeight="true" outlineLevel="0" collapsed="false">
      <c r="A196" s="48"/>
      <c r="B196" s="41"/>
      <c r="C196" s="30" t="str">
        <f aca="false">IF(ISNUMBER(B196),B196+15,"")</f>
        <v/>
      </c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43"/>
      <c r="O196" s="41"/>
      <c r="P196" s="35" t="str">
        <f aca="false">IF(A196="","",IF(COUNTIF(D196:L196,"未留存")+COUNTBLANK(D196:L196)=0,"齐全","缺"&amp;(COUNTIF(D196:L196,"未留存")+COUNTBLANK(D196:L196))&amp;"项"))</f>
        <v/>
      </c>
      <c r="Q196" s="35" t="str">
        <f aca="true">IF(NOT(ISNUMBER(B196)),"",IF(ISNUMBER(O196),IF(O196&lt;=C196,"按时","超期"),IF(TODAY()&gt;C196,"已超期未完成","待完成")))</f>
        <v/>
      </c>
      <c r="R196" s="30" t="str">
        <f aca="false">IF(ISNUMBER(B196),EDATE(B196,120),"")</f>
        <v/>
      </c>
      <c r="S196" s="43"/>
    </row>
    <row r="197" customFormat="false" ht="21.75" hidden="false" customHeight="true" outlineLevel="0" collapsed="false">
      <c r="A197" s="48"/>
      <c r="B197" s="41"/>
      <c r="C197" s="30" t="str">
        <f aca="false">IF(ISNUMBER(B197),B197+15,"")</f>
        <v/>
      </c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43"/>
      <c r="O197" s="41"/>
      <c r="P197" s="35" t="str">
        <f aca="false">IF(A197="","",IF(COUNTIF(D197:L197,"未留存")+COUNTBLANK(D197:L197)=0,"齐全","缺"&amp;(COUNTIF(D197:L197,"未留存")+COUNTBLANK(D197:L197))&amp;"项"))</f>
        <v/>
      </c>
      <c r="Q197" s="35" t="str">
        <f aca="true">IF(NOT(ISNUMBER(B197)),"",IF(ISNUMBER(O197),IF(O197&lt;=C197,"按时","超期"),IF(TODAY()&gt;C197,"已超期未完成","待完成")))</f>
        <v/>
      </c>
      <c r="R197" s="30" t="str">
        <f aca="false">IF(ISNUMBER(B197),EDATE(B197,120),"")</f>
        <v/>
      </c>
      <c r="S197" s="43"/>
    </row>
    <row r="198" customFormat="false" ht="21.75" hidden="false" customHeight="true" outlineLevel="0" collapsed="false">
      <c r="A198" s="48"/>
      <c r="B198" s="41"/>
      <c r="C198" s="30" t="str">
        <f aca="false">IF(ISNUMBER(B198),B198+15,"")</f>
        <v/>
      </c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43"/>
      <c r="O198" s="41"/>
      <c r="P198" s="35" t="str">
        <f aca="false">IF(A198="","",IF(COUNTIF(D198:L198,"未留存")+COUNTBLANK(D198:L198)=0,"齐全","缺"&amp;(COUNTIF(D198:L198,"未留存")+COUNTBLANK(D198:L198))&amp;"项"))</f>
        <v/>
      </c>
      <c r="Q198" s="35" t="str">
        <f aca="true">IF(NOT(ISNUMBER(B198)),"",IF(ISNUMBER(O198),IF(O198&lt;=C198,"按时","超期"),IF(TODAY()&gt;C198,"已超期未完成","待完成")))</f>
        <v/>
      </c>
      <c r="R198" s="30" t="str">
        <f aca="false">IF(ISNUMBER(B198),EDATE(B198,120),"")</f>
        <v/>
      </c>
      <c r="S198" s="43"/>
    </row>
    <row r="199" customFormat="false" ht="21.75" hidden="false" customHeight="true" outlineLevel="0" collapsed="false">
      <c r="A199" s="48"/>
      <c r="B199" s="41"/>
      <c r="C199" s="30" t="str">
        <f aca="false">IF(ISNUMBER(B199),B199+15,"")</f>
        <v/>
      </c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43"/>
      <c r="O199" s="41"/>
      <c r="P199" s="35" t="str">
        <f aca="false">IF(A199="","",IF(COUNTIF(D199:L199,"未留存")+COUNTBLANK(D199:L199)=0,"齐全","缺"&amp;(COUNTIF(D199:L199,"未留存")+COUNTBLANK(D199:L199))&amp;"项"))</f>
        <v/>
      </c>
      <c r="Q199" s="35" t="str">
        <f aca="true">IF(NOT(ISNUMBER(B199)),"",IF(ISNUMBER(O199),IF(O199&lt;=C199,"按时","超期"),IF(TODAY()&gt;C199,"已超期未完成","待完成")))</f>
        <v/>
      </c>
      <c r="R199" s="30" t="str">
        <f aca="false">IF(ISNUMBER(B199),EDATE(B199,120),"")</f>
        <v/>
      </c>
      <c r="S199" s="43"/>
    </row>
    <row r="200" customFormat="false" ht="21.75" hidden="false" customHeight="true" outlineLevel="0" collapsed="false">
      <c r="A200" s="48"/>
      <c r="B200" s="41"/>
      <c r="C200" s="30" t="str">
        <f aca="false">IF(ISNUMBER(B200),B200+15,"")</f>
        <v/>
      </c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43"/>
      <c r="O200" s="41"/>
      <c r="P200" s="35" t="str">
        <f aca="false">IF(A200="","",IF(COUNTIF(D200:L200,"未留存")+COUNTBLANK(D200:L200)=0,"齐全","缺"&amp;(COUNTIF(D200:L200,"未留存")+COUNTBLANK(D200:L200))&amp;"项"))</f>
        <v/>
      </c>
      <c r="Q200" s="35" t="str">
        <f aca="true">IF(NOT(ISNUMBER(B200)),"",IF(ISNUMBER(O200),IF(O200&lt;=C200,"按时","超期"),IF(TODAY()&gt;C200,"已超期未完成","待完成")))</f>
        <v/>
      </c>
      <c r="R200" s="30" t="str">
        <f aca="false">IF(ISNUMBER(B200),EDATE(B200,120),"")</f>
        <v/>
      </c>
      <c r="S200" s="43"/>
    </row>
    <row r="201" customFormat="false" ht="21.75" hidden="false" customHeight="true" outlineLevel="0" collapsed="false">
      <c r="A201" s="48"/>
      <c r="B201" s="41"/>
      <c r="C201" s="30" t="str">
        <f aca="false">IF(ISNUMBER(B201),B201+15,"")</f>
        <v/>
      </c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43"/>
      <c r="O201" s="41"/>
      <c r="P201" s="35" t="str">
        <f aca="false">IF(A201="","",IF(COUNTIF(D201:L201,"未留存")+COUNTBLANK(D201:L201)=0,"齐全","缺"&amp;(COUNTIF(D201:L201,"未留存")+COUNTBLANK(D201:L201))&amp;"项"))</f>
        <v/>
      </c>
      <c r="Q201" s="35" t="str">
        <f aca="true">IF(NOT(ISNUMBER(B201)),"",IF(ISNUMBER(O201),IF(O201&lt;=C201,"按时","超期"),IF(TODAY()&gt;C201,"已超期未完成","待完成")))</f>
        <v/>
      </c>
      <c r="R201" s="30" t="str">
        <f aca="false">IF(ISNUMBER(B201),EDATE(B201,120),"")</f>
        <v/>
      </c>
      <c r="S201" s="43"/>
    </row>
    <row r="202" customFormat="false" ht="21.75" hidden="false" customHeight="true" outlineLevel="0" collapsed="false">
      <c r="A202" s="48"/>
      <c r="B202" s="41"/>
      <c r="C202" s="30" t="str">
        <f aca="false">IF(ISNUMBER(B202),B202+15,"")</f>
        <v/>
      </c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43"/>
      <c r="O202" s="41"/>
      <c r="P202" s="35" t="str">
        <f aca="false">IF(A202="","",IF(COUNTIF(D202:L202,"未留存")+COUNTBLANK(D202:L202)=0,"齐全","缺"&amp;(COUNTIF(D202:L202,"未留存")+COUNTBLANK(D202:L202))&amp;"项"))</f>
        <v/>
      </c>
      <c r="Q202" s="35" t="str">
        <f aca="true">IF(NOT(ISNUMBER(B202)),"",IF(ISNUMBER(O202),IF(O202&lt;=C202,"按时","超期"),IF(TODAY()&gt;C202,"已超期未完成","待完成")))</f>
        <v/>
      </c>
      <c r="R202" s="30" t="str">
        <f aca="false">IF(ISNUMBER(B202),EDATE(B202,120),"")</f>
        <v/>
      </c>
      <c r="S202" s="43"/>
    </row>
    <row r="203" customFormat="false" ht="21.75" hidden="false" customHeight="true" outlineLevel="0" collapsed="false">
      <c r="A203" s="48"/>
      <c r="B203" s="41"/>
      <c r="C203" s="30" t="str">
        <f aca="false">IF(ISNUMBER(B203),B203+15,"")</f>
        <v/>
      </c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43"/>
      <c r="O203" s="41"/>
      <c r="P203" s="35" t="str">
        <f aca="false">IF(A203="","",IF(COUNTIF(D203:L203,"未留存")+COUNTBLANK(D203:L203)=0,"齐全","缺"&amp;(COUNTIF(D203:L203,"未留存")+COUNTBLANK(D203:L203))&amp;"项"))</f>
        <v/>
      </c>
      <c r="Q203" s="35" t="str">
        <f aca="true">IF(NOT(ISNUMBER(B203)),"",IF(ISNUMBER(O203),IF(O203&lt;=C203,"按时","超期"),IF(TODAY()&gt;C203,"已超期未完成","待完成")))</f>
        <v/>
      </c>
      <c r="R203" s="30" t="str">
        <f aca="false">IF(ISNUMBER(B203),EDATE(B203,120),"")</f>
        <v/>
      </c>
      <c r="S203" s="43"/>
    </row>
  </sheetData>
  <mergeCells count="1">
    <mergeCell ref="A2:S2"/>
  </mergeCells>
  <conditionalFormatting sqref="P4:Q203">
    <cfRule type="expression" priority="2" aboveAverage="0" equalAverage="0" bottom="0" percent="0" rank="0" text="" dxfId="0">
      <formula>OR(ISNUMBER(SEARCH("逾期",P4)),ISNUMBER(SEARCH("超期",P4)),ISNUMBER(SEARCH("缺",P4)),ISNUMBER(SEARCH("未收汇",P4)),ISNUMBER(SEARCH("不符",P4)),ISNUMBER(SEARCH("未建档",P4)),ISNUMBER(SEARCH("超过",P4)),ISNUMBER(SEARCH("未登记",P4)),ISNUMBER(SEARCH("不存在",P4)),ISNUMBER(SEARCH("差异",P4)))</formula>
    </cfRule>
    <cfRule type="expression" priority="3" aboveAverage="0" equalAverage="0" bottom="0" percent="0" rank="0" text="" dxfId="2">
      <formula>OR(ISNUMBER(SEARCH("临近",P4)),ISNUMBER(SEARCH("仍未销售",P4)),ISNUMBER(SEARCH("需要调整",P4)),ISNUMBER(SEARCH("待",P4)),ISNUMBER(SEARCH("尚未",P4)),ISNUMBER(SEARCH("请选择",P4)),ISNUMBER(SEARCH("未签收",P4)))</formula>
    </cfRule>
    <cfRule type="expression" priority="4" aboveAverage="0" equalAverage="0" bottom="0" percent="0" rank="0" text="" dxfId="3">
      <formula>OR(ISNUMBER(SEARCH("已收汇",P4)),ISNUMBER(SEARCH("及时",P4)),ISNUMBER(SEARCH("按时",P4)),ISNUMBER(SEARCH("齐全",P4)),ISNUMBER(SEARCH("已核算",P4)),P4="正常",P4="一致",ISNUMBER(SEARCH("无需调整",P4)))</formula>
    </cfRule>
  </conditionalFormatting>
  <conditionalFormatting sqref="D4:L203">
    <cfRule type="expression" priority="5" aboveAverage="0" equalAverage="0" bottom="0" percent="0" rank="0" text="" dxfId="0">
      <formula>D4="未留存"</formula>
    </cfRule>
  </conditionalFormatting>
  <dataValidations count="2">
    <dataValidation allowBlank="true" errorStyle="stop" operator="between" showDropDown="false" showErrorMessage="false" showInputMessage="false" sqref="D4:L203" type="list">
      <formula1>参数表!$P$13:$P$40</formula1>
      <formula2>0</formula2>
    </dataValidation>
    <dataValidation allowBlank="true" errorStyle="stop" operator="between" showDropDown="false" showErrorMessage="false" showInputMessage="false" sqref="M4:M203" type="list">
      <formula1>参数表!$Q$13:$Q$40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AC4D2"/>
    <pageSetUpPr fitToPage="true"/>
  </sheetPr>
  <dimension ref="A1:U2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26"/>
    <col collapsed="false" customWidth="true" hidden="false" outlineLevel="0" max="14" min="14" style="0" width="16"/>
    <col collapsed="false" customWidth="true" hidden="false" outlineLevel="0" max="15" min="15" style="0" width="26"/>
    <col collapsed="false" customWidth="true" hidden="false" outlineLevel="0" max="16" min="16" style="0" width="13"/>
    <col collapsed="false" customWidth="true" hidden="false" outlineLevel="0" max="17" min="17" style="0" width="10"/>
    <col collapsed="false" customWidth="true" hidden="false" outlineLevel="0" max="18" min="18" style="0" width="18"/>
    <col collapsed="false" customWidth="true" hidden="false" outlineLevel="0" max="19" min="19" style="0" width="7"/>
    <col collapsed="false" customWidth="true" hidden="false" outlineLevel="0" max="20" min="20" style="0" width="13"/>
    <col collapsed="false" customWidth="true" hidden="false" outlineLevel="0" max="21" min="21" style="0" width="11"/>
  </cols>
  <sheetData>
    <row r="1" customFormat="false" ht="36" hidden="false" customHeight="true" outlineLevel="0" collapsed="false">
      <c r="A1" s="23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33.75" hidden="false" customHeight="true" outlineLevel="0" collapsed="false">
      <c r="A2" s="22" t="s">
        <v>292</v>
      </c>
      <c r="B2" s="22"/>
      <c r="C2" s="22"/>
      <c r="D2" s="22"/>
      <c r="E2" s="22"/>
      <c r="F2" s="22"/>
      <c r="G2" s="22"/>
      <c r="H2" s="22"/>
      <c r="I2" s="2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customFormat="false" ht="27.75" hidden="false" customHeight="true" outlineLevel="0" collapsed="false">
      <c r="A4" s="52" t="s">
        <v>293</v>
      </c>
      <c r="B4" s="5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24" hidden="false" customHeight="true" outlineLevel="0" collapsed="false">
      <c r="A5" s="53" t="s">
        <v>294</v>
      </c>
      <c r="B5" s="54" t="s">
        <v>295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Format="false" ht="24" hidden="false" customHeight="true" outlineLevel="0" collapsed="false">
      <c r="A6" s="53" t="s">
        <v>296</v>
      </c>
      <c r="B6" s="54" t="s">
        <v>297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customFormat="false" ht="24" hidden="false" customHeight="true" outlineLevel="0" collapsed="false">
      <c r="A7" s="53" t="s">
        <v>298</v>
      </c>
      <c r="B7" s="5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customFormat="false" ht="24" hidden="false" customHeight="true" outlineLevel="0" collapsed="false">
      <c r="A8" s="53" t="s">
        <v>299</v>
      </c>
      <c r="B8" s="5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customFormat="false" ht="24" hidden="false" customHeight="true" outlineLevel="0" collapsed="false">
      <c r="A9" s="53" t="s">
        <v>300</v>
      </c>
      <c r="B9" s="5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customFormat="false" ht="25.5" hidden="false" customHeight="true" outlineLevel="0" collapsed="false">
      <c r="A11" s="56" t="s">
        <v>301</v>
      </c>
      <c r="B11" s="1"/>
      <c r="C11" s="1"/>
      <c r="D11" s="1"/>
      <c r="E11" s="1"/>
      <c r="F11" s="1"/>
      <c r="G11" s="1"/>
      <c r="H11" s="1"/>
      <c r="I11" s="1"/>
      <c r="J11" s="1"/>
      <c r="K11" s="57" t="s">
        <v>302</v>
      </c>
      <c r="L11" s="1"/>
      <c r="M11" s="1"/>
      <c r="N11" s="1"/>
      <c r="O11" s="1"/>
      <c r="P11" s="1"/>
      <c r="Q11" s="1"/>
      <c r="R11" s="1"/>
      <c r="S11" s="1"/>
      <c r="T11" s="1"/>
      <c r="U11" s="1"/>
    </row>
    <row r="12" customFormat="false" ht="61.5" hidden="false" customHeight="true" outlineLevel="0" collapsed="false">
      <c r="A12" s="38" t="s">
        <v>125</v>
      </c>
      <c r="B12" s="38" t="s">
        <v>303</v>
      </c>
      <c r="C12" s="38" t="s">
        <v>304</v>
      </c>
      <c r="D12" s="37" t="s">
        <v>305</v>
      </c>
      <c r="E12" s="37" t="s">
        <v>306</v>
      </c>
      <c r="F12" s="38" t="s">
        <v>307</v>
      </c>
      <c r="G12" s="37" t="s">
        <v>308</v>
      </c>
      <c r="H12" s="37" t="s">
        <v>309</v>
      </c>
      <c r="I12" s="37" t="s">
        <v>168</v>
      </c>
      <c r="J12" s="1"/>
      <c r="K12" s="58" t="s">
        <v>148</v>
      </c>
      <c r="L12" s="58" t="s">
        <v>153</v>
      </c>
      <c r="M12" s="58" t="s">
        <v>310</v>
      </c>
      <c r="N12" s="58" t="s">
        <v>251</v>
      </c>
      <c r="O12" s="58" t="s">
        <v>311</v>
      </c>
      <c r="P12" s="58" t="s">
        <v>312</v>
      </c>
      <c r="Q12" s="58" t="s">
        <v>282</v>
      </c>
      <c r="R12" s="58" t="s">
        <v>218</v>
      </c>
      <c r="S12" s="58" t="s">
        <v>313</v>
      </c>
      <c r="T12" s="58" t="s">
        <v>263</v>
      </c>
      <c r="U12" s="58" t="s">
        <v>314</v>
      </c>
    </row>
    <row r="13" customFormat="false" ht="21.75" hidden="false" customHeight="true" outlineLevel="0" collapsed="false">
      <c r="A13" s="39" t="s">
        <v>174</v>
      </c>
      <c r="B13" s="39" t="s">
        <v>315</v>
      </c>
      <c r="C13" s="39" t="s">
        <v>316</v>
      </c>
      <c r="D13" s="43" t="s">
        <v>317</v>
      </c>
      <c r="E13" s="43" t="s">
        <v>318</v>
      </c>
      <c r="F13" s="48" t="s">
        <v>319</v>
      </c>
      <c r="G13" s="50" t="s">
        <v>320</v>
      </c>
      <c r="H13" s="59" t="n">
        <v>0.13</v>
      </c>
      <c r="I13" s="43" t="s">
        <v>180</v>
      </c>
      <c r="J13" s="1"/>
      <c r="K13" s="60" t="s">
        <v>172</v>
      </c>
      <c r="L13" s="61" t="s">
        <v>175</v>
      </c>
      <c r="M13" s="60" t="s">
        <v>321</v>
      </c>
      <c r="N13" s="60" t="s">
        <v>322</v>
      </c>
      <c r="O13" s="60" t="s">
        <v>323</v>
      </c>
      <c r="P13" s="60" t="s">
        <v>288</v>
      </c>
      <c r="Q13" s="60" t="s">
        <v>324</v>
      </c>
      <c r="R13" s="60" t="s">
        <v>325</v>
      </c>
      <c r="S13" s="60" t="s">
        <v>230</v>
      </c>
      <c r="T13" s="60" t="s">
        <v>326</v>
      </c>
      <c r="U13" s="60" t="s">
        <v>327</v>
      </c>
    </row>
    <row r="14" customFormat="false" ht="21.75" hidden="false" customHeight="true" outlineLevel="0" collapsed="false">
      <c r="A14" s="39" t="s">
        <v>181</v>
      </c>
      <c r="B14" s="39" t="s">
        <v>328</v>
      </c>
      <c r="C14" s="39" t="s">
        <v>329</v>
      </c>
      <c r="D14" s="43" t="s">
        <v>330</v>
      </c>
      <c r="E14" s="43" t="s">
        <v>331</v>
      </c>
      <c r="F14" s="48" t="s">
        <v>319</v>
      </c>
      <c r="G14" s="50" t="s">
        <v>320</v>
      </c>
      <c r="H14" s="59" t="n">
        <v>0.13</v>
      </c>
      <c r="I14" s="43" t="s">
        <v>180</v>
      </c>
      <c r="J14" s="1"/>
      <c r="K14" s="60" t="s">
        <v>332</v>
      </c>
      <c r="L14" s="61" t="s">
        <v>333</v>
      </c>
      <c r="M14" s="60" t="s">
        <v>254</v>
      </c>
      <c r="N14" s="60" t="s">
        <v>334</v>
      </c>
      <c r="O14" s="60" t="s">
        <v>265</v>
      </c>
      <c r="P14" s="60" t="s">
        <v>289</v>
      </c>
      <c r="Q14" s="60" t="s">
        <v>335</v>
      </c>
      <c r="R14" s="60" t="s">
        <v>228</v>
      </c>
      <c r="S14" s="60" t="s">
        <v>336</v>
      </c>
      <c r="T14" s="60" t="s">
        <v>337</v>
      </c>
      <c r="U14" s="60" t="s">
        <v>297</v>
      </c>
    </row>
    <row r="15" customFormat="false" ht="21.75" hidden="false" customHeight="true" outlineLevel="0" collapsed="false">
      <c r="A15" s="48"/>
      <c r="B15" s="48"/>
      <c r="C15" s="48"/>
      <c r="D15" s="43"/>
      <c r="E15" s="43"/>
      <c r="F15" s="48"/>
      <c r="G15" s="50"/>
      <c r="H15" s="59"/>
      <c r="I15" s="43"/>
      <c r="J15" s="1"/>
      <c r="K15" s="60" t="s">
        <v>338</v>
      </c>
      <c r="L15" s="61" t="s">
        <v>339</v>
      </c>
      <c r="M15" s="60"/>
      <c r="N15" s="60" t="s">
        <v>340</v>
      </c>
      <c r="O15" s="60" t="s">
        <v>341</v>
      </c>
      <c r="P15" s="60" t="s">
        <v>342</v>
      </c>
      <c r="Q15" s="60" t="s">
        <v>290</v>
      </c>
      <c r="R15" s="60" t="s">
        <v>343</v>
      </c>
      <c r="S15" s="60"/>
      <c r="T15" s="60" t="s">
        <v>267</v>
      </c>
      <c r="U15" s="60"/>
    </row>
    <row r="16" customFormat="false" ht="21.75" hidden="false" customHeight="true" outlineLevel="0" collapsed="false">
      <c r="A16" s="48"/>
      <c r="B16" s="48"/>
      <c r="C16" s="48"/>
      <c r="D16" s="43"/>
      <c r="E16" s="43"/>
      <c r="F16" s="48"/>
      <c r="G16" s="50"/>
      <c r="H16" s="59"/>
      <c r="I16" s="43"/>
      <c r="J16" s="1"/>
      <c r="K16" s="60" t="s">
        <v>344</v>
      </c>
      <c r="L16" s="61" t="s">
        <v>345</v>
      </c>
      <c r="M16" s="60"/>
      <c r="N16" s="60"/>
      <c r="O16" s="60" t="s">
        <v>346</v>
      </c>
      <c r="P16" s="60" t="s">
        <v>347</v>
      </c>
      <c r="Q16" s="60"/>
      <c r="R16" s="60" t="s">
        <v>348</v>
      </c>
      <c r="S16" s="60"/>
      <c r="T16" s="60"/>
      <c r="U16" s="60"/>
    </row>
    <row r="17" customFormat="false" ht="21.75" hidden="false" customHeight="true" outlineLevel="0" collapsed="false">
      <c r="A17" s="48"/>
      <c r="B17" s="48"/>
      <c r="C17" s="48"/>
      <c r="D17" s="43"/>
      <c r="E17" s="43"/>
      <c r="F17" s="48"/>
      <c r="G17" s="50"/>
      <c r="H17" s="59"/>
      <c r="I17" s="43"/>
      <c r="J17" s="1"/>
      <c r="K17" s="60" t="s">
        <v>349</v>
      </c>
      <c r="L17" s="61" t="s">
        <v>350</v>
      </c>
      <c r="M17" s="60"/>
      <c r="N17" s="60"/>
      <c r="O17" s="60" t="s">
        <v>351</v>
      </c>
      <c r="P17" s="60"/>
      <c r="Q17" s="60"/>
      <c r="R17" s="61" t="s">
        <v>352</v>
      </c>
      <c r="S17" s="60"/>
      <c r="T17" s="60"/>
      <c r="U17" s="60"/>
    </row>
    <row r="18" customFormat="false" ht="21.75" hidden="false" customHeight="true" outlineLevel="0" collapsed="false">
      <c r="A18" s="48"/>
      <c r="B18" s="48"/>
      <c r="C18" s="48"/>
      <c r="D18" s="43"/>
      <c r="E18" s="43"/>
      <c r="F18" s="48"/>
      <c r="G18" s="50"/>
      <c r="H18" s="59"/>
      <c r="I18" s="43"/>
      <c r="J18" s="1"/>
      <c r="K18" s="60" t="s">
        <v>353</v>
      </c>
      <c r="L18" s="61" t="s">
        <v>354</v>
      </c>
      <c r="M18" s="60"/>
      <c r="N18" s="60"/>
      <c r="O18" s="60" t="s">
        <v>355</v>
      </c>
      <c r="P18" s="60"/>
      <c r="Q18" s="60"/>
      <c r="R18" s="60" t="s">
        <v>356</v>
      </c>
      <c r="S18" s="60"/>
      <c r="T18" s="60"/>
      <c r="U18" s="60"/>
    </row>
    <row r="19" customFormat="false" ht="21.75" hidden="false" customHeight="true" outlineLevel="0" collapsed="false">
      <c r="A19" s="48"/>
      <c r="B19" s="48"/>
      <c r="C19" s="48"/>
      <c r="D19" s="43"/>
      <c r="E19" s="43"/>
      <c r="F19" s="48"/>
      <c r="G19" s="50"/>
      <c r="H19" s="59"/>
      <c r="I19" s="43"/>
      <c r="J19" s="1"/>
      <c r="K19" s="60" t="s">
        <v>357</v>
      </c>
      <c r="L19" s="61" t="s">
        <v>358</v>
      </c>
      <c r="M19" s="60"/>
      <c r="N19" s="60"/>
      <c r="O19" s="60" t="s">
        <v>359</v>
      </c>
      <c r="P19" s="60"/>
      <c r="Q19" s="60"/>
      <c r="R19" s="60" t="s">
        <v>359</v>
      </c>
      <c r="S19" s="60"/>
      <c r="T19" s="60"/>
      <c r="U19" s="60"/>
    </row>
    <row r="20" customFormat="false" ht="21.75" hidden="false" customHeight="true" outlineLevel="0" collapsed="false">
      <c r="A20" s="48"/>
      <c r="B20" s="48"/>
      <c r="C20" s="48"/>
      <c r="D20" s="43"/>
      <c r="E20" s="43"/>
      <c r="F20" s="48"/>
      <c r="G20" s="50"/>
      <c r="H20" s="59"/>
      <c r="I20" s="43"/>
      <c r="J20" s="1"/>
      <c r="K20" s="60" t="s">
        <v>360</v>
      </c>
      <c r="L20" s="61" t="s">
        <v>361</v>
      </c>
      <c r="M20" s="60"/>
      <c r="N20" s="60"/>
      <c r="O20" s="60"/>
      <c r="P20" s="60"/>
      <c r="Q20" s="60"/>
      <c r="R20" s="60"/>
      <c r="S20" s="60"/>
      <c r="T20" s="60"/>
      <c r="U20" s="60"/>
    </row>
    <row r="21" customFormat="false" ht="21.75" hidden="false" customHeight="true" outlineLevel="0" collapsed="false">
      <c r="A21" s="48"/>
      <c r="B21" s="48"/>
      <c r="C21" s="48"/>
      <c r="D21" s="43"/>
      <c r="E21" s="43"/>
      <c r="F21" s="48"/>
      <c r="G21" s="50"/>
      <c r="H21" s="59"/>
      <c r="I21" s="43"/>
      <c r="J21" s="1"/>
      <c r="K21" s="60" t="s">
        <v>362</v>
      </c>
      <c r="L21" s="61" t="s">
        <v>363</v>
      </c>
      <c r="M21" s="60"/>
      <c r="N21" s="60"/>
      <c r="O21" s="60"/>
      <c r="P21" s="60"/>
      <c r="Q21" s="60"/>
      <c r="R21" s="60"/>
      <c r="S21" s="60"/>
      <c r="T21" s="60"/>
      <c r="U21" s="60"/>
    </row>
    <row r="22" customFormat="false" ht="21.75" hidden="false" customHeight="true" outlineLevel="0" collapsed="false">
      <c r="A22" s="48"/>
      <c r="B22" s="48"/>
      <c r="C22" s="48"/>
      <c r="D22" s="43"/>
      <c r="E22" s="43"/>
      <c r="F22" s="48"/>
      <c r="G22" s="50"/>
      <c r="H22" s="59"/>
      <c r="I22" s="43"/>
      <c r="J22" s="1"/>
      <c r="K22" s="60" t="s">
        <v>364</v>
      </c>
      <c r="L22" s="61" t="s">
        <v>365</v>
      </c>
      <c r="M22" s="60"/>
      <c r="N22" s="60"/>
      <c r="O22" s="60"/>
      <c r="P22" s="60"/>
      <c r="Q22" s="60"/>
      <c r="R22" s="60"/>
      <c r="S22" s="60"/>
      <c r="T22" s="60"/>
      <c r="U22" s="60"/>
    </row>
    <row r="23" customFormat="false" ht="21.75" hidden="false" customHeight="true" outlineLevel="0" collapsed="false">
      <c r="A23" s="48"/>
      <c r="B23" s="48"/>
      <c r="C23" s="48"/>
      <c r="D23" s="43"/>
      <c r="E23" s="43"/>
      <c r="F23" s="48"/>
      <c r="G23" s="50"/>
      <c r="H23" s="59"/>
      <c r="I23" s="43"/>
      <c r="J23" s="1"/>
      <c r="K23" s="60" t="s">
        <v>366</v>
      </c>
      <c r="L23" s="61" t="s">
        <v>367</v>
      </c>
      <c r="M23" s="60"/>
      <c r="N23" s="60"/>
      <c r="O23" s="60"/>
      <c r="P23" s="60"/>
      <c r="Q23" s="60"/>
      <c r="R23" s="60"/>
      <c r="S23" s="60"/>
      <c r="T23" s="60"/>
      <c r="U23" s="60"/>
    </row>
    <row r="24" customFormat="false" ht="21.75" hidden="false" customHeight="true" outlineLevel="0" collapsed="false">
      <c r="A24" s="48"/>
      <c r="B24" s="48"/>
      <c r="C24" s="48"/>
      <c r="D24" s="43"/>
      <c r="E24" s="43"/>
      <c r="F24" s="48"/>
      <c r="G24" s="50"/>
      <c r="H24" s="59"/>
      <c r="I24" s="43"/>
      <c r="J24" s="1"/>
      <c r="K24" s="60" t="s">
        <v>368</v>
      </c>
      <c r="L24" s="61" t="s">
        <v>369</v>
      </c>
      <c r="M24" s="60"/>
      <c r="N24" s="60"/>
      <c r="O24" s="60"/>
      <c r="P24" s="60"/>
      <c r="Q24" s="60"/>
      <c r="R24" s="60"/>
      <c r="S24" s="60"/>
      <c r="T24" s="60"/>
      <c r="U24" s="60"/>
    </row>
    <row r="25" customFormat="false" ht="21.75" hidden="false" customHeight="true" outlineLevel="0" collapsed="false">
      <c r="A25" s="48"/>
      <c r="B25" s="48"/>
      <c r="C25" s="48"/>
      <c r="D25" s="43"/>
      <c r="E25" s="43"/>
      <c r="F25" s="48"/>
      <c r="G25" s="50"/>
      <c r="H25" s="59"/>
      <c r="I25" s="43"/>
      <c r="J25" s="1"/>
      <c r="K25" s="60" t="s">
        <v>370</v>
      </c>
      <c r="L25" s="61" t="s">
        <v>371</v>
      </c>
      <c r="M25" s="60"/>
      <c r="N25" s="60"/>
      <c r="O25" s="60"/>
      <c r="P25" s="60"/>
      <c r="Q25" s="60"/>
      <c r="R25" s="60"/>
      <c r="S25" s="60"/>
      <c r="T25" s="60"/>
      <c r="U25" s="60"/>
    </row>
    <row r="26" customFormat="false" ht="21.75" hidden="false" customHeight="true" outlineLevel="0" collapsed="false">
      <c r="A26" s="48"/>
      <c r="B26" s="48"/>
      <c r="C26" s="48"/>
      <c r="D26" s="43"/>
      <c r="E26" s="43"/>
      <c r="F26" s="48"/>
      <c r="G26" s="50"/>
      <c r="H26" s="59"/>
      <c r="I26" s="43"/>
      <c r="J26" s="1"/>
      <c r="K26" s="60" t="s">
        <v>372</v>
      </c>
      <c r="L26" s="61" t="s">
        <v>373</v>
      </c>
      <c r="M26" s="60"/>
      <c r="N26" s="60"/>
      <c r="O26" s="60"/>
      <c r="P26" s="60"/>
      <c r="Q26" s="60"/>
      <c r="R26" s="60"/>
      <c r="S26" s="60"/>
      <c r="T26" s="60"/>
      <c r="U26" s="60"/>
    </row>
    <row r="27" customFormat="false" ht="21.75" hidden="false" customHeight="true" outlineLevel="0" collapsed="false">
      <c r="A27" s="48"/>
      <c r="B27" s="48"/>
      <c r="C27" s="48"/>
      <c r="D27" s="43"/>
      <c r="E27" s="43"/>
      <c r="F27" s="48"/>
      <c r="G27" s="50"/>
      <c r="H27" s="59"/>
      <c r="I27" s="43"/>
      <c r="J27" s="1"/>
      <c r="K27" s="60" t="s">
        <v>374</v>
      </c>
      <c r="L27" s="61" t="s">
        <v>375</v>
      </c>
      <c r="M27" s="60"/>
      <c r="N27" s="60"/>
      <c r="O27" s="60"/>
      <c r="P27" s="60"/>
      <c r="Q27" s="60"/>
      <c r="R27" s="60"/>
      <c r="S27" s="60"/>
      <c r="T27" s="60"/>
      <c r="U27" s="60"/>
    </row>
    <row r="28" customFormat="false" ht="21.75" hidden="false" customHeight="true" outlineLevel="0" collapsed="false">
      <c r="A28" s="48"/>
      <c r="B28" s="48"/>
      <c r="C28" s="48"/>
      <c r="D28" s="43"/>
      <c r="E28" s="43"/>
      <c r="F28" s="48"/>
      <c r="G28" s="50"/>
      <c r="H28" s="59"/>
      <c r="I28" s="43"/>
      <c r="J28" s="1"/>
      <c r="K28" s="60" t="s">
        <v>376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</row>
    <row r="29" customFormat="false" ht="21.75" hidden="false" customHeight="true" outlineLevel="0" collapsed="false">
      <c r="A29" s="48"/>
      <c r="B29" s="48"/>
      <c r="C29" s="48"/>
      <c r="D29" s="43"/>
      <c r="E29" s="43"/>
      <c r="F29" s="48"/>
      <c r="G29" s="50"/>
      <c r="H29" s="59"/>
      <c r="I29" s="43"/>
      <c r="J29" s="1"/>
      <c r="K29" s="60" t="s">
        <v>377</v>
      </c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customFormat="false" ht="21.75" hidden="false" customHeight="true" outlineLevel="0" collapsed="false">
      <c r="A30" s="48"/>
      <c r="B30" s="48"/>
      <c r="C30" s="48"/>
      <c r="D30" s="43"/>
      <c r="E30" s="43"/>
      <c r="F30" s="48"/>
      <c r="G30" s="50"/>
      <c r="H30" s="59"/>
      <c r="I30" s="43"/>
      <c r="J30" s="1"/>
      <c r="K30" s="60" t="s">
        <v>378</v>
      </c>
      <c r="L30" s="60"/>
      <c r="M30" s="60"/>
      <c r="N30" s="60"/>
      <c r="O30" s="60"/>
      <c r="P30" s="60"/>
      <c r="Q30" s="60"/>
      <c r="R30" s="60"/>
      <c r="S30" s="60"/>
      <c r="T30" s="60"/>
      <c r="U30" s="60"/>
    </row>
    <row r="31" customFormat="false" ht="21.75" hidden="false" customHeight="true" outlineLevel="0" collapsed="false">
      <c r="A31" s="48"/>
      <c r="B31" s="48"/>
      <c r="C31" s="48"/>
      <c r="D31" s="43"/>
      <c r="E31" s="43"/>
      <c r="F31" s="48"/>
      <c r="G31" s="50"/>
      <c r="H31" s="59"/>
      <c r="I31" s="43"/>
      <c r="J31" s="1"/>
      <c r="K31" s="60" t="s">
        <v>379</v>
      </c>
      <c r="L31" s="60"/>
      <c r="M31" s="60"/>
      <c r="N31" s="60"/>
      <c r="O31" s="60"/>
      <c r="P31" s="60"/>
      <c r="Q31" s="60"/>
      <c r="R31" s="60"/>
      <c r="S31" s="60"/>
      <c r="T31" s="60"/>
      <c r="U31" s="60"/>
    </row>
    <row r="32" customFormat="false" ht="21.75" hidden="false" customHeight="true" outlineLevel="0" collapsed="false">
      <c r="A32" s="48"/>
      <c r="B32" s="48"/>
      <c r="C32" s="48"/>
      <c r="D32" s="43"/>
      <c r="E32" s="43"/>
      <c r="F32" s="48"/>
      <c r="G32" s="50"/>
      <c r="H32" s="59"/>
      <c r="I32" s="43"/>
      <c r="J32" s="1"/>
      <c r="K32" s="60" t="s">
        <v>380</v>
      </c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customFormat="false" ht="21.75" hidden="false" customHeight="true" outlineLevel="0" collapsed="false">
      <c r="A33" s="48"/>
      <c r="B33" s="48"/>
      <c r="C33" s="48"/>
      <c r="D33" s="43"/>
      <c r="E33" s="43"/>
      <c r="F33" s="48"/>
      <c r="G33" s="50"/>
      <c r="H33" s="59"/>
      <c r="I33" s="43"/>
      <c r="J33" s="1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</row>
    <row r="34" customFormat="false" ht="21.75" hidden="false" customHeight="true" outlineLevel="0" collapsed="false">
      <c r="A34" s="48"/>
      <c r="B34" s="48"/>
      <c r="C34" s="48"/>
      <c r="D34" s="43"/>
      <c r="E34" s="43"/>
      <c r="F34" s="48"/>
      <c r="G34" s="50"/>
      <c r="H34" s="59"/>
      <c r="I34" s="43"/>
      <c r="J34" s="1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</row>
    <row r="35" customFormat="false" ht="21.75" hidden="false" customHeight="true" outlineLevel="0" collapsed="false">
      <c r="A35" s="48"/>
      <c r="B35" s="48"/>
      <c r="C35" s="48"/>
      <c r="D35" s="43"/>
      <c r="E35" s="43"/>
      <c r="F35" s="48"/>
      <c r="G35" s="50"/>
      <c r="H35" s="59"/>
      <c r="I35" s="43"/>
      <c r="J35" s="1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</row>
    <row r="36" customFormat="false" ht="21.75" hidden="false" customHeight="true" outlineLevel="0" collapsed="false">
      <c r="A36" s="48"/>
      <c r="B36" s="48"/>
      <c r="C36" s="48"/>
      <c r="D36" s="43"/>
      <c r="E36" s="43"/>
      <c r="F36" s="48"/>
      <c r="G36" s="50"/>
      <c r="H36" s="59"/>
      <c r="I36" s="43"/>
      <c r="J36" s="1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</row>
    <row r="37" customFormat="false" ht="21.75" hidden="false" customHeight="true" outlineLevel="0" collapsed="false">
      <c r="A37" s="48"/>
      <c r="B37" s="48"/>
      <c r="C37" s="48"/>
      <c r="D37" s="43"/>
      <c r="E37" s="43"/>
      <c r="F37" s="48"/>
      <c r="G37" s="50"/>
      <c r="H37" s="59"/>
      <c r="I37" s="43"/>
      <c r="J37" s="1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</row>
    <row r="38" customFormat="false" ht="21.75" hidden="false" customHeight="true" outlineLevel="0" collapsed="false">
      <c r="A38" s="48"/>
      <c r="B38" s="48"/>
      <c r="C38" s="48"/>
      <c r="D38" s="43"/>
      <c r="E38" s="43"/>
      <c r="F38" s="48"/>
      <c r="G38" s="50"/>
      <c r="H38" s="59"/>
      <c r="I38" s="43"/>
      <c r="J38" s="1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</row>
    <row r="39" customFormat="false" ht="21.75" hidden="false" customHeight="true" outlineLevel="0" collapsed="false">
      <c r="A39" s="48"/>
      <c r="B39" s="48"/>
      <c r="C39" s="48"/>
      <c r="D39" s="43"/>
      <c r="E39" s="43"/>
      <c r="F39" s="48"/>
      <c r="G39" s="50"/>
      <c r="H39" s="59"/>
      <c r="I39" s="43"/>
      <c r="J39" s="1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</row>
    <row r="40" customFormat="false" ht="21.75" hidden="false" customHeight="true" outlineLevel="0" collapsed="false">
      <c r="A40" s="48"/>
      <c r="B40" s="48"/>
      <c r="C40" s="48"/>
      <c r="D40" s="43"/>
      <c r="E40" s="43"/>
      <c r="F40" s="48"/>
      <c r="G40" s="50"/>
      <c r="H40" s="59"/>
      <c r="I40" s="43"/>
      <c r="J40" s="1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</row>
    <row r="41" customFormat="false" ht="21.75" hidden="false" customHeight="true" outlineLevel="0" collapsed="false">
      <c r="A41" s="48"/>
      <c r="B41" s="48"/>
      <c r="C41" s="48"/>
      <c r="D41" s="43"/>
      <c r="E41" s="43"/>
      <c r="F41" s="48"/>
      <c r="G41" s="50"/>
      <c r="H41" s="59"/>
      <c r="I41" s="4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customFormat="false" ht="21.75" hidden="false" customHeight="true" outlineLevel="0" collapsed="false">
      <c r="A42" s="48"/>
      <c r="B42" s="48"/>
      <c r="C42" s="48"/>
      <c r="D42" s="43"/>
      <c r="E42" s="43"/>
      <c r="F42" s="48"/>
      <c r="G42" s="50"/>
      <c r="H42" s="59"/>
      <c r="I42" s="4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customFormat="false" ht="21.75" hidden="false" customHeight="true" outlineLevel="0" collapsed="false">
      <c r="A43" s="48"/>
      <c r="B43" s="48"/>
      <c r="C43" s="48"/>
      <c r="D43" s="43"/>
      <c r="E43" s="43"/>
      <c r="F43" s="48"/>
      <c r="G43" s="50"/>
      <c r="H43" s="59"/>
      <c r="I43" s="4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customFormat="false" ht="21.75" hidden="false" customHeight="true" outlineLevel="0" collapsed="false">
      <c r="A44" s="48"/>
      <c r="B44" s="48"/>
      <c r="C44" s="48"/>
      <c r="D44" s="43"/>
      <c r="E44" s="43"/>
      <c r="F44" s="48"/>
      <c r="G44" s="50"/>
      <c r="H44" s="59"/>
      <c r="I44" s="4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customFormat="false" ht="21.75" hidden="false" customHeight="true" outlineLevel="0" collapsed="false">
      <c r="A45" s="48"/>
      <c r="B45" s="48"/>
      <c r="C45" s="48"/>
      <c r="D45" s="43"/>
      <c r="E45" s="43"/>
      <c r="F45" s="48"/>
      <c r="G45" s="50"/>
      <c r="H45" s="59"/>
      <c r="I45" s="4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customFormat="false" ht="21.75" hidden="false" customHeight="true" outlineLevel="0" collapsed="false">
      <c r="A46" s="48"/>
      <c r="B46" s="48"/>
      <c r="C46" s="48"/>
      <c r="D46" s="43"/>
      <c r="E46" s="43"/>
      <c r="F46" s="48"/>
      <c r="G46" s="50"/>
      <c r="H46" s="59"/>
      <c r="I46" s="4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customFormat="false" ht="21.75" hidden="false" customHeight="true" outlineLevel="0" collapsed="false">
      <c r="A47" s="48"/>
      <c r="B47" s="48"/>
      <c r="C47" s="48"/>
      <c r="D47" s="43"/>
      <c r="E47" s="43"/>
      <c r="F47" s="48"/>
      <c r="G47" s="50"/>
      <c r="H47" s="59"/>
      <c r="I47" s="4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customFormat="false" ht="21.75" hidden="false" customHeight="true" outlineLevel="0" collapsed="false">
      <c r="A48" s="48"/>
      <c r="B48" s="48"/>
      <c r="C48" s="48"/>
      <c r="D48" s="43"/>
      <c r="E48" s="43"/>
      <c r="F48" s="48"/>
      <c r="G48" s="50"/>
      <c r="H48" s="59"/>
      <c r="I48" s="4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customFormat="false" ht="21.75" hidden="false" customHeight="true" outlineLevel="0" collapsed="false">
      <c r="A49" s="48"/>
      <c r="B49" s="48"/>
      <c r="C49" s="48"/>
      <c r="D49" s="43"/>
      <c r="E49" s="43"/>
      <c r="F49" s="48"/>
      <c r="G49" s="50"/>
      <c r="H49" s="59"/>
      <c r="I49" s="4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customFormat="false" ht="21.75" hidden="false" customHeight="true" outlineLevel="0" collapsed="false">
      <c r="A50" s="48"/>
      <c r="B50" s="48"/>
      <c r="C50" s="48"/>
      <c r="D50" s="43"/>
      <c r="E50" s="43"/>
      <c r="F50" s="48"/>
      <c r="G50" s="50"/>
      <c r="H50" s="59"/>
      <c r="I50" s="4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customFormat="false" ht="21.75" hidden="false" customHeight="true" outlineLevel="0" collapsed="false">
      <c r="A51" s="48"/>
      <c r="B51" s="48"/>
      <c r="C51" s="48"/>
      <c r="D51" s="43"/>
      <c r="E51" s="43"/>
      <c r="F51" s="48"/>
      <c r="G51" s="50"/>
      <c r="H51" s="59"/>
      <c r="I51" s="4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customFormat="false" ht="21.75" hidden="false" customHeight="true" outlineLevel="0" collapsed="false">
      <c r="A52" s="48"/>
      <c r="B52" s="48"/>
      <c r="C52" s="48"/>
      <c r="D52" s="43"/>
      <c r="E52" s="43"/>
      <c r="F52" s="48"/>
      <c r="G52" s="50"/>
      <c r="H52" s="59"/>
      <c r="I52" s="4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customFormat="false" ht="21.75" hidden="false" customHeight="true" outlineLevel="0" collapsed="false">
      <c r="A53" s="48"/>
      <c r="B53" s="48"/>
      <c r="C53" s="48"/>
      <c r="D53" s="43"/>
      <c r="E53" s="43"/>
      <c r="F53" s="48"/>
      <c r="G53" s="50"/>
      <c r="H53" s="59"/>
      <c r="I53" s="4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customFormat="false" ht="21.75" hidden="false" customHeight="true" outlineLevel="0" collapsed="false">
      <c r="A54" s="48"/>
      <c r="B54" s="48"/>
      <c r="C54" s="48"/>
      <c r="D54" s="43"/>
      <c r="E54" s="43"/>
      <c r="F54" s="48"/>
      <c r="G54" s="50"/>
      <c r="H54" s="59"/>
      <c r="I54" s="4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customFormat="false" ht="21.75" hidden="false" customHeight="true" outlineLevel="0" collapsed="false">
      <c r="A55" s="48"/>
      <c r="B55" s="48"/>
      <c r="C55" s="48"/>
      <c r="D55" s="43"/>
      <c r="E55" s="43"/>
      <c r="F55" s="48"/>
      <c r="G55" s="50"/>
      <c r="H55" s="59"/>
      <c r="I55" s="4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customFormat="false" ht="21.75" hidden="false" customHeight="true" outlineLevel="0" collapsed="false">
      <c r="A56" s="48"/>
      <c r="B56" s="48"/>
      <c r="C56" s="48"/>
      <c r="D56" s="43"/>
      <c r="E56" s="43"/>
      <c r="F56" s="48"/>
      <c r="G56" s="50"/>
      <c r="H56" s="59"/>
      <c r="I56" s="4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customFormat="false" ht="21.75" hidden="false" customHeight="true" outlineLevel="0" collapsed="false">
      <c r="A57" s="48"/>
      <c r="B57" s="48"/>
      <c r="C57" s="48"/>
      <c r="D57" s="43"/>
      <c r="E57" s="43"/>
      <c r="F57" s="48"/>
      <c r="G57" s="50"/>
      <c r="H57" s="59"/>
      <c r="I57" s="4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customFormat="false" ht="21.75" hidden="false" customHeight="true" outlineLevel="0" collapsed="false">
      <c r="A58" s="48"/>
      <c r="B58" s="48"/>
      <c r="C58" s="48"/>
      <c r="D58" s="43"/>
      <c r="E58" s="43"/>
      <c r="F58" s="48"/>
      <c r="G58" s="50"/>
      <c r="H58" s="59"/>
      <c r="I58" s="4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customFormat="false" ht="21.75" hidden="false" customHeight="true" outlineLevel="0" collapsed="false">
      <c r="A59" s="48"/>
      <c r="B59" s="48"/>
      <c r="C59" s="48"/>
      <c r="D59" s="43"/>
      <c r="E59" s="43"/>
      <c r="F59" s="48"/>
      <c r="G59" s="50"/>
      <c r="H59" s="59"/>
      <c r="I59" s="4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customFormat="false" ht="21.75" hidden="false" customHeight="true" outlineLevel="0" collapsed="false">
      <c r="A60" s="48"/>
      <c r="B60" s="48"/>
      <c r="C60" s="48"/>
      <c r="D60" s="43"/>
      <c r="E60" s="43"/>
      <c r="F60" s="48"/>
      <c r="G60" s="50"/>
      <c r="H60" s="59"/>
      <c r="I60" s="4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customFormat="false" ht="21.75" hidden="false" customHeight="true" outlineLevel="0" collapsed="false">
      <c r="A61" s="48"/>
      <c r="B61" s="48"/>
      <c r="C61" s="48"/>
      <c r="D61" s="43"/>
      <c r="E61" s="43"/>
      <c r="F61" s="48"/>
      <c r="G61" s="50"/>
      <c r="H61" s="59"/>
      <c r="I61" s="4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customFormat="false" ht="21.75" hidden="false" customHeight="true" outlineLevel="0" collapsed="false">
      <c r="A62" s="48"/>
      <c r="B62" s="48"/>
      <c r="C62" s="48"/>
      <c r="D62" s="43"/>
      <c r="E62" s="43"/>
      <c r="F62" s="48"/>
      <c r="G62" s="50"/>
      <c r="H62" s="59"/>
      <c r="I62" s="4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customFormat="false" ht="21.75" hidden="false" customHeight="true" outlineLevel="0" collapsed="false">
      <c r="A63" s="48"/>
      <c r="B63" s="48"/>
      <c r="C63" s="48"/>
      <c r="D63" s="43"/>
      <c r="E63" s="43"/>
      <c r="F63" s="48"/>
      <c r="G63" s="50"/>
      <c r="H63" s="59"/>
      <c r="I63" s="4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customFormat="false" ht="21.75" hidden="false" customHeight="true" outlineLevel="0" collapsed="false">
      <c r="A64" s="48"/>
      <c r="B64" s="48"/>
      <c r="C64" s="48"/>
      <c r="D64" s="43"/>
      <c r="E64" s="43"/>
      <c r="F64" s="48"/>
      <c r="G64" s="50"/>
      <c r="H64" s="59"/>
      <c r="I64" s="4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customFormat="false" ht="21.75" hidden="false" customHeight="true" outlineLevel="0" collapsed="false">
      <c r="A65" s="48"/>
      <c r="B65" s="48"/>
      <c r="C65" s="48"/>
      <c r="D65" s="43"/>
      <c r="E65" s="43"/>
      <c r="F65" s="48"/>
      <c r="G65" s="50"/>
      <c r="H65" s="59"/>
      <c r="I65" s="4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customFormat="false" ht="21.75" hidden="false" customHeight="true" outlineLevel="0" collapsed="false">
      <c r="A66" s="48"/>
      <c r="B66" s="48"/>
      <c r="C66" s="48"/>
      <c r="D66" s="43"/>
      <c r="E66" s="43"/>
      <c r="F66" s="48"/>
      <c r="G66" s="50"/>
      <c r="H66" s="59"/>
      <c r="I66" s="4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customFormat="false" ht="21.75" hidden="false" customHeight="true" outlineLevel="0" collapsed="false">
      <c r="A67" s="48"/>
      <c r="B67" s="48"/>
      <c r="C67" s="48"/>
      <c r="D67" s="43"/>
      <c r="E67" s="43"/>
      <c r="F67" s="48"/>
      <c r="G67" s="50"/>
      <c r="H67" s="59"/>
      <c r="I67" s="4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customFormat="false" ht="21.75" hidden="false" customHeight="true" outlineLevel="0" collapsed="false">
      <c r="A68" s="48"/>
      <c r="B68" s="48"/>
      <c r="C68" s="48"/>
      <c r="D68" s="43"/>
      <c r="E68" s="43"/>
      <c r="F68" s="48"/>
      <c r="G68" s="50"/>
      <c r="H68" s="59"/>
      <c r="I68" s="4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customFormat="false" ht="21.75" hidden="false" customHeight="true" outlineLevel="0" collapsed="false">
      <c r="A69" s="48"/>
      <c r="B69" s="48"/>
      <c r="C69" s="48"/>
      <c r="D69" s="43"/>
      <c r="E69" s="43"/>
      <c r="F69" s="48"/>
      <c r="G69" s="50"/>
      <c r="H69" s="59"/>
      <c r="I69" s="4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customFormat="false" ht="21.75" hidden="false" customHeight="true" outlineLevel="0" collapsed="false">
      <c r="A70" s="48"/>
      <c r="B70" s="48"/>
      <c r="C70" s="48"/>
      <c r="D70" s="43"/>
      <c r="E70" s="43"/>
      <c r="F70" s="48"/>
      <c r="G70" s="50"/>
      <c r="H70" s="59"/>
      <c r="I70" s="4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customFormat="false" ht="21.75" hidden="false" customHeight="true" outlineLevel="0" collapsed="false">
      <c r="A71" s="48"/>
      <c r="B71" s="48"/>
      <c r="C71" s="48"/>
      <c r="D71" s="43"/>
      <c r="E71" s="43"/>
      <c r="F71" s="48"/>
      <c r="G71" s="50"/>
      <c r="H71" s="59"/>
      <c r="I71" s="4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customFormat="false" ht="21.75" hidden="false" customHeight="true" outlineLevel="0" collapsed="false">
      <c r="A72" s="48"/>
      <c r="B72" s="48"/>
      <c r="C72" s="48"/>
      <c r="D72" s="43"/>
      <c r="E72" s="43"/>
      <c r="F72" s="48"/>
      <c r="G72" s="50"/>
      <c r="H72" s="59"/>
      <c r="I72" s="4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customFormat="false" ht="21.75" hidden="false" customHeight="true" outlineLevel="0" collapsed="false">
      <c r="A73" s="48"/>
      <c r="B73" s="48"/>
      <c r="C73" s="48"/>
      <c r="D73" s="43"/>
      <c r="E73" s="43"/>
      <c r="F73" s="48"/>
      <c r="G73" s="50"/>
      <c r="H73" s="59"/>
      <c r="I73" s="4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customFormat="false" ht="21.75" hidden="false" customHeight="true" outlineLevel="0" collapsed="false">
      <c r="A74" s="48"/>
      <c r="B74" s="48"/>
      <c r="C74" s="48"/>
      <c r="D74" s="43"/>
      <c r="E74" s="43"/>
      <c r="F74" s="48"/>
      <c r="G74" s="50"/>
      <c r="H74" s="59"/>
      <c r="I74" s="4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customFormat="false" ht="21.75" hidden="false" customHeight="true" outlineLevel="0" collapsed="false">
      <c r="A75" s="48"/>
      <c r="B75" s="48"/>
      <c r="C75" s="48"/>
      <c r="D75" s="43"/>
      <c r="E75" s="43"/>
      <c r="F75" s="48"/>
      <c r="G75" s="50"/>
      <c r="H75" s="59"/>
      <c r="I75" s="4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customFormat="false" ht="21.75" hidden="false" customHeight="true" outlineLevel="0" collapsed="false">
      <c r="A76" s="48"/>
      <c r="B76" s="48"/>
      <c r="C76" s="48"/>
      <c r="D76" s="43"/>
      <c r="E76" s="43"/>
      <c r="F76" s="48"/>
      <c r="G76" s="50"/>
      <c r="H76" s="59"/>
      <c r="I76" s="4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customFormat="false" ht="21.75" hidden="false" customHeight="true" outlineLevel="0" collapsed="false">
      <c r="A77" s="48"/>
      <c r="B77" s="48"/>
      <c r="C77" s="48"/>
      <c r="D77" s="43"/>
      <c r="E77" s="43"/>
      <c r="F77" s="48"/>
      <c r="G77" s="50"/>
      <c r="H77" s="59"/>
      <c r="I77" s="4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customFormat="false" ht="21.75" hidden="false" customHeight="true" outlineLevel="0" collapsed="false">
      <c r="A78" s="48"/>
      <c r="B78" s="48"/>
      <c r="C78" s="48"/>
      <c r="D78" s="43"/>
      <c r="E78" s="43"/>
      <c r="F78" s="48"/>
      <c r="G78" s="50"/>
      <c r="H78" s="59"/>
      <c r="I78" s="4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customFormat="false" ht="21.75" hidden="false" customHeight="true" outlineLevel="0" collapsed="false">
      <c r="A79" s="48"/>
      <c r="B79" s="48"/>
      <c r="C79" s="48"/>
      <c r="D79" s="43"/>
      <c r="E79" s="43"/>
      <c r="F79" s="48"/>
      <c r="G79" s="50"/>
      <c r="H79" s="59"/>
      <c r="I79" s="4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customFormat="false" ht="21.75" hidden="false" customHeight="true" outlineLevel="0" collapsed="false">
      <c r="A80" s="48"/>
      <c r="B80" s="48"/>
      <c r="C80" s="48"/>
      <c r="D80" s="43"/>
      <c r="E80" s="43"/>
      <c r="F80" s="48"/>
      <c r="G80" s="50"/>
      <c r="H80" s="59"/>
      <c r="I80" s="4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customFormat="false" ht="21.75" hidden="false" customHeight="true" outlineLevel="0" collapsed="false">
      <c r="A81" s="48"/>
      <c r="B81" s="48"/>
      <c r="C81" s="48"/>
      <c r="D81" s="43"/>
      <c r="E81" s="43"/>
      <c r="F81" s="48"/>
      <c r="G81" s="50"/>
      <c r="H81" s="59"/>
      <c r="I81" s="4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customFormat="false" ht="21.75" hidden="false" customHeight="true" outlineLevel="0" collapsed="false">
      <c r="A82" s="48"/>
      <c r="B82" s="48"/>
      <c r="C82" s="48"/>
      <c r="D82" s="43"/>
      <c r="E82" s="43"/>
      <c r="F82" s="48"/>
      <c r="G82" s="50"/>
      <c r="H82" s="59"/>
      <c r="I82" s="4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customFormat="false" ht="21.75" hidden="false" customHeight="true" outlineLevel="0" collapsed="false">
      <c r="A83" s="48"/>
      <c r="B83" s="48"/>
      <c r="C83" s="48"/>
      <c r="D83" s="43"/>
      <c r="E83" s="43"/>
      <c r="F83" s="48"/>
      <c r="G83" s="50"/>
      <c r="H83" s="59"/>
      <c r="I83" s="4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customFormat="false" ht="21.75" hidden="false" customHeight="true" outlineLevel="0" collapsed="false">
      <c r="A84" s="48"/>
      <c r="B84" s="48"/>
      <c r="C84" s="48"/>
      <c r="D84" s="43"/>
      <c r="E84" s="43"/>
      <c r="F84" s="48"/>
      <c r="G84" s="50"/>
      <c r="H84" s="59"/>
      <c r="I84" s="4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customFormat="false" ht="21.75" hidden="false" customHeight="true" outlineLevel="0" collapsed="false">
      <c r="A85" s="48"/>
      <c r="B85" s="48"/>
      <c r="C85" s="48"/>
      <c r="D85" s="43"/>
      <c r="E85" s="43"/>
      <c r="F85" s="48"/>
      <c r="G85" s="50"/>
      <c r="H85" s="59"/>
      <c r="I85" s="4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customFormat="false" ht="21.75" hidden="false" customHeight="true" outlineLevel="0" collapsed="false">
      <c r="A86" s="48"/>
      <c r="B86" s="48"/>
      <c r="C86" s="48"/>
      <c r="D86" s="43"/>
      <c r="E86" s="43"/>
      <c r="F86" s="48"/>
      <c r="G86" s="50"/>
      <c r="H86" s="59"/>
      <c r="I86" s="4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customFormat="false" ht="21.75" hidden="false" customHeight="true" outlineLevel="0" collapsed="false">
      <c r="A87" s="48"/>
      <c r="B87" s="48"/>
      <c r="C87" s="48"/>
      <c r="D87" s="43"/>
      <c r="E87" s="43"/>
      <c r="F87" s="48"/>
      <c r="G87" s="50"/>
      <c r="H87" s="59"/>
      <c r="I87" s="4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customFormat="false" ht="21.75" hidden="false" customHeight="true" outlineLevel="0" collapsed="false">
      <c r="A88" s="48"/>
      <c r="B88" s="48"/>
      <c r="C88" s="48"/>
      <c r="D88" s="43"/>
      <c r="E88" s="43"/>
      <c r="F88" s="48"/>
      <c r="G88" s="50"/>
      <c r="H88" s="59"/>
      <c r="I88" s="4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customFormat="false" ht="21.75" hidden="false" customHeight="true" outlineLevel="0" collapsed="false">
      <c r="A89" s="48"/>
      <c r="B89" s="48"/>
      <c r="C89" s="48"/>
      <c r="D89" s="43"/>
      <c r="E89" s="43"/>
      <c r="F89" s="48"/>
      <c r="G89" s="50"/>
      <c r="H89" s="59"/>
      <c r="I89" s="4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customFormat="false" ht="21.75" hidden="false" customHeight="true" outlineLevel="0" collapsed="false">
      <c r="A90" s="48"/>
      <c r="B90" s="48"/>
      <c r="C90" s="48"/>
      <c r="D90" s="43"/>
      <c r="E90" s="43"/>
      <c r="F90" s="48"/>
      <c r="G90" s="50"/>
      <c r="H90" s="59"/>
      <c r="I90" s="4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customFormat="false" ht="21.75" hidden="false" customHeight="true" outlineLevel="0" collapsed="false">
      <c r="A91" s="48"/>
      <c r="B91" s="48"/>
      <c r="C91" s="48"/>
      <c r="D91" s="43"/>
      <c r="E91" s="43"/>
      <c r="F91" s="48"/>
      <c r="G91" s="50"/>
      <c r="H91" s="59"/>
      <c r="I91" s="4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customFormat="false" ht="21.75" hidden="false" customHeight="true" outlineLevel="0" collapsed="false">
      <c r="A92" s="48"/>
      <c r="B92" s="48"/>
      <c r="C92" s="48"/>
      <c r="D92" s="43"/>
      <c r="E92" s="43"/>
      <c r="F92" s="48"/>
      <c r="G92" s="50"/>
      <c r="H92" s="59"/>
      <c r="I92" s="4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customFormat="false" ht="21.75" hidden="false" customHeight="true" outlineLevel="0" collapsed="false">
      <c r="A93" s="48"/>
      <c r="B93" s="48"/>
      <c r="C93" s="48"/>
      <c r="D93" s="43"/>
      <c r="E93" s="43"/>
      <c r="F93" s="48"/>
      <c r="G93" s="50"/>
      <c r="H93" s="59"/>
      <c r="I93" s="4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customFormat="false" ht="21.75" hidden="false" customHeight="true" outlineLevel="0" collapsed="false">
      <c r="A94" s="48"/>
      <c r="B94" s="48"/>
      <c r="C94" s="48"/>
      <c r="D94" s="43"/>
      <c r="E94" s="43"/>
      <c r="F94" s="48"/>
      <c r="G94" s="50"/>
      <c r="H94" s="59"/>
      <c r="I94" s="4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customFormat="false" ht="21.75" hidden="false" customHeight="true" outlineLevel="0" collapsed="false">
      <c r="A95" s="48"/>
      <c r="B95" s="48"/>
      <c r="C95" s="48"/>
      <c r="D95" s="43"/>
      <c r="E95" s="43"/>
      <c r="F95" s="48"/>
      <c r="G95" s="50"/>
      <c r="H95" s="59"/>
      <c r="I95" s="4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customFormat="false" ht="21.75" hidden="false" customHeight="true" outlineLevel="0" collapsed="false">
      <c r="A96" s="48"/>
      <c r="B96" s="48"/>
      <c r="C96" s="48"/>
      <c r="D96" s="43"/>
      <c r="E96" s="43"/>
      <c r="F96" s="48"/>
      <c r="G96" s="50"/>
      <c r="H96" s="59"/>
      <c r="I96" s="4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customFormat="false" ht="21.75" hidden="false" customHeight="true" outlineLevel="0" collapsed="false">
      <c r="A97" s="48"/>
      <c r="B97" s="48"/>
      <c r="C97" s="48"/>
      <c r="D97" s="43"/>
      <c r="E97" s="43"/>
      <c r="F97" s="48"/>
      <c r="G97" s="50"/>
      <c r="H97" s="59"/>
      <c r="I97" s="4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customFormat="false" ht="21.75" hidden="false" customHeight="true" outlineLevel="0" collapsed="false">
      <c r="A98" s="48"/>
      <c r="B98" s="48"/>
      <c r="C98" s="48"/>
      <c r="D98" s="43"/>
      <c r="E98" s="43"/>
      <c r="F98" s="48"/>
      <c r="G98" s="50"/>
      <c r="H98" s="59"/>
      <c r="I98" s="4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customFormat="false" ht="21.75" hidden="false" customHeight="true" outlineLevel="0" collapsed="false">
      <c r="A99" s="48"/>
      <c r="B99" s="48"/>
      <c r="C99" s="48"/>
      <c r="D99" s="43"/>
      <c r="E99" s="43"/>
      <c r="F99" s="48"/>
      <c r="G99" s="50"/>
      <c r="H99" s="59"/>
      <c r="I99" s="4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customFormat="false" ht="21.75" hidden="false" customHeight="true" outlineLevel="0" collapsed="false">
      <c r="A100" s="48"/>
      <c r="B100" s="48"/>
      <c r="C100" s="48"/>
      <c r="D100" s="43"/>
      <c r="E100" s="43"/>
      <c r="F100" s="48"/>
      <c r="G100" s="50"/>
      <c r="H100" s="59"/>
      <c r="I100" s="4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customFormat="false" ht="21.75" hidden="false" customHeight="true" outlineLevel="0" collapsed="false">
      <c r="A101" s="48"/>
      <c r="B101" s="48"/>
      <c r="C101" s="48"/>
      <c r="D101" s="43"/>
      <c r="E101" s="43"/>
      <c r="F101" s="48"/>
      <c r="G101" s="50"/>
      <c r="H101" s="59"/>
      <c r="I101" s="4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customFormat="false" ht="21.75" hidden="false" customHeight="true" outlineLevel="0" collapsed="false">
      <c r="A102" s="48"/>
      <c r="B102" s="48"/>
      <c r="C102" s="48"/>
      <c r="D102" s="43"/>
      <c r="E102" s="43"/>
      <c r="F102" s="48"/>
      <c r="G102" s="50"/>
      <c r="H102" s="59"/>
      <c r="I102" s="4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customFormat="false" ht="21.75" hidden="false" customHeight="true" outlineLevel="0" collapsed="false">
      <c r="A103" s="48"/>
      <c r="B103" s="48"/>
      <c r="C103" s="48"/>
      <c r="D103" s="43"/>
      <c r="E103" s="43"/>
      <c r="F103" s="48"/>
      <c r="G103" s="50"/>
      <c r="H103" s="59"/>
      <c r="I103" s="4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customFormat="false" ht="21.75" hidden="false" customHeight="true" outlineLevel="0" collapsed="false">
      <c r="A104" s="48"/>
      <c r="B104" s="48"/>
      <c r="C104" s="48"/>
      <c r="D104" s="43"/>
      <c r="E104" s="43"/>
      <c r="F104" s="48"/>
      <c r="G104" s="50"/>
      <c r="H104" s="59"/>
      <c r="I104" s="4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customFormat="false" ht="21.75" hidden="false" customHeight="true" outlineLevel="0" collapsed="false">
      <c r="A105" s="48"/>
      <c r="B105" s="48"/>
      <c r="C105" s="48"/>
      <c r="D105" s="43"/>
      <c r="E105" s="43"/>
      <c r="F105" s="48"/>
      <c r="G105" s="50"/>
      <c r="H105" s="59"/>
      <c r="I105" s="4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customFormat="false" ht="21.75" hidden="false" customHeight="true" outlineLevel="0" collapsed="false">
      <c r="A106" s="48"/>
      <c r="B106" s="48"/>
      <c r="C106" s="48"/>
      <c r="D106" s="43"/>
      <c r="E106" s="43"/>
      <c r="F106" s="48"/>
      <c r="G106" s="50"/>
      <c r="H106" s="59"/>
      <c r="I106" s="4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customFormat="false" ht="21.75" hidden="false" customHeight="true" outlineLevel="0" collapsed="false">
      <c r="A107" s="48"/>
      <c r="B107" s="48"/>
      <c r="C107" s="48"/>
      <c r="D107" s="43"/>
      <c r="E107" s="43"/>
      <c r="F107" s="48"/>
      <c r="G107" s="50"/>
      <c r="H107" s="59"/>
      <c r="I107" s="4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customFormat="false" ht="21.75" hidden="false" customHeight="true" outlineLevel="0" collapsed="false">
      <c r="A108" s="48"/>
      <c r="B108" s="48"/>
      <c r="C108" s="48"/>
      <c r="D108" s="43"/>
      <c r="E108" s="43"/>
      <c r="F108" s="48"/>
      <c r="G108" s="50"/>
      <c r="H108" s="59"/>
      <c r="I108" s="4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customFormat="false" ht="21.75" hidden="false" customHeight="true" outlineLevel="0" collapsed="false">
      <c r="A109" s="48"/>
      <c r="B109" s="48"/>
      <c r="C109" s="48"/>
      <c r="D109" s="43"/>
      <c r="E109" s="43"/>
      <c r="F109" s="48"/>
      <c r="G109" s="50"/>
      <c r="H109" s="59"/>
      <c r="I109" s="4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customFormat="false" ht="21.75" hidden="false" customHeight="true" outlineLevel="0" collapsed="false">
      <c r="A110" s="48"/>
      <c r="B110" s="48"/>
      <c r="C110" s="48"/>
      <c r="D110" s="43"/>
      <c r="E110" s="43"/>
      <c r="F110" s="48"/>
      <c r="G110" s="50"/>
      <c r="H110" s="59"/>
      <c r="I110" s="4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customFormat="false" ht="21.75" hidden="false" customHeight="true" outlineLevel="0" collapsed="false">
      <c r="A111" s="48"/>
      <c r="B111" s="48"/>
      <c r="C111" s="48"/>
      <c r="D111" s="43"/>
      <c r="E111" s="43"/>
      <c r="F111" s="48"/>
      <c r="G111" s="50"/>
      <c r="H111" s="59"/>
      <c r="I111" s="4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customFormat="false" ht="21.75" hidden="false" customHeight="true" outlineLevel="0" collapsed="false">
      <c r="A112" s="48"/>
      <c r="B112" s="48"/>
      <c r="C112" s="48"/>
      <c r="D112" s="43"/>
      <c r="E112" s="43"/>
      <c r="F112" s="48"/>
      <c r="G112" s="50"/>
      <c r="H112" s="59"/>
      <c r="I112" s="4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customFormat="false" ht="21.75" hidden="false" customHeight="true" outlineLevel="0" collapsed="false">
      <c r="A113" s="48"/>
      <c r="B113" s="48"/>
      <c r="C113" s="48"/>
      <c r="D113" s="43"/>
      <c r="E113" s="43"/>
      <c r="F113" s="48"/>
      <c r="G113" s="50"/>
      <c r="H113" s="59"/>
      <c r="I113" s="4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customFormat="false" ht="21.75" hidden="false" customHeight="true" outlineLevel="0" collapsed="false">
      <c r="A114" s="48"/>
      <c r="B114" s="48"/>
      <c r="C114" s="48"/>
      <c r="D114" s="43"/>
      <c r="E114" s="43"/>
      <c r="F114" s="48"/>
      <c r="G114" s="50"/>
      <c r="H114" s="59"/>
      <c r="I114" s="4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customFormat="false" ht="21.75" hidden="false" customHeight="true" outlineLevel="0" collapsed="false">
      <c r="A115" s="48"/>
      <c r="B115" s="48"/>
      <c r="C115" s="48"/>
      <c r="D115" s="43"/>
      <c r="E115" s="43"/>
      <c r="F115" s="48"/>
      <c r="G115" s="50"/>
      <c r="H115" s="59"/>
      <c r="I115" s="4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customFormat="false" ht="21.75" hidden="false" customHeight="true" outlineLevel="0" collapsed="false">
      <c r="A116" s="48"/>
      <c r="B116" s="48"/>
      <c r="C116" s="48"/>
      <c r="D116" s="43"/>
      <c r="E116" s="43"/>
      <c r="F116" s="48"/>
      <c r="G116" s="50"/>
      <c r="H116" s="59"/>
      <c r="I116" s="4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customFormat="false" ht="21.75" hidden="false" customHeight="true" outlineLevel="0" collapsed="false">
      <c r="A117" s="48"/>
      <c r="B117" s="48"/>
      <c r="C117" s="48"/>
      <c r="D117" s="43"/>
      <c r="E117" s="43"/>
      <c r="F117" s="48"/>
      <c r="G117" s="50"/>
      <c r="H117" s="59"/>
      <c r="I117" s="4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customFormat="false" ht="21.75" hidden="false" customHeight="true" outlineLevel="0" collapsed="false">
      <c r="A118" s="48"/>
      <c r="B118" s="48"/>
      <c r="C118" s="48"/>
      <c r="D118" s="43"/>
      <c r="E118" s="43"/>
      <c r="F118" s="48"/>
      <c r="G118" s="50"/>
      <c r="H118" s="59"/>
      <c r="I118" s="4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customFormat="false" ht="21.75" hidden="false" customHeight="true" outlineLevel="0" collapsed="false">
      <c r="A119" s="48"/>
      <c r="B119" s="48"/>
      <c r="C119" s="48"/>
      <c r="D119" s="43"/>
      <c r="E119" s="43"/>
      <c r="F119" s="48"/>
      <c r="G119" s="50"/>
      <c r="H119" s="59"/>
      <c r="I119" s="4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customFormat="false" ht="21.75" hidden="false" customHeight="true" outlineLevel="0" collapsed="false">
      <c r="A120" s="48"/>
      <c r="B120" s="48"/>
      <c r="C120" s="48"/>
      <c r="D120" s="43"/>
      <c r="E120" s="43"/>
      <c r="F120" s="48"/>
      <c r="G120" s="50"/>
      <c r="H120" s="59"/>
      <c r="I120" s="4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customFormat="false" ht="21.75" hidden="false" customHeight="true" outlineLevel="0" collapsed="false">
      <c r="A121" s="48"/>
      <c r="B121" s="48"/>
      <c r="C121" s="48"/>
      <c r="D121" s="43"/>
      <c r="E121" s="43"/>
      <c r="F121" s="48"/>
      <c r="G121" s="50"/>
      <c r="H121" s="59"/>
      <c r="I121" s="4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customFormat="false" ht="21.75" hidden="false" customHeight="true" outlineLevel="0" collapsed="false">
      <c r="A122" s="48"/>
      <c r="B122" s="48"/>
      <c r="C122" s="48"/>
      <c r="D122" s="43"/>
      <c r="E122" s="43"/>
      <c r="F122" s="48"/>
      <c r="G122" s="50"/>
      <c r="H122" s="59"/>
      <c r="I122" s="4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customFormat="false" ht="21.75" hidden="false" customHeight="true" outlineLevel="0" collapsed="false">
      <c r="A123" s="48"/>
      <c r="B123" s="48"/>
      <c r="C123" s="48"/>
      <c r="D123" s="43"/>
      <c r="E123" s="43"/>
      <c r="F123" s="48"/>
      <c r="G123" s="50"/>
      <c r="H123" s="59"/>
      <c r="I123" s="4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customFormat="false" ht="21.75" hidden="false" customHeight="true" outlineLevel="0" collapsed="false">
      <c r="A124" s="48"/>
      <c r="B124" s="48"/>
      <c r="C124" s="48"/>
      <c r="D124" s="43"/>
      <c r="E124" s="43"/>
      <c r="F124" s="48"/>
      <c r="G124" s="50"/>
      <c r="H124" s="59"/>
      <c r="I124" s="4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customFormat="false" ht="21.75" hidden="false" customHeight="true" outlineLevel="0" collapsed="false">
      <c r="A125" s="48"/>
      <c r="B125" s="48"/>
      <c r="C125" s="48"/>
      <c r="D125" s="43"/>
      <c r="E125" s="43"/>
      <c r="F125" s="48"/>
      <c r="G125" s="50"/>
      <c r="H125" s="59"/>
      <c r="I125" s="4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customFormat="false" ht="21.75" hidden="false" customHeight="true" outlineLevel="0" collapsed="false">
      <c r="A126" s="48"/>
      <c r="B126" s="48"/>
      <c r="C126" s="48"/>
      <c r="D126" s="43"/>
      <c r="E126" s="43"/>
      <c r="F126" s="48"/>
      <c r="G126" s="50"/>
      <c r="H126" s="59"/>
      <c r="I126" s="4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customFormat="false" ht="21.75" hidden="false" customHeight="true" outlineLevel="0" collapsed="false">
      <c r="A127" s="48"/>
      <c r="B127" s="48"/>
      <c r="C127" s="48"/>
      <c r="D127" s="43"/>
      <c r="E127" s="43"/>
      <c r="F127" s="48"/>
      <c r="G127" s="50"/>
      <c r="H127" s="59"/>
      <c r="I127" s="4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customFormat="false" ht="21.75" hidden="false" customHeight="true" outlineLevel="0" collapsed="false">
      <c r="A128" s="48"/>
      <c r="B128" s="48"/>
      <c r="C128" s="48"/>
      <c r="D128" s="43"/>
      <c r="E128" s="43"/>
      <c r="F128" s="48"/>
      <c r="G128" s="50"/>
      <c r="H128" s="59"/>
      <c r="I128" s="4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customFormat="false" ht="21.75" hidden="false" customHeight="true" outlineLevel="0" collapsed="false">
      <c r="A129" s="48"/>
      <c r="B129" s="48"/>
      <c r="C129" s="48"/>
      <c r="D129" s="43"/>
      <c r="E129" s="43"/>
      <c r="F129" s="48"/>
      <c r="G129" s="50"/>
      <c r="H129" s="59"/>
      <c r="I129" s="4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customFormat="false" ht="21.75" hidden="false" customHeight="true" outlineLevel="0" collapsed="false">
      <c r="A130" s="48"/>
      <c r="B130" s="48"/>
      <c r="C130" s="48"/>
      <c r="D130" s="43"/>
      <c r="E130" s="43"/>
      <c r="F130" s="48"/>
      <c r="G130" s="50"/>
      <c r="H130" s="59"/>
      <c r="I130" s="4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customFormat="false" ht="21.75" hidden="false" customHeight="true" outlineLevel="0" collapsed="false">
      <c r="A131" s="48"/>
      <c r="B131" s="48"/>
      <c r="C131" s="48"/>
      <c r="D131" s="43"/>
      <c r="E131" s="43"/>
      <c r="F131" s="48"/>
      <c r="G131" s="50"/>
      <c r="H131" s="59"/>
      <c r="I131" s="4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customFormat="false" ht="21.75" hidden="false" customHeight="true" outlineLevel="0" collapsed="false">
      <c r="A132" s="48"/>
      <c r="B132" s="48"/>
      <c r="C132" s="48"/>
      <c r="D132" s="43"/>
      <c r="E132" s="43"/>
      <c r="F132" s="48"/>
      <c r="G132" s="50"/>
      <c r="H132" s="59"/>
      <c r="I132" s="4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customFormat="false" ht="21.75" hidden="false" customHeight="true" outlineLevel="0" collapsed="false">
      <c r="A133" s="48"/>
      <c r="B133" s="48"/>
      <c r="C133" s="48"/>
      <c r="D133" s="43"/>
      <c r="E133" s="43"/>
      <c r="F133" s="48"/>
      <c r="G133" s="50"/>
      <c r="H133" s="59"/>
      <c r="I133" s="4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customFormat="false" ht="21.75" hidden="false" customHeight="true" outlineLevel="0" collapsed="false">
      <c r="A134" s="48"/>
      <c r="B134" s="48"/>
      <c r="C134" s="48"/>
      <c r="D134" s="43"/>
      <c r="E134" s="43"/>
      <c r="F134" s="48"/>
      <c r="G134" s="50"/>
      <c r="H134" s="59"/>
      <c r="I134" s="4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customFormat="false" ht="21.75" hidden="false" customHeight="true" outlineLevel="0" collapsed="false">
      <c r="A135" s="48"/>
      <c r="B135" s="48"/>
      <c r="C135" s="48"/>
      <c r="D135" s="43"/>
      <c r="E135" s="43"/>
      <c r="F135" s="48"/>
      <c r="G135" s="50"/>
      <c r="H135" s="59"/>
      <c r="I135" s="4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customFormat="false" ht="21.75" hidden="false" customHeight="true" outlineLevel="0" collapsed="false">
      <c r="A136" s="48"/>
      <c r="B136" s="48"/>
      <c r="C136" s="48"/>
      <c r="D136" s="43"/>
      <c r="E136" s="43"/>
      <c r="F136" s="48"/>
      <c r="G136" s="50"/>
      <c r="H136" s="59"/>
      <c r="I136" s="4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customFormat="false" ht="21.75" hidden="false" customHeight="true" outlineLevel="0" collapsed="false">
      <c r="A137" s="48"/>
      <c r="B137" s="48"/>
      <c r="C137" s="48"/>
      <c r="D137" s="43"/>
      <c r="E137" s="43"/>
      <c r="F137" s="48"/>
      <c r="G137" s="50"/>
      <c r="H137" s="59"/>
      <c r="I137" s="4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customFormat="false" ht="21.75" hidden="false" customHeight="true" outlineLevel="0" collapsed="false">
      <c r="A138" s="48"/>
      <c r="B138" s="48"/>
      <c r="C138" s="48"/>
      <c r="D138" s="43"/>
      <c r="E138" s="43"/>
      <c r="F138" s="48"/>
      <c r="G138" s="50"/>
      <c r="H138" s="59"/>
      <c r="I138" s="4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customFormat="false" ht="21.75" hidden="false" customHeight="true" outlineLevel="0" collapsed="false">
      <c r="A139" s="48"/>
      <c r="B139" s="48"/>
      <c r="C139" s="48"/>
      <c r="D139" s="43"/>
      <c r="E139" s="43"/>
      <c r="F139" s="48"/>
      <c r="G139" s="50"/>
      <c r="H139" s="59"/>
      <c r="I139" s="4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customFormat="false" ht="21.75" hidden="false" customHeight="true" outlineLevel="0" collapsed="false">
      <c r="A140" s="48"/>
      <c r="B140" s="48"/>
      <c r="C140" s="48"/>
      <c r="D140" s="43"/>
      <c r="E140" s="43"/>
      <c r="F140" s="48"/>
      <c r="G140" s="50"/>
      <c r="H140" s="59"/>
      <c r="I140" s="4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customFormat="false" ht="21.75" hidden="false" customHeight="true" outlineLevel="0" collapsed="false">
      <c r="A141" s="48"/>
      <c r="B141" s="48"/>
      <c r="C141" s="48"/>
      <c r="D141" s="43"/>
      <c r="E141" s="43"/>
      <c r="F141" s="48"/>
      <c r="G141" s="50"/>
      <c r="H141" s="59"/>
      <c r="I141" s="4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customFormat="false" ht="21.75" hidden="false" customHeight="true" outlineLevel="0" collapsed="false">
      <c r="A142" s="48"/>
      <c r="B142" s="48"/>
      <c r="C142" s="48"/>
      <c r="D142" s="43"/>
      <c r="E142" s="43"/>
      <c r="F142" s="48"/>
      <c r="G142" s="50"/>
      <c r="H142" s="59"/>
      <c r="I142" s="4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customFormat="false" ht="21.75" hidden="false" customHeight="true" outlineLevel="0" collapsed="false">
      <c r="A143" s="48"/>
      <c r="B143" s="48"/>
      <c r="C143" s="48"/>
      <c r="D143" s="43"/>
      <c r="E143" s="43"/>
      <c r="F143" s="48"/>
      <c r="G143" s="50"/>
      <c r="H143" s="59"/>
      <c r="I143" s="4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customFormat="false" ht="21.75" hidden="false" customHeight="true" outlineLevel="0" collapsed="false">
      <c r="A144" s="48"/>
      <c r="B144" s="48"/>
      <c r="C144" s="48"/>
      <c r="D144" s="43"/>
      <c r="E144" s="43"/>
      <c r="F144" s="48"/>
      <c r="G144" s="50"/>
      <c r="H144" s="59"/>
      <c r="I144" s="4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customFormat="false" ht="21.75" hidden="false" customHeight="true" outlineLevel="0" collapsed="false">
      <c r="A145" s="48"/>
      <c r="B145" s="48"/>
      <c r="C145" s="48"/>
      <c r="D145" s="43"/>
      <c r="E145" s="43"/>
      <c r="F145" s="48"/>
      <c r="G145" s="50"/>
      <c r="H145" s="59"/>
      <c r="I145" s="4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customFormat="false" ht="21.75" hidden="false" customHeight="true" outlineLevel="0" collapsed="false">
      <c r="A146" s="48"/>
      <c r="B146" s="48"/>
      <c r="C146" s="48"/>
      <c r="D146" s="43"/>
      <c r="E146" s="43"/>
      <c r="F146" s="48"/>
      <c r="G146" s="50"/>
      <c r="H146" s="59"/>
      <c r="I146" s="4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customFormat="false" ht="21.75" hidden="false" customHeight="true" outlineLevel="0" collapsed="false">
      <c r="A147" s="48"/>
      <c r="B147" s="48"/>
      <c r="C147" s="48"/>
      <c r="D147" s="43"/>
      <c r="E147" s="43"/>
      <c r="F147" s="48"/>
      <c r="G147" s="50"/>
      <c r="H147" s="59"/>
      <c r="I147" s="4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customFormat="false" ht="21.75" hidden="false" customHeight="true" outlineLevel="0" collapsed="false">
      <c r="A148" s="48"/>
      <c r="B148" s="48"/>
      <c r="C148" s="48"/>
      <c r="D148" s="43"/>
      <c r="E148" s="43"/>
      <c r="F148" s="48"/>
      <c r="G148" s="50"/>
      <c r="H148" s="59"/>
      <c r="I148" s="4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customFormat="false" ht="21.75" hidden="false" customHeight="true" outlineLevel="0" collapsed="false">
      <c r="A149" s="48"/>
      <c r="B149" s="48"/>
      <c r="C149" s="48"/>
      <c r="D149" s="43"/>
      <c r="E149" s="43"/>
      <c r="F149" s="48"/>
      <c r="G149" s="50"/>
      <c r="H149" s="59"/>
      <c r="I149" s="4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customFormat="false" ht="21.75" hidden="false" customHeight="true" outlineLevel="0" collapsed="false">
      <c r="A150" s="48"/>
      <c r="B150" s="48"/>
      <c r="C150" s="48"/>
      <c r="D150" s="43"/>
      <c r="E150" s="43"/>
      <c r="F150" s="48"/>
      <c r="G150" s="50"/>
      <c r="H150" s="59"/>
      <c r="I150" s="4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customFormat="false" ht="21.75" hidden="false" customHeight="true" outlineLevel="0" collapsed="false">
      <c r="A151" s="48"/>
      <c r="B151" s="48"/>
      <c r="C151" s="48"/>
      <c r="D151" s="43"/>
      <c r="E151" s="43"/>
      <c r="F151" s="48"/>
      <c r="G151" s="50"/>
      <c r="H151" s="59"/>
      <c r="I151" s="4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customFormat="false" ht="21.75" hidden="false" customHeight="true" outlineLevel="0" collapsed="false">
      <c r="A152" s="48"/>
      <c r="B152" s="48"/>
      <c r="C152" s="48"/>
      <c r="D152" s="43"/>
      <c r="E152" s="43"/>
      <c r="F152" s="48"/>
      <c r="G152" s="50"/>
      <c r="H152" s="59"/>
      <c r="I152" s="4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customFormat="false" ht="21.75" hidden="false" customHeight="true" outlineLevel="0" collapsed="false">
      <c r="A153" s="48"/>
      <c r="B153" s="48"/>
      <c r="C153" s="48"/>
      <c r="D153" s="43"/>
      <c r="E153" s="43"/>
      <c r="F153" s="48"/>
      <c r="G153" s="50"/>
      <c r="H153" s="59"/>
      <c r="I153" s="4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customFormat="false" ht="21.75" hidden="false" customHeight="true" outlineLevel="0" collapsed="false">
      <c r="A154" s="48"/>
      <c r="B154" s="48"/>
      <c r="C154" s="48"/>
      <c r="D154" s="43"/>
      <c r="E154" s="43"/>
      <c r="F154" s="48"/>
      <c r="G154" s="50"/>
      <c r="H154" s="59"/>
      <c r="I154" s="4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customFormat="false" ht="21.75" hidden="false" customHeight="true" outlineLevel="0" collapsed="false">
      <c r="A155" s="48"/>
      <c r="B155" s="48"/>
      <c r="C155" s="48"/>
      <c r="D155" s="43"/>
      <c r="E155" s="43"/>
      <c r="F155" s="48"/>
      <c r="G155" s="50"/>
      <c r="H155" s="59"/>
      <c r="I155" s="4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customFormat="false" ht="21.75" hidden="false" customHeight="true" outlineLevel="0" collapsed="false">
      <c r="A156" s="48"/>
      <c r="B156" s="48"/>
      <c r="C156" s="48"/>
      <c r="D156" s="43"/>
      <c r="E156" s="43"/>
      <c r="F156" s="48"/>
      <c r="G156" s="50"/>
      <c r="H156" s="59"/>
      <c r="I156" s="4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customFormat="false" ht="21.75" hidden="false" customHeight="true" outlineLevel="0" collapsed="false">
      <c r="A157" s="48"/>
      <c r="B157" s="48"/>
      <c r="C157" s="48"/>
      <c r="D157" s="43"/>
      <c r="E157" s="43"/>
      <c r="F157" s="48"/>
      <c r="G157" s="50"/>
      <c r="H157" s="59"/>
      <c r="I157" s="4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customFormat="false" ht="21.75" hidden="false" customHeight="true" outlineLevel="0" collapsed="false">
      <c r="A158" s="48"/>
      <c r="B158" s="48"/>
      <c r="C158" s="48"/>
      <c r="D158" s="43"/>
      <c r="E158" s="43"/>
      <c r="F158" s="48"/>
      <c r="G158" s="50"/>
      <c r="H158" s="59"/>
      <c r="I158" s="4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customFormat="false" ht="21.75" hidden="false" customHeight="true" outlineLevel="0" collapsed="false">
      <c r="A159" s="48"/>
      <c r="B159" s="48"/>
      <c r="C159" s="48"/>
      <c r="D159" s="43"/>
      <c r="E159" s="43"/>
      <c r="F159" s="48"/>
      <c r="G159" s="50"/>
      <c r="H159" s="59"/>
      <c r="I159" s="4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customFormat="false" ht="21.75" hidden="false" customHeight="true" outlineLevel="0" collapsed="false">
      <c r="A160" s="48"/>
      <c r="B160" s="48"/>
      <c r="C160" s="48"/>
      <c r="D160" s="43"/>
      <c r="E160" s="43"/>
      <c r="F160" s="48"/>
      <c r="G160" s="50"/>
      <c r="H160" s="59"/>
      <c r="I160" s="4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customFormat="false" ht="21.75" hidden="false" customHeight="true" outlineLevel="0" collapsed="false">
      <c r="A161" s="48"/>
      <c r="B161" s="48"/>
      <c r="C161" s="48"/>
      <c r="D161" s="43"/>
      <c r="E161" s="43"/>
      <c r="F161" s="48"/>
      <c r="G161" s="50"/>
      <c r="H161" s="59"/>
      <c r="I161" s="4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customFormat="false" ht="21.75" hidden="false" customHeight="true" outlineLevel="0" collapsed="false">
      <c r="A162" s="48"/>
      <c r="B162" s="48"/>
      <c r="C162" s="48"/>
      <c r="D162" s="43"/>
      <c r="E162" s="43"/>
      <c r="F162" s="48"/>
      <c r="G162" s="50"/>
      <c r="H162" s="59"/>
      <c r="I162" s="4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customFormat="false" ht="21.75" hidden="false" customHeight="true" outlineLevel="0" collapsed="false">
      <c r="A163" s="48"/>
      <c r="B163" s="48"/>
      <c r="C163" s="48"/>
      <c r="D163" s="43"/>
      <c r="E163" s="43"/>
      <c r="F163" s="48"/>
      <c r="G163" s="50"/>
      <c r="H163" s="59"/>
      <c r="I163" s="4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customFormat="false" ht="21.75" hidden="false" customHeight="true" outlineLevel="0" collapsed="false">
      <c r="A164" s="48"/>
      <c r="B164" s="48"/>
      <c r="C164" s="48"/>
      <c r="D164" s="43"/>
      <c r="E164" s="43"/>
      <c r="F164" s="48"/>
      <c r="G164" s="50"/>
      <c r="H164" s="59"/>
      <c r="I164" s="4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customFormat="false" ht="21.75" hidden="false" customHeight="true" outlineLevel="0" collapsed="false">
      <c r="A165" s="48"/>
      <c r="B165" s="48"/>
      <c r="C165" s="48"/>
      <c r="D165" s="43"/>
      <c r="E165" s="43"/>
      <c r="F165" s="48"/>
      <c r="G165" s="50"/>
      <c r="H165" s="59"/>
      <c r="I165" s="4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customFormat="false" ht="21.75" hidden="false" customHeight="true" outlineLevel="0" collapsed="false">
      <c r="A166" s="48"/>
      <c r="B166" s="48"/>
      <c r="C166" s="48"/>
      <c r="D166" s="43"/>
      <c r="E166" s="43"/>
      <c r="F166" s="48"/>
      <c r="G166" s="50"/>
      <c r="H166" s="59"/>
      <c r="I166" s="4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customFormat="false" ht="21.75" hidden="false" customHeight="true" outlineLevel="0" collapsed="false">
      <c r="A167" s="48"/>
      <c r="B167" s="48"/>
      <c r="C167" s="48"/>
      <c r="D167" s="43"/>
      <c r="E167" s="43"/>
      <c r="F167" s="48"/>
      <c r="G167" s="50"/>
      <c r="H167" s="59"/>
      <c r="I167" s="4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customFormat="false" ht="21.75" hidden="false" customHeight="true" outlineLevel="0" collapsed="false">
      <c r="A168" s="48"/>
      <c r="B168" s="48"/>
      <c r="C168" s="48"/>
      <c r="D168" s="43"/>
      <c r="E168" s="43"/>
      <c r="F168" s="48"/>
      <c r="G168" s="50"/>
      <c r="H168" s="59"/>
      <c r="I168" s="4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customFormat="false" ht="21.75" hidden="false" customHeight="true" outlineLevel="0" collapsed="false">
      <c r="A169" s="48"/>
      <c r="B169" s="48"/>
      <c r="C169" s="48"/>
      <c r="D169" s="43"/>
      <c r="E169" s="43"/>
      <c r="F169" s="48"/>
      <c r="G169" s="50"/>
      <c r="H169" s="59"/>
      <c r="I169" s="4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customFormat="false" ht="21.75" hidden="false" customHeight="true" outlineLevel="0" collapsed="false">
      <c r="A170" s="48"/>
      <c r="B170" s="48"/>
      <c r="C170" s="48"/>
      <c r="D170" s="43"/>
      <c r="E170" s="43"/>
      <c r="F170" s="48"/>
      <c r="G170" s="50"/>
      <c r="H170" s="59"/>
      <c r="I170" s="4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customFormat="false" ht="21.75" hidden="false" customHeight="true" outlineLevel="0" collapsed="false">
      <c r="A171" s="48"/>
      <c r="B171" s="48"/>
      <c r="C171" s="48"/>
      <c r="D171" s="43"/>
      <c r="E171" s="43"/>
      <c r="F171" s="48"/>
      <c r="G171" s="50"/>
      <c r="H171" s="59"/>
      <c r="I171" s="4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customFormat="false" ht="21.75" hidden="false" customHeight="true" outlineLevel="0" collapsed="false">
      <c r="A172" s="48"/>
      <c r="B172" s="48"/>
      <c r="C172" s="48"/>
      <c r="D172" s="43"/>
      <c r="E172" s="43"/>
      <c r="F172" s="48"/>
      <c r="G172" s="50"/>
      <c r="H172" s="59"/>
      <c r="I172" s="4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customFormat="false" ht="21.75" hidden="false" customHeight="true" outlineLevel="0" collapsed="false">
      <c r="A173" s="48"/>
      <c r="B173" s="48"/>
      <c r="C173" s="48"/>
      <c r="D173" s="43"/>
      <c r="E173" s="43"/>
      <c r="F173" s="48"/>
      <c r="G173" s="50"/>
      <c r="H173" s="59"/>
      <c r="I173" s="4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customFormat="false" ht="21.75" hidden="false" customHeight="true" outlineLevel="0" collapsed="false">
      <c r="A174" s="48"/>
      <c r="B174" s="48"/>
      <c r="C174" s="48"/>
      <c r="D174" s="43"/>
      <c r="E174" s="43"/>
      <c r="F174" s="48"/>
      <c r="G174" s="50"/>
      <c r="H174" s="59"/>
      <c r="I174" s="4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customFormat="false" ht="21.75" hidden="false" customHeight="true" outlineLevel="0" collapsed="false">
      <c r="A175" s="48"/>
      <c r="B175" s="48"/>
      <c r="C175" s="48"/>
      <c r="D175" s="43"/>
      <c r="E175" s="43"/>
      <c r="F175" s="48"/>
      <c r="G175" s="50"/>
      <c r="H175" s="59"/>
      <c r="I175" s="4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customFormat="false" ht="21.75" hidden="false" customHeight="true" outlineLevel="0" collapsed="false">
      <c r="A176" s="48"/>
      <c r="B176" s="48"/>
      <c r="C176" s="48"/>
      <c r="D176" s="43"/>
      <c r="E176" s="43"/>
      <c r="F176" s="48"/>
      <c r="G176" s="50"/>
      <c r="H176" s="59"/>
      <c r="I176" s="4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customFormat="false" ht="21.75" hidden="false" customHeight="true" outlineLevel="0" collapsed="false">
      <c r="A177" s="48"/>
      <c r="B177" s="48"/>
      <c r="C177" s="48"/>
      <c r="D177" s="43"/>
      <c r="E177" s="43"/>
      <c r="F177" s="48"/>
      <c r="G177" s="50"/>
      <c r="H177" s="59"/>
      <c r="I177" s="4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customFormat="false" ht="21.75" hidden="false" customHeight="true" outlineLevel="0" collapsed="false">
      <c r="A178" s="48"/>
      <c r="B178" s="48"/>
      <c r="C178" s="48"/>
      <c r="D178" s="43"/>
      <c r="E178" s="43"/>
      <c r="F178" s="48"/>
      <c r="G178" s="50"/>
      <c r="H178" s="59"/>
      <c r="I178" s="4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customFormat="false" ht="21.75" hidden="false" customHeight="true" outlineLevel="0" collapsed="false">
      <c r="A179" s="48"/>
      <c r="B179" s="48"/>
      <c r="C179" s="48"/>
      <c r="D179" s="43"/>
      <c r="E179" s="43"/>
      <c r="F179" s="48"/>
      <c r="G179" s="50"/>
      <c r="H179" s="59"/>
      <c r="I179" s="4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customFormat="false" ht="21.75" hidden="false" customHeight="true" outlineLevel="0" collapsed="false">
      <c r="A180" s="48"/>
      <c r="B180" s="48"/>
      <c r="C180" s="48"/>
      <c r="D180" s="43"/>
      <c r="E180" s="43"/>
      <c r="F180" s="48"/>
      <c r="G180" s="50"/>
      <c r="H180" s="59"/>
      <c r="I180" s="4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customFormat="false" ht="21.75" hidden="false" customHeight="true" outlineLevel="0" collapsed="false">
      <c r="A181" s="48"/>
      <c r="B181" s="48"/>
      <c r="C181" s="48"/>
      <c r="D181" s="43"/>
      <c r="E181" s="43"/>
      <c r="F181" s="48"/>
      <c r="G181" s="50"/>
      <c r="H181" s="59"/>
      <c r="I181" s="4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customFormat="false" ht="21.75" hidden="false" customHeight="true" outlineLevel="0" collapsed="false">
      <c r="A182" s="48"/>
      <c r="B182" s="48"/>
      <c r="C182" s="48"/>
      <c r="D182" s="43"/>
      <c r="E182" s="43"/>
      <c r="F182" s="48"/>
      <c r="G182" s="50"/>
      <c r="H182" s="59"/>
      <c r="I182" s="4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customFormat="false" ht="21.75" hidden="false" customHeight="true" outlineLevel="0" collapsed="false">
      <c r="A183" s="48"/>
      <c r="B183" s="48"/>
      <c r="C183" s="48"/>
      <c r="D183" s="43"/>
      <c r="E183" s="43"/>
      <c r="F183" s="48"/>
      <c r="G183" s="50"/>
      <c r="H183" s="59"/>
      <c r="I183" s="4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customFormat="false" ht="21.75" hidden="false" customHeight="true" outlineLevel="0" collapsed="false">
      <c r="A184" s="48"/>
      <c r="B184" s="48"/>
      <c r="C184" s="48"/>
      <c r="D184" s="43"/>
      <c r="E184" s="43"/>
      <c r="F184" s="48"/>
      <c r="G184" s="50"/>
      <c r="H184" s="59"/>
      <c r="I184" s="4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customFormat="false" ht="21.75" hidden="false" customHeight="true" outlineLevel="0" collapsed="false">
      <c r="A185" s="48"/>
      <c r="B185" s="48"/>
      <c r="C185" s="48"/>
      <c r="D185" s="43"/>
      <c r="E185" s="43"/>
      <c r="F185" s="48"/>
      <c r="G185" s="50"/>
      <c r="H185" s="59"/>
      <c r="I185" s="4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customFormat="false" ht="21.75" hidden="false" customHeight="true" outlineLevel="0" collapsed="false">
      <c r="A186" s="48"/>
      <c r="B186" s="48"/>
      <c r="C186" s="48"/>
      <c r="D186" s="43"/>
      <c r="E186" s="43"/>
      <c r="F186" s="48"/>
      <c r="G186" s="50"/>
      <c r="H186" s="59"/>
      <c r="I186" s="4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customFormat="false" ht="21.75" hidden="false" customHeight="true" outlineLevel="0" collapsed="false">
      <c r="A187" s="48"/>
      <c r="B187" s="48"/>
      <c r="C187" s="48"/>
      <c r="D187" s="43"/>
      <c r="E187" s="43"/>
      <c r="F187" s="48"/>
      <c r="G187" s="50"/>
      <c r="H187" s="59"/>
      <c r="I187" s="4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customFormat="false" ht="21.75" hidden="false" customHeight="true" outlineLevel="0" collapsed="false">
      <c r="A188" s="48"/>
      <c r="B188" s="48"/>
      <c r="C188" s="48"/>
      <c r="D188" s="43"/>
      <c r="E188" s="43"/>
      <c r="F188" s="48"/>
      <c r="G188" s="50"/>
      <c r="H188" s="59"/>
      <c r="I188" s="4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customFormat="false" ht="21.75" hidden="false" customHeight="true" outlineLevel="0" collapsed="false">
      <c r="A189" s="48"/>
      <c r="B189" s="48"/>
      <c r="C189" s="48"/>
      <c r="D189" s="43"/>
      <c r="E189" s="43"/>
      <c r="F189" s="48"/>
      <c r="G189" s="50"/>
      <c r="H189" s="59"/>
      <c r="I189" s="4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customFormat="false" ht="21.75" hidden="false" customHeight="true" outlineLevel="0" collapsed="false">
      <c r="A190" s="48"/>
      <c r="B190" s="48"/>
      <c r="C190" s="48"/>
      <c r="D190" s="43"/>
      <c r="E190" s="43"/>
      <c r="F190" s="48"/>
      <c r="G190" s="50"/>
      <c r="H190" s="59"/>
      <c r="I190" s="4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customFormat="false" ht="21.75" hidden="false" customHeight="true" outlineLevel="0" collapsed="false">
      <c r="A191" s="48"/>
      <c r="B191" s="48"/>
      <c r="C191" s="48"/>
      <c r="D191" s="43"/>
      <c r="E191" s="43"/>
      <c r="F191" s="48"/>
      <c r="G191" s="50"/>
      <c r="H191" s="59"/>
      <c r="I191" s="4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customFormat="false" ht="21.75" hidden="false" customHeight="true" outlineLevel="0" collapsed="false">
      <c r="A192" s="48"/>
      <c r="B192" s="48"/>
      <c r="C192" s="48"/>
      <c r="D192" s="43"/>
      <c r="E192" s="43"/>
      <c r="F192" s="48"/>
      <c r="G192" s="50"/>
      <c r="H192" s="59"/>
      <c r="I192" s="4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customFormat="false" ht="21.75" hidden="false" customHeight="true" outlineLevel="0" collapsed="false">
      <c r="A193" s="48"/>
      <c r="B193" s="48"/>
      <c r="C193" s="48"/>
      <c r="D193" s="43"/>
      <c r="E193" s="43"/>
      <c r="F193" s="48"/>
      <c r="G193" s="50"/>
      <c r="H193" s="59"/>
      <c r="I193" s="4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customFormat="false" ht="21.75" hidden="false" customHeight="true" outlineLevel="0" collapsed="false">
      <c r="A194" s="48"/>
      <c r="B194" s="48"/>
      <c r="C194" s="48"/>
      <c r="D194" s="43"/>
      <c r="E194" s="43"/>
      <c r="F194" s="48"/>
      <c r="G194" s="50"/>
      <c r="H194" s="59"/>
      <c r="I194" s="4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customFormat="false" ht="21.75" hidden="false" customHeight="true" outlineLevel="0" collapsed="false">
      <c r="A195" s="48"/>
      <c r="B195" s="48"/>
      <c r="C195" s="48"/>
      <c r="D195" s="43"/>
      <c r="E195" s="43"/>
      <c r="F195" s="48"/>
      <c r="G195" s="50"/>
      <c r="H195" s="59"/>
      <c r="I195" s="4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customFormat="false" ht="21.75" hidden="false" customHeight="true" outlineLevel="0" collapsed="false">
      <c r="A196" s="48"/>
      <c r="B196" s="48"/>
      <c r="C196" s="48"/>
      <c r="D196" s="43"/>
      <c r="E196" s="43"/>
      <c r="F196" s="48"/>
      <c r="G196" s="50"/>
      <c r="H196" s="59"/>
      <c r="I196" s="4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customFormat="false" ht="21.75" hidden="false" customHeight="true" outlineLevel="0" collapsed="false">
      <c r="A197" s="48"/>
      <c r="B197" s="48"/>
      <c r="C197" s="48"/>
      <c r="D197" s="43"/>
      <c r="E197" s="43"/>
      <c r="F197" s="48"/>
      <c r="G197" s="50"/>
      <c r="H197" s="59"/>
      <c r="I197" s="4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customFormat="false" ht="21.75" hidden="false" customHeight="true" outlineLevel="0" collapsed="false">
      <c r="A198" s="48"/>
      <c r="B198" s="48"/>
      <c r="C198" s="48"/>
      <c r="D198" s="43"/>
      <c r="E198" s="43"/>
      <c r="F198" s="48"/>
      <c r="G198" s="50"/>
      <c r="H198" s="59"/>
      <c r="I198" s="4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customFormat="false" ht="21.75" hidden="false" customHeight="true" outlineLevel="0" collapsed="false">
      <c r="A199" s="48"/>
      <c r="B199" s="48"/>
      <c r="C199" s="48"/>
      <c r="D199" s="43"/>
      <c r="E199" s="43"/>
      <c r="F199" s="48"/>
      <c r="G199" s="50"/>
      <c r="H199" s="59"/>
      <c r="I199" s="4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customFormat="false" ht="21.75" hidden="false" customHeight="true" outlineLevel="0" collapsed="false">
      <c r="A200" s="48"/>
      <c r="B200" s="48"/>
      <c r="C200" s="48"/>
      <c r="D200" s="43"/>
      <c r="E200" s="43"/>
      <c r="F200" s="48"/>
      <c r="G200" s="50"/>
      <c r="H200" s="59"/>
      <c r="I200" s="4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customFormat="false" ht="21.75" hidden="false" customHeight="true" outlineLevel="0" collapsed="false">
      <c r="A201" s="48"/>
      <c r="B201" s="48"/>
      <c r="C201" s="48"/>
      <c r="D201" s="43"/>
      <c r="E201" s="43"/>
      <c r="F201" s="48"/>
      <c r="G201" s="50"/>
      <c r="H201" s="59"/>
      <c r="I201" s="4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customFormat="false" ht="21.75" hidden="false" customHeight="true" outlineLevel="0" collapsed="false">
      <c r="A202" s="48"/>
      <c r="B202" s="48"/>
      <c r="C202" s="48"/>
      <c r="D202" s="43"/>
      <c r="E202" s="43"/>
      <c r="F202" s="48"/>
      <c r="G202" s="50"/>
      <c r="H202" s="59"/>
      <c r="I202" s="4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customFormat="false" ht="21.75" hidden="false" customHeight="true" outlineLevel="0" collapsed="false">
      <c r="A203" s="48"/>
      <c r="B203" s="48"/>
      <c r="C203" s="48"/>
      <c r="D203" s="43"/>
      <c r="E203" s="43"/>
      <c r="F203" s="48"/>
      <c r="G203" s="50"/>
      <c r="H203" s="59"/>
      <c r="I203" s="4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customFormat="false" ht="21.75" hidden="false" customHeight="true" outlineLevel="0" collapsed="false">
      <c r="A204" s="48"/>
      <c r="B204" s="48"/>
      <c r="C204" s="48"/>
      <c r="D204" s="43"/>
      <c r="E204" s="43"/>
      <c r="F204" s="48"/>
      <c r="G204" s="50"/>
      <c r="H204" s="59"/>
      <c r="I204" s="4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customFormat="false" ht="21.75" hidden="false" customHeight="true" outlineLevel="0" collapsed="false">
      <c r="A205" s="48"/>
      <c r="B205" s="48"/>
      <c r="C205" s="48"/>
      <c r="D205" s="43"/>
      <c r="E205" s="43"/>
      <c r="F205" s="48"/>
      <c r="G205" s="50"/>
      <c r="H205" s="59"/>
      <c r="I205" s="4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customFormat="false" ht="21.75" hidden="false" customHeight="true" outlineLevel="0" collapsed="false">
      <c r="A206" s="48"/>
      <c r="B206" s="48"/>
      <c r="C206" s="48"/>
      <c r="D206" s="43"/>
      <c r="E206" s="43"/>
      <c r="F206" s="48"/>
      <c r="G206" s="50"/>
      <c r="H206" s="59"/>
      <c r="I206" s="4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customFormat="false" ht="21.75" hidden="false" customHeight="true" outlineLevel="0" collapsed="false">
      <c r="A207" s="48"/>
      <c r="B207" s="48"/>
      <c r="C207" s="48"/>
      <c r="D207" s="43"/>
      <c r="E207" s="43"/>
      <c r="F207" s="48"/>
      <c r="G207" s="50"/>
      <c r="H207" s="59"/>
      <c r="I207" s="4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customFormat="false" ht="21.75" hidden="false" customHeight="true" outlineLevel="0" collapsed="false">
      <c r="A208" s="48"/>
      <c r="B208" s="48"/>
      <c r="C208" s="48"/>
      <c r="D208" s="43"/>
      <c r="E208" s="43"/>
      <c r="F208" s="48"/>
      <c r="G208" s="50"/>
      <c r="H208" s="59"/>
      <c r="I208" s="4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customFormat="false" ht="21.75" hidden="false" customHeight="true" outlineLevel="0" collapsed="false">
      <c r="A209" s="48"/>
      <c r="B209" s="48"/>
      <c r="C209" s="48"/>
      <c r="D209" s="43"/>
      <c r="E209" s="43"/>
      <c r="F209" s="48"/>
      <c r="G209" s="50"/>
      <c r="H209" s="59"/>
      <c r="I209" s="4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customFormat="false" ht="21.75" hidden="false" customHeight="true" outlineLevel="0" collapsed="false">
      <c r="A210" s="48"/>
      <c r="B210" s="48"/>
      <c r="C210" s="48"/>
      <c r="D210" s="43"/>
      <c r="E210" s="43"/>
      <c r="F210" s="48"/>
      <c r="G210" s="50"/>
      <c r="H210" s="59"/>
      <c r="I210" s="4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customFormat="false" ht="21.75" hidden="false" customHeight="true" outlineLevel="0" collapsed="false">
      <c r="A211" s="48"/>
      <c r="B211" s="48"/>
      <c r="C211" s="48"/>
      <c r="D211" s="43"/>
      <c r="E211" s="43"/>
      <c r="F211" s="48"/>
      <c r="G211" s="50"/>
      <c r="H211" s="59"/>
      <c r="I211" s="4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customFormat="false" ht="21.75" hidden="false" customHeight="true" outlineLevel="0" collapsed="false">
      <c r="A212" s="48"/>
      <c r="B212" s="48"/>
      <c r="C212" s="48"/>
      <c r="D212" s="43"/>
      <c r="E212" s="43"/>
      <c r="F212" s="48"/>
      <c r="G212" s="50"/>
      <c r="H212" s="59"/>
      <c r="I212" s="4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</sheetData>
  <mergeCells count="2">
    <mergeCell ref="A2:I2"/>
    <mergeCell ref="A4:B4"/>
  </mergeCells>
  <dataValidations count="1">
    <dataValidation allowBlank="true" error="请从下拉列表中选择，或先在参数表/出口报关中登记。" errorStyle="stop" errorTitle="请从下拉中选择" operator="between" showDropDown="false" showErrorMessage="true" showInputMessage="false" sqref="B6" type="list">
      <formula1>参数表!$U$13:$U$40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2026-10-22T14:43:03Z</dcterms:created>
  <dc:creator>Claude</dc:creator>
  <dc:description/>
  <dc:language>en-US</dc:language>
  <cp:lastModifiedBy/>
  <dcterms:modified xsi:type="dcterms:W3CDTF">2026-10-22T14:43:06Z</dcterms:modified>
  <cp:revision>0</cp:revision>
  <dc:subject/>
  <dc:title>亚马逊FBA 9810出口海外仓核销台账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